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2.xml" ContentType="application/vnd.openxmlformats-officedocument.drawing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K:\R3.14.12.5\siteApps\Ctrl_IOC\timing-1-1\iocBoot\ioctiming\"/>
    </mc:Choice>
  </mc:AlternateContent>
  <bookViews>
    <workbookView xWindow="0" yWindow="0" windowWidth="47985" windowHeight="24990" tabRatio="319" activeTab="1"/>
  </bookViews>
  <sheets>
    <sheet name="org" sheetId="1" r:id="rId1"/>
    <sheet name="edit" sheetId="6" r:id="rId2"/>
    <sheet name="Sheet1" sheetId="8" r:id="rId3"/>
    <sheet name="edit (2)" sheetId="7" r:id="rId4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C311" i="6" l="1"/>
  <c r="AB311" i="6"/>
  <c r="I311" i="6" s="1"/>
  <c r="AA311" i="6"/>
  <c r="P311" i="6"/>
  <c r="D311" i="6" s="1"/>
  <c r="M311" i="6"/>
  <c r="G311" i="6"/>
  <c r="F311" i="6"/>
  <c r="AC310" i="6"/>
  <c r="AB310" i="6"/>
  <c r="I310" i="6" s="1"/>
  <c r="AA310" i="6"/>
  <c r="P310" i="6"/>
  <c r="M310" i="6"/>
  <c r="G310" i="6"/>
  <c r="F310" i="6"/>
  <c r="D310" i="6"/>
  <c r="AC309" i="6"/>
  <c r="AB309" i="6"/>
  <c r="I309" i="6" s="1"/>
  <c r="AA309" i="6"/>
  <c r="E309" i="6" s="1"/>
  <c r="P309" i="6"/>
  <c r="D309" i="6" s="1"/>
  <c r="M309" i="6"/>
  <c r="G309" i="6"/>
  <c r="F309" i="6"/>
  <c r="AC308" i="6"/>
  <c r="AB308" i="6"/>
  <c r="I308" i="6" s="1"/>
  <c r="AA308" i="6"/>
  <c r="P308" i="6"/>
  <c r="D308" i="6" s="1"/>
  <c r="M308" i="6"/>
  <c r="G308" i="6"/>
  <c r="F308" i="6"/>
  <c r="AC307" i="6"/>
  <c r="AB307" i="6"/>
  <c r="I307" i="6" s="1"/>
  <c r="AA307" i="6"/>
  <c r="P307" i="6"/>
  <c r="D307" i="6" s="1"/>
  <c r="M307" i="6"/>
  <c r="G307" i="6"/>
  <c r="F307" i="6"/>
  <c r="AC306" i="6"/>
  <c r="AB306" i="6"/>
  <c r="I306" i="6" s="1"/>
  <c r="AA306" i="6"/>
  <c r="P306" i="6"/>
  <c r="D306" i="6" s="1"/>
  <c r="M306" i="6"/>
  <c r="G306" i="6"/>
  <c r="F306" i="6"/>
  <c r="AC305" i="6"/>
  <c r="AB305" i="6"/>
  <c r="I305" i="6" s="1"/>
  <c r="AA305" i="6"/>
  <c r="P305" i="6"/>
  <c r="D305" i="6" s="1"/>
  <c r="M305" i="6"/>
  <c r="G305" i="6"/>
  <c r="F305" i="6"/>
  <c r="AC304" i="6"/>
  <c r="E304" i="6" s="1"/>
  <c r="AB304" i="6"/>
  <c r="I304" i="6" s="1"/>
  <c r="AA304" i="6"/>
  <c r="P304" i="6"/>
  <c r="D304" i="6" s="1"/>
  <c r="M304" i="6"/>
  <c r="G304" i="6"/>
  <c r="F304" i="6"/>
  <c r="AC302" i="6"/>
  <c r="AB302" i="6"/>
  <c r="I302" i="6" s="1"/>
  <c r="AA302" i="6"/>
  <c r="P302" i="6"/>
  <c r="D302" i="6" s="1"/>
  <c r="M302" i="6"/>
  <c r="G302" i="6"/>
  <c r="F302" i="6"/>
  <c r="AC301" i="6"/>
  <c r="AB301" i="6"/>
  <c r="I301" i="6" s="1"/>
  <c r="AA301" i="6"/>
  <c r="P301" i="6"/>
  <c r="D301" i="6" s="1"/>
  <c r="M301" i="6"/>
  <c r="G301" i="6"/>
  <c r="F301" i="6"/>
  <c r="AC300" i="6"/>
  <c r="AB300" i="6"/>
  <c r="I300" i="6" s="1"/>
  <c r="AA300" i="6"/>
  <c r="P300" i="6"/>
  <c r="D300" i="6" s="1"/>
  <c r="M300" i="6"/>
  <c r="G300" i="6"/>
  <c r="F300" i="6"/>
  <c r="AC299" i="6"/>
  <c r="AB299" i="6"/>
  <c r="I299" i="6" s="1"/>
  <c r="AA299" i="6"/>
  <c r="P299" i="6"/>
  <c r="D299" i="6" s="1"/>
  <c r="M299" i="6"/>
  <c r="G299" i="6"/>
  <c r="F299" i="6"/>
  <c r="AC298" i="6"/>
  <c r="AB298" i="6"/>
  <c r="I298" i="6" s="1"/>
  <c r="AA298" i="6"/>
  <c r="P298" i="6"/>
  <c r="D298" i="6" s="1"/>
  <c r="M298" i="6"/>
  <c r="G298" i="6"/>
  <c r="F298" i="6"/>
  <c r="AC297" i="6"/>
  <c r="AB297" i="6"/>
  <c r="I297" i="6" s="1"/>
  <c r="AA297" i="6"/>
  <c r="P297" i="6"/>
  <c r="D297" i="6" s="1"/>
  <c r="M297" i="6"/>
  <c r="G297" i="6"/>
  <c r="F297" i="6"/>
  <c r="AC296" i="6"/>
  <c r="AB296" i="6"/>
  <c r="I296" i="6" s="1"/>
  <c r="AA296" i="6"/>
  <c r="P296" i="6"/>
  <c r="D296" i="6" s="1"/>
  <c r="M296" i="6"/>
  <c r="G296" i="6"/>
  <c r="F296" i="6"/>
  <c r="AC295" i="6"/>
  <c r="AB295" i="6"/>
  <c r="I295" i="6" s="1"/>
  <c r="AA295" i="6"/>
  <c r="P295" i="6"/>
  <c r="D295" i="6" s="1"/>
  <c r="M295" i="6"/>
  <c r="G295" i="6"/>
  <c r="F295" i="6"/>
  <c r="AC294" i="6"/>
  <c r="AB294" i="6"/>
  <c r="I294" i="6" s="1"/>
  <c r="AA294" i="6"/>
  <c r="P294" i="6"/>
  <c r="D294" i="6" s="1"/>
  <c r="M294" i="6"/>
  <c r="G294" i="6"/>
  <c r="F294" i="6"/>
  <c r="AC293" i="6"/>
  <c r="AB293" i="6"/>
  <c r="I293" i="6" s="1"/>
  <c r="AA293" i="6"/>
  <c r="P293" i="6"/>
  <c r="D293" i="6" s="1"/>
  <c r="M293" i="6"/>
  <c r="G293" i="6"/>
  <c r="F293" i="6"/>
  <c r="AC292" i="6"/>
  <c r="AB292" i="6"/>
  <c r="I292" i="6" s="1"/>
  <c r="AA292" i="6"/>
  <c r="P292" i="6"/>
  <c r="D292" i="6" s="1"/>
  <c r="M292" i="6"/>
  <c r="G292" i="6"/>
  <c r="F292" i="6"/>
  <c r="AC291" i="6"/>
  <c r="AB291" i="6"/>
  <c r="I291" i="6" s="1"/>
  <c r="AA291" i="6"/>
  <c r="P291" i="6"/>
  <c r="D291" i="6" s="1"/>
  <c r="M291" i="6"/>
  <c r="G291" i="6"/>
  <c r="F291" i="6"/>
  <c r="AC290" i="6"/>
  <c r="AB290" i="6"/>
  <c r="I290" i="6" s="1"/>
  <c r="AA290" i="6"/>
  <c r="P290" i="6"/>
  <c r="D290" i="6" s="1"/>
  <c r="M290" i="6"/>
  <c r="G290" i="6"/>
  <c r="F290" i="6"/>
  <c r="AC289" i="6"/>
  <c r="AB289" i="6"/>
  <c r="I289" i="6" s="1"/>
  <c r="AA289" i="6"/>
  <c r="P289" i="6"/>
  <c r="D289" i="6" s="1"/>
  <c r="M289" i="6"/>
  <c r="G289" i="6"/>
  <c r="F289" i="6"/>
  <c r="AC288" i="6"/>
  <c r="AB288" i="6"/>
  <c r="I288" i="6" s="1"/>
  <c r="AA288" i="6"/>
  <c r="P288" i="6"/>
  <c r="D288" i="6" s="1"/>
  <c r="M288" i="6"/>
  <c r="G288" i="6"/>
  <c r="F288" i="6"/>
  <c r="AC287" i="6"/>
  <c r="AB287" i="6"/>
  <c r="I287" i="6" s="1"/>
  <c r="AA287" i="6"/>
  <c r="P287" i="6"/>
  <c r="D287" i="6" s="1"/>
  <c r="M287" i="6"/>
  <c r="G287" i="6"/>
  <c r="F287" i="6"/>
  <c r="AC286" i="6"/>
  <c r="AB286" i="6"/>
  <c r="I286" i="6" s="1"/>
  <c r="AA286" i="6"/>
  <c r="P286" i="6"/>
  <c r="D286" i="6" s="1"/>
  <c r="M286" i="6"/>
  <c r="G286" i="6"/>
  <c r="F286" i="6"/>
  <c r="AC285" i="6"/>
  <c r="AB285" i="6"/>
  <c r="I285" i="6" s="1"/>
  <c r="AA285" i="6"/>
  <c r="P285" i="6"/>
  <c r="D285" i="6" s="1"/>
  <c r="M285" i="6"/>
  <c r="G285" i="6"/>
  <c r="F285" i="6"/>
  <c r="AC284" i="6"/>
  <c r="AB284" i="6"/>
  <c r="I284" i="6" s="1"/>
  <c r="AA284" i="6"/>
  <c r="E284" i="6" s="1"/>
  <c r="P284" i="6"/>
  <c r="D284" i="6" s="1"/>
  <c r="M284" i="6"/>
  <c r="G284" i="6"/>
  <c r="F284" i="6"/>
  <c r="AC283" i="6"/>
  <c r="AB283" i="6"/>
  <c r="I283" i="6" s="1"/>
  <c r="AA283" i="6"/>
  <c r="E283" i="6" s="1"/>
  <c r="P283" i="6"/>
  <c r="D283" i="6" s="1"/>
  <c r="M283" i="6"/>
  <c r="G283" i="6"/>
  <c r="F283" i="6"/>
  <c r="AC282" i="6"/>
  <c r="AB282" i="6"/>
  <c r="I282" i="6" s="1"/>
  <c r="AA282" i="6"/>
  <c r="P282" i="6"/>
  <c r="D282" i="6" s="1"/>
  <c r="M282" i="6"/>
  <c r="G282" i="6"/>
  <c r="F282" i="6"/>
  <c r="AC281" i="6"/>
  <c r="AB281" i="6"/>
  <c r="I281" i="6" s="1"/>
  <c r="AA281" i="6"/>
  <c r="P281" i="6"/>
  <c r="D281" i="6" s="1"/>
  <c r="M281" i="6"/>
  <c r="G281" i="6"/>
  <c r="F281" i="6"/>
  <c r="AC280" i="6"/>
  <c r="AB280" i="6"/>
  <c r="I280" i="6" s="1"/>
  <c r="AA280" i="6"/>
  <c r="E280" i="6" s="1"/>
  <c r="P280" i="6"/>
  <c r="D280" i="6" s="1"/>
  <c r="M280" i="6"/>
  <c r="G280" i="6"/>
  <c r="F280" i="6"/>
  <c r="AC279" i="6"/>
  <c r="AB279" i="6"/>
  <c r="I279" i="6" s="1"/>
  <c r="AA279" i="6"/>
  <c r="E279" i="6" s="1"/>
  <c r="P279" i="6"/>
  <c r="D279" i="6" s="1"/>
  <c r="M279" i="6"/>
  <c r="G279" i="6"/>
  <c r="F279" i="6"/>
  <c r="M303" i="6"/>
  <c r="I236" i="8"/>
  <c r="I237" i="8"/>
  <c r="I238" i="8"/>
  <c r="I239" i="8"/>
  <c r="I240" i="8"/>
  <c r="I241" i="8"/>
  <c r="I242" i="8"/>
  <c r="I243" i="8"/>
  <c r="I244" i="8"/>
  <c r="I245" i="8"/>
  <c r="AC94" i="6"/>
  <c r="AB94" i="6"/>
  <c r="I94" i="6" s="1"/>
  <c r="AA94" i="6"/>
  <c r="P94" i="6"/>
  <c r="D94" i="6" s="1"/>
  <c r="M94" i="6"/>
  <c r="G94" i="6"/>
  <c r="F94" i="6"/>
  <c r="AC93" i="6"/>
  <c r="AB93" i="6"/>
  <c r="I93" i="6" s="1"/>
  <c r="AA93" i="6"/>
  <c r="P93" i="6"/>
  <c r="D93" i="6" s="1"/>
  <c r="M93" i="6"/>
  <c r="G93" i="6"/>
  <c r="F93" i="6"/>
  <c r="AC92" i="6"/>
  <c r="AB92" i="6"/>
  <c r="I92" i="6" s="1"/>
  <c r="AA92" i="6"/>
  <c r="P92" i="6"/>
  <c r="D92" i="6" s="1"/>
  <c r="M92" i="6"/>
  <c r="G92" i="6"/>
  <c r="F92" i="6"/>
  <c r="AC91" i="6"/>
  <c r="AB91" i="6"/>
  <c r="I91" i="6" s="1"/>
  <c r="AA91" i="6"/>
  <c r="P91" i="6"/>
  <c r="D91" i="6" s="1"/>
  <c r="M91" i="6"/>
  <c r="G91" i="6"/>
  <c r="F91" i="6"/>
  <c r="AC90" i="6"/>
  <c r="AB90" i="6"/>
  <c r="I90" i="6" s="1"/>
  <c r="AA90" i="6"/>
  <c r="P90" i="6"/>
  <c r="D90" i="6" s="1"/>
  <c r="M90" i="6"/>
  <c r="G90" i="6"/>
  <c r="F90" i="6"/>
  <c r="AC89" i="6"/>
  <c r="AB89" i="6"/>
  <c r="I89" i="6" s="1"/>
  <c r="AA89" i="6"/>
  <c r="P89" i="6"/>
  <c r="D89" i="6" s="1"/>
  <c r="M89" i="6"/>
  <c r="G89" i="6"/>
  <c r="F89" i="6"/>
  <c r="AC88" i="6"/>
  <c r="AB88" i="6"/>
  <c r="I88" i="6" s="1"/>
  <c r="AA88" i="6"/>
  <c r="P88" i="6"/>
  <c r="D88" i="6" s="1"/>
  <c r="M88" i="6"/>
  <c r="G88" i="6"/>
  <c r="F88" i="6"/>
  <c r="D230" i="8"/>
  <c r="D229" i="8"/>
  <c r="D228" i="8"/>
  <c r="D227" i="8"/>
  <c r="D226" i="8"/>
  <c r="D225" i="8"/>
  <c r="D224" i="8"/>
  <c r="D223" i="8"/>
  <c r="D222" i="8"/>
  <c r="D221" i="8"/>
  <c r="D220" i="8"/>
  <c r="D219" i="8"/>
  <c r="D218" i="8"/>
  <c r="D217" i="8"/>
  <c r="D216" i="8"/>
  <c r="D215" i="8"/>
  <c r="D214" i="8"/>
  <c r="D213" i="8"/>
  <c r="D212" i="8"/>
  <c r="D211" i="8"/>
  <c r="D210" i="8"/>
  <c r="D209" i="8"/>
  <c r="D208" i="8"/>
  <c r="D207" i="8"/>
  <c r="D206" i="8"/>
  <c r="D205" i="8"/>
  <c r="D204" i="8"/>
  <c r="D203" i="8"/>
  <c r="D202" i="8"/>
  <c r="D201" i="8"/>
  <c r="D200" i="8"/>
  <c r="D199" i="8"/>
  <c r="D198" i="8"/>
  <c r="D197" i="8"/>
  <c r="D196" i="8"/>
  <c r="D195" i="8"/>
  <c r="D194" i="8"/>
  <c r="D193" i="8"/>
  <c r="D192" i="8"/>
  <c r="D191" i="8"/>
  <c r="D190" i="8"/>
  <c r="D189" i="8"/>
  <c r="D188" i="8"/>
  <c r="D187" i="8"/>
  <c r="D186" i="8"/>
  <c r="D185" i="8"/>
  <c r="D184" i="8"/>
  <c r="D183" i="8"/>
  <c r="D182" i="8"/>
  <c r="D181" i="8"/>
  <c r="D180" i="8"/>
  <c r="D179" i="8"/>
  <c r="D178" i="8"/>
  <c r="D177" i="8"/>
  <c r="D176" i="8"/>
  <c r="D175" i="8"/>
  <c r="D174" i="8"/>
  <c r="D173" i="8"/>
  <c r="D172" i="8"/>
  <c r="D171" i="8"/>
  <c r="D170" i="8"/>
  <c r="D169" i="8"/>
  <c r="D168" i="8"/>
  <c r="D136" i="8"/>
  <c r="D135" i="8"/>
  <c r="D134" i="8"/>
  <c r="D133" i="8"/>
  <c r="D132" i="8"/>
  <c r="D131" i="8"/>
  <c r="D130" i="8"/>
  <c r="D129" i="8"/>
  <c r="D128" i="8"/>
  <c r="D127" i="8"/>
  <c r="D126" i="8"/>
  <c r="D125" i="8"/>
  <c r="D124" i="8"/>
  <c r="D123" i="8"/>
  <c r="D122" i="8"/>
  <c r="D121" i="8"/>
  <c r="D120" i="8"/>
  <c r="D119" i="8"/>
  <c r="D118" i="8"/>
  <c r="D117" i="8"/>
  <c r="D116" i="8"/>
  <c r="D115" i="8"/>
  <c r="D114" i="8"/>
  <c r="D113" i="8"/>
  <c r="D112" i="8"/>
  <c r="D111" i="8"/>
  <c r="D110" i="8"/>
  <c r="D109" i="8"/>
  <c r="D108" i="8"/>
  <c r="D107" i="8"/>
  <c r="D106" i="8"/>
  <c r="D105" i="8"/>
  <c r="D104" i="8"/>
  <c r="I2" i="8"/>
  <c r="E290" i="6" l="1"/>
  <c r="E308" i="6"/>
  <c r="E310" i="6"/>
  <c r="E311" i="6"/>
  <c r="E307" i="6"/>
  <c r="E306" i="6"/>
  <c r="E305" i="6"/>
  <c r="E299" i="6"/>
  <c r="E297" i="6"/>
  <c r="E287" i="6"/>
  <c r="E291" i="6"/>
  <c r="E295" i="6"/>
  <c r="E300" i="6"/>
  <c r="E301" i="6"/>
  <c r="E302" i="6"/>
  <c r="E296" i="6"/>
  <c r="E298" i="6"/>
  <c r="E293" i="6"/>
  <c r="E292" i="6"/>
  <c r="E294" i="6"/>
  <c r="E289" i="6"/>
  <c r="E288" i="6"/>
  <c r="E285" i="6"/>
  <c r="E286" i="6"/>
  <c r="E281" i="6"/>
  <c r="E282" i="6"/>
  <c r="E94" i="6"/>
  <c r="E92" i="6"/>
  <c r="E88" i="6"/>
  <c r="E90" i="6"/>
  <c r="E89" i="6"/>
  <c r="E91" i="6"/>
  <c r="E93" i="6"/>
  <c r="P324" i="6"/>
  <c r="P323" i="6"/>
  <c r="P322" i="6"/>
  <c r="P321" i="6"/>
  <c r="P320" i="6"/>
  <c r="P317" i="6"/>
  <c r="D317" i="6" s="1"/>
  <c r="P316" i="6"/>
  <c r="D316" i="6" s="1"/>
  <c r="P315" i="6"/>
  <c r="D315" i="6" s="1"/>
  <c r="P314" i="6"/>
  <c r="D314" i="6" s="1"/>
  <c r="P313" i="6"/>
  <c r="D313" i="6" s="1"/>
  <c r="P312" i="6"/>
  <c r="AC317" i="6"/>
  <c r="AB317" i="6"/>
  <c r="I317" i="6" s="1"/>
  <c r="AA317" i="6"/>
  <c r="AC316" i="6"/>
  <c r="AB316" i="6"/>
  <c r="I316" i="6" s="1"/>
  <c r="AA316" i="6"/>
  <c r="AC315" i="6"/>
  <c r="AB315" i="6"/>
  <c r="I315" i="6" s="1"/>
  <c r="AA315" i="6"/>
  <c r="AC314" i="6"/>
  <c r="AB314" i="6"/>
  <c r="I314" i="6" s="1"/>
  <c r="AA314" i="6"/>
  <c r="AC313" i="6"/>
  <c r="AB313" i="6"/>
  <c r="I313" i="6" s="1"/>
  <c r="AA313" i="6"/>
  <c r="M317" i="6"/>
  <c r="G317" i="6"/>
  <c r="F317" i="6"/>
  <c r="M316" i="6"/>
  <c r="G316" i="6"/>
  <c r="F316" i="6"/>
  <c r="M315" i="6"/>
  <c r="G315" i="6"/>
  <c r="F315" i="6"/>
  <c r="M314" i="6"/>
  <c r="G314" i="6"/>
  <c r="F314" i="6"/>
  <c r="M313" i="6"/>
  <c r="G313" i="6"/>
  <c r="F313" i="6"/>
  <c r="T233" i="6"/>
  <c r="E316" i="6" l="1"/>
  <c r="E317" i="6"/>
  <c r="E315" i="6"/>
  <c r="E314" i="6"/>
  <c r="E313" i="6"/>
  <c r="E24" i="6"/>
  <c r="F24" i="6"/>
  <c r="G24" i="6"/>
  <c r="I24" i="6"/>
  <c r="M24" i="6"/>
  <c r="P24" i="6"/>
  <c r="D24" i="6" s="1"/>
  <c r="AA24" i="6"/>
  <c r="AB24" i="6"/>
  <c r="AC24" i="6"/>
  <c r="F25" i="6"/>
  <c r="G25" i="6"/>
  <c r="M25" i="6"/>
  <c r="P25" i="6"/>
  <c r="D25" i="6" s="1"/>
  <c r="AA25" i="6"/>
  <c r="AB25" i="6"/>
  <c r="I25" i="6" s="1"/>
  <c r="AC25" i="6"/>
  <c r="AC278" i="6"/>
  <c r="AB278" i="6"/>
  <c r="I278" i="6" s="1"/>
  <c r="AA278" i="6"/>
  <c r="AC277" i="6"/>
  <c r="AB277" i="6"/>
  <c r="I277" i="6" s="1"/>
  <c r="AA277" i="6"/>
  <c r="AC276" i="6"/>
  <c r="AB276" i="6"/>
  <c r="I276" i="6" s="1"/>
  <c r="AA276" i="6"/>
  <c r="AC275" i="6"/>
  <c r="AB275" i="6"/>
  <c r="I275" i="6" s="1"/>
  <c r="AA275" i="6"/>
  <c r="AC274" i="6"/>
  <c r="AB274" i="6"/>
  <c r="I274" i="6" s="1"/>
  <c r="AA274" i="6"/>
  <c r="AC273" i="6"/>
  <c r="AB273" i="6"/>
  <c r="I273" i="6" s="1"/>
  <c r="AA273" i="6"/>
  <c r="AC272" i="6"/>
  <c r="AB272" i="6"/>
  <c r="I272" i="6" s="1"/>
  <c r="AA272" i="6"/>
  <c r="AC271" i="6"/>
  <c r="AB271" i="6"/>
  <c r="I271" i="6" s="1"/>
  <c r="AA271" i="6"/>
  <c r="P278" i="6"/>
  <c r="D278" i="6" s="1"/>
  <c r="M278" i="6"/>
  <c r="G278" i="6"/>
  <c r="F278" i="6"/>
  <c r="P277" i="6"/>
  <c r="D277" i="6" s="1"/>
  <c r="M277" i="6"/>
  <c r="G277" i="6"/>
  <c r="F277" i="6"/>
  <c r="P276" i="6"/>
  <c r="D276" i="6" s="1"/>
  <c r="M276" i="6"/>
  <c r="G276" i="6"/>
  <c r="F276" i="6"/>
  <c r="P275" i="6"/>
  <c r="D275" i="6" s="1"/>
  <c r="M275" i="6"/>
  <c r="G275" i="6"/>
  <c r="F275" i="6"/>
  <c r="P274" i="6"/>
  <c r="D274" i="6" s="1"/>
  <c r="M274" i="6"/>
  <c r="G274" i="6"/>
  <c r="F274" i="6"/>
  <c r="P273" i="6"/>
  <c r="D273" i="6" s="1"/>
  <c r="M273" i="6"/>
  <c r="G273" i="6"/>
  <c r="F273" i="6"/>
  <c r="P272" i="6"/>
  <c r="D272" i="6" s="1"/>
  <c r="M272" i="6"/>
  <c r="G272" i="6"/>
  <c r="F272" i="6"/>
  <c r="P271" i="6"/>
  <c r="D271" i="6" s="1"/>
  <c r="M271" i="6"/>
  <c r="G271" i="6"/>
  <c r="F271" i="6"/>
  <c r="M3" i="6"/>
  <c r="M4" i="6"/>
  <c r="M5" i="6"/>
  <c r="M6" i="6"/>
  <c r="M7" i="6"/>
  <c r="M8" i="6"/>
  <c r="M9" i="6"/>
  <c r="M10" i="6"/>
  <c r="M11" i="6"/>
  <c r="M12" i="6"/>
  <c r="M13" i="6"/>
  <c r="M14" i="6"/>
  <c r="M15" i="6"/>
  <c r="M16" i="6"/>
  <c r="M17" i="6"/>
  <c r="M18" i="6"/>
  <c r="M19" i="6"/>
  <c r="M20" i="6"/>
  <c r="M21" i="6"/>
  <c r="M22" i="6"/>
  <c r="M23" i="6"/>
  <c r="M26" i="6"/>
  <c r="M27" i="6"/>
  <c r="M28" i="6"/>
  <c r="M29" i="6"/>
  <c r="M30" i="6"/>
  <c r="M31" i="6"/>
  <c r="M32" i="6"/>
  <c r="M33" i="6"/>
  <c r="M34" i="6"/>
  <c r="M35" i="6"/>
  <c r="M36" i="6"/>
  <c r="M37" i="6"/>
  <c r="M38" i="6"/>
  <c r="M39" i="6"/>
  <c r="M40" i="6"/>
  <c r="M41" i="6"/>
  <c r="M42" i="6"/>
  <c r="M43" i="6"/>
  <c r="M44" i="6"/>
  <c r="M45" i="6"/>
  <c r="M46" i="6"/>
  <c r="M47" i="6"/>
  <c r="M48" i="6"/>
  <c r="M49" i="6"/>
  <c r="M50" i="6"/>
  <c r="M51" i="6"/>
  <c r="M52" i="6"/>
  <c r="M53" i="6"/>
  <c r="M54" i="6"/>
  <c r="M55" i="6"/>
  <c r="M56" i="6"/>
  <c r="M57" i="6"/>
  <c r="M58" i="6"/>
  <c r="M59" i="6"/>
  <c r="M60" i="6"/>
  <c r="M61" i="6"/>
  <c r="M62" i="6"/>
  <c r="M63" i="6"/>
  <c r="M64" i="6"/>
  <c r="M65" i="6"/>
  <c r="M66" i="6"/>
  <c r="M67" i="6"/>
  <c r="M68" i="6"/>
  <c r="M69" i="6"/>
  <c r="M70" i="6"/>
  <c r="M71" i="6"/>
  <c r="M72" i="6"/>
  <c r="M73" i="6"/>
  <c r="M74" i="6"/>
  <c r="M75" i="6"/>
  <c r="M76" i="6"/>
  <c r="M77" i="6"/>
  <c r="M78" i="6"/>
  <c r="M79" i="6"/>
  <c r="M80" i="6"/>
  <c r="M81" i="6"/>
  <c r="M82" i="6"/>
  <c r="M83" i="6"/>
  <c r="M84" i="6"/>
  <c r="M85" i="6"/>
  <c r="M86" i="6"/>
  <c r="M87" i="6"/>
  <c r="M95" i="6"/>
  <c r="M96" i="6"/>
  <c r="M97" i="6"/>
  <c r="M98" i="6"/>
  <c r="M99" i="6"/>
  <c r="M100" i="6"/>
  <c r="M101" i="6"/>
  <c r="M102" i="6"/>
  <c r="M103" i="6"/>
  <c r="M104" i="6"/>
  <c r="M105" i="6"/>
  <c r="M106" i="6"/>
  <c r="M107" i="6"/>
  <c r="M108" i="6"/>
  <c r="M109" i="6"/>
  <c r="M110" i="6"/>
  <c r="M111" i="6"/>
  <c r="M112" i="6"/>
  <c r="M113" i="6"/>
  <c r="M114" i="6"/>
  <c r="M115" i="6"/>
  <c r="M116" i="6"/>
  <c r="M117" i="6"/>
  <c r="M118" i="6"/>
  <c r="M119" i="6"/>
  <c r="M120" i="6"/>
  <c r="M121" i="6"/>
  <c r="M122" i="6"/>
  <c r="M123" i="6"/>
  <c r="M124" i="6"/>
  <c r="M125" i="6"/>
  <c r="M126" i="6"/>
  <c r="M127" i="6"/>
  <c r="M128" i="6"/>
  <c r="M129" i="6"/>
  <c r="M130" i="6"/>
  <c r="M131" i="6"/>
  <c r="M132" i="6"/>
  <c r="M133" i="6"/>
  <c r="M134" i="6"/>
  <c r="M135" i="6"/>
  <c r="M136" i="6"/>
  <c r="M137" i="6"/>
  <c r="M138" i="6"/>
  <c r="M139" i="6"/>
  <c r="M140" i="6"/>
  <c r="M141" i="6"/>
  <c r="M142" i="6"/>
  <c r="M143" i="6"/>
  <c r="M144" i="6"/>
  <c r="M145" i="6"/>
  <c r="M146" i="6"/>
  <c r="M147" i="6"/>
  <c r="M148" i="6"/>
  <c r="M149" i="6"/>
  <c r="M150" i="6"/>
  <c r="M151" i="6"/>
  <c r="M152" i="6"/>
  <c r="M153" i="6"/>
  <c r="M154" i="6"/>
  <c r="M155" i="6"/>
  <c r="M156" i="6"/>
  <c r="M157" i="6"/>
  <c r="M158" i="6"/>
  <c r="M159" i="6"/>
  <c r="M160" i="6"/>
  <c r="M161" i="6"/>
  <c r="M162" i="6"/>
  <c r="M163" i="6"/>
  <c r="M164" i="6"/>
  <c r="M165" i="6"/>
  <c r="M166" i="6"/>
  <c r="M167" i="6"/>
  <c r="M168" i="6"/>
  <c r="M169" i="6"/>
  <c r="M170" i="6"/>
  <c r="M171" i="6"/>
  <c r="M172" i="6"/>
  <c r="M173" i="6"/>
  <c r="M174" i="6"/>
  <c r="M175" i="6"/>
  <c r="M176" i="6"/>
  <c r="M177" i="6"/>
  <c r="M178" i="6"/>
  <c r="M179" i="6"/>
  <c r="M180" i="6"/>
  <c r="M181" i="6"/>
  <c r="M182" i="6"/>
  <c r="M183" i="6"/>
  <c r="M184" i="6"/>
  <c r="M185" i="6"/>
  <c r="M186" i="6"/>
  <c r="M187" i="6"/>
  <c r="M188" i="6"/>
  <c r="M189" i="6"/>
  <c r="M190" i="6"/>
  <c r="M191" i="6"/>
  <c r="M192" i="6"/>
  <c r="M193" i="6"/>
  <c r="M194" i="6"/>
  <c r="M195" i="6"/>
  <c r="M196" i="6"/>
  <c r="M197" i="6"/>
  <c r="M198" i="6"/>
  <c r="M199" i="6"/>
  <c r="M200" i="6"/>
  <c r="M201" i="6"/>
  <c r="M202" i="6"/>
  <c r="M203" i="6"/>
  <c r="M204" i="6"/>
  <c r="M205" i="6"/>
  <c r="M206" i="6"/>
  <c r="M207" i="6"/>
  <c r="M208" i="6"/>
  <c r="M209" i="6"/>
  <c r="M210" i="6"/>
  <c r="M211" i="6"/>
  <c r="M212" i="6"/>
  <c r="M213" i="6"/>
  <c r="M214" i="6"/>
  <c r="M215" i="6"/>
  <c r="M216" i="6"/>
  <c r="M217" i="6"/>
  <c r="M218" i="6"/>
  <c r="M219" i="6"/>
  <c r="M220" i="6"/>
  <c r="M221" i="6"/>
  <c r="M222" i="6"/>
  <c r="M223" i="6"/>
  <c r="M224" i="6"/>
  <c r="M225" i="6"/>
  <c r="M226" i="6"/>
  <c r="M227" i="6"/>
  <c r="M228" i="6"/>
  <c r="M229" i="6"/>
  <c r="M230" i="6"/>
  <c r="M231" i="6"/>
  <c r="M232" i="6"/>
  <c r="M233" i="6"/>
  <c r="M234" i="6"/>
  <c r="M235" i="6"/>
  <c r="M236" i="6"/>
  <c r="M237" i="6"/>
  <c r="M238" i="6"/>
  <c r="M239" i="6"/>
  <c r="M240" i="6"/>
  <c r="M241" i="6"/>
  <c r="M242" i="6"/>
  <c r="M243" i="6"/>
  <c r="M244" i="6"/>
  <c r="M245" i="6"/>
  <c r="M246" i="6"/>
  <c r="M247" i="6"/>
  <c r="M248" i="6"/>
  <c r="M249" i="6"/>
  <c r="M250" i="6"/>
  <c r="M251" i="6"/>
  <c r="M252" i="6"/>
  <c r="M253" i="6"/>
  <c r="M254" i="6"/>
  <c r="M255" i="6"/>
  <c r="M256" i="6"/>
  <c r="M257" i="6"/>
  <c r="M258" i="6"/>
  <c r="M259" i="6"/>
  <c r="M260" i="6"/>
  <c r="M261" i="6"/>
  <c r="M262" i="6"/>
  <c r="M263" i="6"/>
  <c r="M264" i="6"/>
  <c r="M265" i="6"/>
  <c r="M266" i="6"/>
  <c r="M267" i="6"/>
  <c r="M268" i="6"/>
  <c r="M269" i="6"/>
  <c r="M270" i="6"/>
  <c r="M312" i="6"/>
  <c r="M320" i="6"/>
  <c r="M321" i="6"/>
  <c r="M322" i="6"/>
  <c r="M323" i="6"/>
  <c r="M324" i="6"/>
  <c r="E25" i="6" l="1"/>
  <c r="E277" i="6"/>
  <c r="E271" i="6"/>
  <c r="E275" i="6"/>
  <c r="E273" i="6"/>
  <c r="E272" i="6"/>
  <c r="E278" i="6"/>
  <c r="E274" i="6"/>
  <c r="E276" i="6"/>
  <c r="AB230" i="6"/>
  <c r="I230" i="6" s="1"/>
  <c r="AA230" i="6"/>
  <c r="T230" i="6"/>
  <c r="AC230" i="6" s="1"/>
  <c r="P230" i="6"/>
  <c r="D230" i="6" s="1"/>
  <c r="G230" i="6"/>
  <c r="F230" i="6"/>
  <c r="AB229" i="6"/>
  <c r="I229" i="6" s="1"/>
  <c r="AA229" i="6"/>
  <c r="T229" i="6"/>
  <c r="AC229" i="6" s="1"/>
  <c r="P229" i="6"/>
  <c r="D229" i="6" s="1"/>
  <c r="G229" i="6"/>
  <c r="F229" i="6"/>
  <c r="AB228" i="6"/>
  <c r="I228" i="6" s="1"/>
  <c r="AA228" i="6"/>
  <c r="T228" i="6"/>
  <c r="AC228" i="6" s="1"/>
  <c r="P228" i="6"/>
  <c r="D228" i="6" s="1"/>
  <c r="G228" i="6"/>
  <c r="F228" i="6"/>
  <c r="AB227" i="6"/>
  <c r="I227" i="6" s="1"/>
  <c r="AA227" i="6"/>
  <c r="T227" i="6"/>
  <c r="AC227" i="6" s="1"/>
  <c r="P227" i="6"/>
  <c r="D227" i="6" s="1"/>
  <c r="G227" i="6"/>
  <c r="F227" i="6"/>
  <c r="AB226" i="6"/>
  <c r="I226" i="6" s="1"/>
  <c r="AA226" i="6"/>
  <c r="T226" i="6"/>
  <c r="AC226" i="6" s="1"/>
  <c r="P226" i="6"/>
  <c r="D226" i="6" s="1"/>
  <c r="G226" i="6"/>
  <c r="F226" i="6"/>
  <c r="AB225" i="6"/>
  <c r="I225" i="6" s="1"/>
  <c r="AA225" i="6"/>
  <c r="T225" i="6"/>
  <c r="AC225" i="6" s="1"/>
  <c r="P225" i="6"/>
  <c r="D225" i="6" s="1"/>
  <c r="G225" i="6"/>
  <c r="F225" i="6"/>
  <c r="AB224" i="6"/>
  <c r="I224" i="6" s="1"/>
  <c r="AA224" i="6"/>
  <c r="T224" i="6"/>
  <c r="AC224" i="6" s="1"/>
  <c r="P224" i="6"/>
  <c r="D224" i="6" s="1"/>
  <c r="G224" i="6"/>
  <c r="F224" i="6"/>
  <c r="AB223" i="6"/>
  <c r="I223" i="6" s="1"/>
  <c r="AA223" i="6"/>
  <c r="T223" i="6"/>
  <c r="AC223" i="6" s="1"/>
  <c r="P223" i="6"/>
  <c r="D223" i="6" s="1"/>
  <c r="G223" i="6"/>
  <c r="F223" i="6"/>
  <c r="AB222" i="6"/>
  <c r="I222" i="6" s="1"/>
  <c r="AA222" i="6"/>
  <c r="T222" i="6"/>
  <c r="AC222" i="6" s="1"/>
  <c r="P222" i="6"/>
  <c r="D222" i="6" s="1"/>
  <c r="G222" i="6"/>
  <c r="F222" i="6"/>
  <c r="AB221" i="6"/>
  <c r="I221" i="6" s="1"/>
  <c r="AA221" i="6"/>
  <c r="T221" i="6"/>
  <c r="AC221" i="6" s="1"/>
  <c r="P221" i="6"/>
  <c r="D221" i="6" s="1"/>
  <c r="G221" i="6"/>
  <c r="F221" i="6"/>
  <c r="AB220" i="6"/>
  <c r="I220" i="6" s="1"/>
  <c r="AA220" i="6"/>
  <c r="T220" i="6"/>
  <c r="AC220" i="6" s="1"/>
  <c r="P220" i="6"/>
  <c r="D220" i="6" s="1"/>
  <c r="G220" i="6"/>
  <c r="F220" i="6"/>
  <c r="AB219" i="6"/>
  <c r="I219" i="6" s="1"/>
  <c r="AA219" i="6"/>
  <c r="T219" i="6"/>
  <c r="AC219" i="6" s="1"/>
  <c r="P219" i="6"/>
  <c r="D219" i="6" s="1"/>
  <c r="G219" i="6"/>
  <c r="F219" i="6"/>
  <c r="AB218" i="6"/>
  <c r="I218" i="6" s="1"/>
  <c r="AA218" i="6"/>
  <c r="T218" i="6"/>
  <c r="AC218" i="6" s="1"/>
  <c r="P218" i="6"/>
  <c r="D218" i="6" s="1"/>
  <c r="G218" i="6"/>
  <c r="F218" i="6"/>
  <c r="AB217" i="6"/>
  <c r="I217" i="6" s="1"/>
  <c r="AA217" i="6"/>
  <c r="T217" i="6"/>
  <c r="AC217" i="6" s="1"/>
  <c r="P217" i="6"/>
  <c r="D217" i="6" s="1"/>
  <c r="G217" i="6"/>
  <c r="F217" i="6"/>
  <c r="AB216" i="6"/>
  <c r="I216" i="6" s="1"/>
  <c r="AA216" i="6"/>
  <c r="T216" i="6"/>
  <c r="AC216" i="6" s="1"/>
  <c r="P216" i="6"/>
  <c r="D216" i="6" s="1"/>
  <c r="G216" i="6"/>
  <c r="F216" i="6"/>
  <c r="AB215" i="6"/>
  <c r="I215" i="6" s="1"/>
  <c r="AA215" i="6"/>
  <c r="T215" i="6"/>
  <c r="AC215" i="6" s="1"/>
  <c r="P215" i="6"/>
  <c r="D215" i="6" s="1"/>
  <c r="G215" i="6"/>
  <c r="F215" i="6"/>
  <c r="AB214" i="6"/>
  <c r="I214" i="6" s="1"/>
  <c r="AA214" i="6"/>
  <c r="T214" i="6"/>
  <c r="AC214" i="6" s="1"/>
  <c r="P214" i="6"/>
  <c r="D214" i="6" s="1"/>
  <c r="G214" i="6"/>
  <c r="F214" i="6"/>
  <c r="AB213" i="6"/>
  <c r="I213" i="6" s="1"/>
  <c r="AA213" i="6"/>
  <c r="T213" i="6"/>
  <c r="AC213" i="6" s="1"/>
  <c r="P213" i="6"/>
  <c r="D213" i="6" s="1"/>
  <c r="G213" i="6"/>
  <c r="F213" i="6"/>
  <c r="AB212" i="6"/>
  <c r="I212" i="6" s="1"/>
  <c r="AA212" i="6"/>
  <c r="T212" i="6"/>
  <c r="AC212" i="6" s="1"/>
  <c r="P212" i="6"/>
  <c r="D212" i="6" s="1"/>
  <c r="G212" i="6"/>
  <c r="F212" i="6"/>
  <c r="AB211" i="6"/>
  <c r="I211" i="6" s="1"/>
  <c r="AA211" i="6"/>
  <c r="T211" i="6"/>
  <c r="AC211" i="6" s="1"/>
  <c r="P211" i="6"/>
  <c r="D211" i="6" s="1"/>
  <c r="G211" i="6"/>
  <c r="F211" i="6"/>
  <c r="AB210" i="6"/>
  <c r="I210" i="6" s="1"/>
  <c r="AA210" i="6"/>
  <c r="T210" i="6"/>
  <c r="AC210" i="6" s="1"/>
  <c r="P210" i="6"/>
  <c r="D210" i="6" s="1"/>
  <c r="G210" i="6"/>
  <c r="F210" i="6"/>
  <c r="AB209" i="6"/>
  <c r="I209" i="6" s="1"/>
  <c r="AA209" i="6"/>
  <c r="T209" i="6"/>
  <c r="AC209" i="6" s="1"/>
  <c r="P209" i="6"/>
  <c r="D209" i="6" s="1"/>
  <c r="G209" i="6"/>
  <c r="F209" i="6"/>
  <c r="AB208" i="6"/>
  <c r="I208" i="6" s="1"/>
  <c r="AA208" i="6"/>
  <c r="T208" i="6"/>
  <c r="AC208" i="6" s="1"/>
  <c r="P208" i="6"/>
  <c r="D208" i="6" s="1"/>
  <c r="G208" i="6"/>
  <c r="F208" i="6"/>
  <c r="AB207" i="6"/>
  <c r="I207" i="6" s="1"/>
  <c r="AA207" i="6"/>
  <c r="T207" i="6"/>
  <c r="AC207" i="6" s="1"/>
  <c r="P207" i="6"/>
  <c r="D207" i="6" s="1"/>
  <c r="G207" i="6"/>
  <c r="F207" i="6"/>
  <c r="AB206" i="6"/>
  <c r="I206" i="6" s="1"/>
  <c r="AA206" i="6"/>
  <c r="T206" i="6"/>
  <c r="AC206" i="6" s="1"/>
  <c r="P206" i="6"/>
  <c r="D206" i="6" s="1"/>
  <c r="G206" i="6"/>
  <c r="F206" i="6"/>
  <c r="AB205" i="6"/>
  <c r="I205" i="6" s="1"/>
  <c r="AA205" i="6"/>
  <c r="T205" i="6"/>
  <c r="AC205" i="6" s="1"/>
  <c r="P205" i="6"/>
  <c r="D205" i="6" s="1"/>
  <c r="G205" i="6"/>
  <c r="F205" i="6"/>
  <c r="AB204" i="6"/>
  <c r="I204" i="6" s="1"/>
  <c r="AA204" i="6"/>
  <c r="T204" i="6"/>
  <c r="AC204" i="6" s="1"/>
  <c r="P204" i="6"/>
  <c r="D204" i="6" s="1"/>
  <c r="G204" i="6"/>
  <c r="F204" i="6"/>
  <c r="AB203" i="6"/>
  <c r="I203" i="6" s="1"/>
  <c r="AA203" i="6"/>
  <c r="T203" i="6"/>
  <c r="AC203" i="6" s="1"/>
  <c r="P203" i="6"/>
  <c r="D203" i="6" s="1"/>
  <c r="G203" i="6"/>
  <c r="F203" i="6"/>
  <c r="AB202" i="6"/>
  <c r="I202" i="6" s="1"/>
  <c r="AA202" i="6"/>
  <c r="T202" i="6"/>
  <c r="AC202" i="6" s="1"/>
  <c r="P202" i="6"/>
  <c r="D202" i="6" s="1"/>
  <c r="G202" i="6"/>
  <c r="F202" i="6"/>
  <c r="AB201" i="6"/>
  <c r="I201" i="6" s="1"/>
  <c r="AA201" i="6"/>
  <c r="T201" i="6"/>
  <c r="AC201" i="6" s="1"/>
  <c r="P201" i="6"/>
  <c r="D201" i="6" s="1"/>
  <c r="G201" i="6"/>
  <c r="F201" i="6"/>
  <c r="AB200" i="6"/>
  <c r="I200" i="6" s="1"/>
  <c r="AA200" i="6"/>
  <c r="T200" i="6"/>
  <c r="AC200" i="6" s="1"/>
  <c r="P200" i="6"/>
  <c r="D200" i="6" s="1"/>
  <c r="G200" i="6"/>
  <c r="F200" i="6"/>
  <c r="AB199" i="6"/>
  <c r="I199" i="6" s="1"/>
  <c r="AA199" i="6"/>
  <c r="T199" i="6"/>
  <c r="AC199" i="6" s="1"/>
  <c r="P199" i="6"/>
  <c r="D199" i="6" s="1"/>
  <c r="G199" i="6"/>
  <c r="F199" i="6"/>
  <c r="P269" i="6"/>
  <c r="D269" i="6" s="1"/>
  <c r="P268" i="6"/>
  <c r="D268" i="6" s="1"/>
  <c r="P267" i="6"/>
  <c r="D267" i="6" s="1"/>
  <c r="P266" i="6"/>
  <c r="D266" i="6" s="1"/>
  <c r="P265" i="6"/>
  <c r="D265" i="6" s="1"/>
  <c r="AC269" i="6"/>
  <c r="AB269" i="6"/>
  <c r="I269" i="6" s="1"/>
  <c r="AA269" i="6"/>
  <c r="AC268" i="6"/>
  <c r="AB268" i="6"/>
  <c r="I268" i="6" s="1"/>
  <c r="AA268" i="6"/>
  <c r="AC267" i="6"/>
  <c r="AB267" i="6"/>
  <c r="I267" i="6" s="1"/>
  <c r="AA267" i="6"/>
  <c r="AC266" i="6"/>
  <c r="AB266" i="6"/>
  <c r="I266" i="6" s="1"/>
  <c r="AA266" i="6"/>
  <c r="AC265" i="6"/>
  <c r="AB265" i="6"/>
  <c r="I265" i="6" s="1"/>
  <c r="AA265" i="6"/>
  <c r="G269" i="6"/>
  <c r="F269" i="6"/>
  <c r="G268" i="6"/>
  <c r="F268" i="6"/>
  <c r="G267" i="6"/>
  <c r="F267" i="6"/>
  <c r="G266" i="6"/>
  <c r="F266" i="6"/>
  <c r="G265" i="6"/>
  <c r="F265" i="6"/>
  <c r="E228" i="6" l="1"/>
  <c r="E209" i="6"/>
  <c r="E214" i="6"/>
  <c r="E268" i="6"/>
  <c r="E227" i="6"/>
  <c r="E216" i="6"/>
  <c r="E221" i="6"/>
  <c r="E200" i="6"/>
  <c r="E213" i="6"/>
  <c r="E218" i="6"/>
  <c r="E199" i="6"/>
  <c r="E206" i="6"/>
  <c r="E225" i="6"/>
  <c r="E217" i="6"/>
  <c r="E204" i="6"/>
  <c r="E211" i="6"/>
  <c r="E210" i="6"/>
  <c r="E222" i="6"/>
  <c r="E202" i="6"/>
  <c r="E203" i="6"/>
  <c r="E208" i="6"/>
  <c r="E220" i="6"/>
  <c r="E226" i="6"/>
  <c r="E230" i="6"/>
  <c r="E212" i="6"/>
  <c r="E224" i="6"/>
  <c r="E229" i="6"/>
  <c r="E207" i="6"/>
  <c r="E223" i="6"/>
  <c r="E205" i="6"/>
  <c r="E219" i="6"/>
  <c r="E215" i="6"/>
  <c r="E201" i="6"/>
  <c r="E266" i="6"/>
  <c r="E267" i="6"/>
  <c r="E265" i="6"/>
  <c r="E269" i="6"/>
  <c r="F23" i="6" l="1"/>
  <c r="G23" i="6"/>
  <c r="P23" i="6"/>
  <c r="D23" i="6" s="1"/>
  <c r="AA23" i="6"/>
  <c r="AB23" i="6"/>
  <c r="I23" i="6" s="1"/>
  <c r="AC23" i="6"/>
  <c r="E23" i="6" l="1"/>
  <c r="AC9" i="6"/>
  <c r="AB9" i="6"/>
  <c r="I9" i="6" s="1"/>
  <c r="AA9" i="6"/>
  <c r="P9" i="6"/>
  <c r="D9" i="6" s="1"/>
  <c r="G9" i="6"/>
  <c r="F9" i="6"/>
  <c r="AC13" i="6"/>
  <c r="AB13" i="6"/>
  <c r="I13" i="6" s="1"/>
  <c r="AA13" i="6"/>
  <c r="P13" i="6"/>
  <c r="D13" i="6" s="1"/>
  <c r="G13" i="6"/>
  <c r="F13" i="6"/>
  <c r="AC14" i="6"/>
  <c r="AB14" i="6"/>
  <c r="I14" i="6" s="1"/>
  <c r="AA14" i="6"/>
  <c r="P14" i="6"/>
  <c r="D14" i="6" s="1"/>
  <c r="G14" i="6"/>
  <c r="F14" i="6"/>
  <c r="AC16" i="6"/>
  <c r="AB16" i="6"/>
  <c r="I16" i="6" s="1"/>
  <c r="AA16" i="6"/>
  <c r="P16" i="6"/>
  <c r="D16" i="6" s="1"/>
  <c r="G16" i="6"/>
  <c r="F16" i="6"/>
  <c r="AC18" i="6"/>
  <c r="AB18" i="6"/>
  <c r="I18" i="6" s="1"/>
  <c r="AA18" i="6"/>
  <c r="P18" i="6"/>
  <c r="D18" i="6" s="1"/>
  <c r="G18" i="6"/>
  <c r="F18" i="6"/>
  <c r="AC19" i="6"/>
  <c r="AB19" i="6"/>
  <c r="I19" i="6" s="1"/>
  <c r="AA19" i="6"/>
  <c r="P19" i="6"/>
  <c r="D19" i="6" s="1"/>
  <c r="G19" i="6"/>
  <c r="F19" i="6"/>
  <c r="Z525" i="7"/>
  <c r="Y525" i="7"/>
  <c r="X525" i="7"/>
  <c r="M525" i="7"/>
  <c r="D525" i="7" s="1"/>
  <c r="I525" i="7"/>
  <c r="G525" i="7"/>
  <c r="F525" i="7"/>
  <c r="E525" i="7"/>
  <c r="Z524" i="7"/>
  <c r="Y524" i="7"/>
  <c r="X524" i="7"/>
  <c r="M524" i="7"/>
  <c r="I524" i="7"/>
  <c r="G524" i="7"/>
  <c r="F524" i="7"/>
  <c r="E524" i="7"/>
  <c r="D524" i="7"/>
  <c r="Z523" i="7"/>
  <c r="Y523" i="7"/>
  <c r="X523" i="7"/>
  <c r="M523" i="7"/>
  <c r="D523" i="7" s="1"/>
  <c r="I523" i="7"/>
  <c r="G523" i="7"/>
  <c r="F523" i="7"/>
  <c r="E523" i="7"/>
  <c r="Z522" i="7"/>
  <c r="Y522" i="7"/>
  <c r="X522" i="7"/>
  <c r="M522" i="7"/>
  <c r="I522" i="7"/>
  <c r="G522" i="7"/>
  <c r="F522" i="7"/>
  <c r="E522" i="7"/>
  <c r="D522" i="7"/>
  <c r="Z519" i="7"/>
  <c r="Y519" i="7"/>
  <c r="X519" i="7"/>
  <c r="M519" i="7"/>
  <c r="D519" i="7" s="1"/>
  <c r="I519" i="7"/>
  <c r="G519" i="7"/>
  <c r="F519" i="7"/>
  <c r="E519" i="7"/>
  <c r="Z518" i="7"/>
  <c r="Y518" i="7"/>
  <c r="X518" i="7"/>
  <c r="M518" i="7"/>
  <c r="D518" i="7" s="1"/>
  <c r="I518" i="7"/>
  <c r="G518" i="7"/>
  <c r="F518" i="7"/>
  <c r="E518" i="7"/>
  <c r="Z517" i="7"/>
  <c r="Y517" i="7"/>
  <c r="X517" i="7"/>
  <c r="M517" i="7"/>
  <c r="D517" i="7" s="1"/>
  <c r="I517" i="7"/>
  <c r="G517" i="7"/>
  <c r="F517" i="7"/>
  <c r="E517" i="7"/>
  <c r="Y380" i="7"/>
  <c r="I380" i="7" s="1"/>
  <c r="X380" i="7"/>
  <c r="Q380" i="7"/>
  <c r="Z380" i="7" s="1"/>
  <c r="E380" i="7" s="1"/>
  <c r="M380" i="7"/>
  <c r="G380" i="7"/>
  <c r="F380" i="7"/>
  <c r="D380" i="7"/>
  <c r="Y379" i="7"/>
  <c r="I379" i="7" s="1"/>
  <c r="X379" i="7"/>
  <c r="Q379" i="7"/>
  <c r="Z379" i="7" s="1"/>
  <c r="E379" i="7" s="1"/>
  <c r="M379" i="7"/>
  <c r="G379" i="7"/>
  <c r="F379" i="7"/>
  <c r="D379" i="7"/>
  <c r="Y378" i="7"/>
  <c r="I378" i="7" s="1"/>
  <c r="X378" i="7"/>
  <c r="Q378" i="7"/>
  <c r="Z378" i="7" s="1"/>
  <c r="M378" i="7"/>
  <c r="D378" i="7" s="1"/>
  <c r="G378" i="7"/>
  <c r="F378" i="7"/>
  <c r="Y377" i="7"/>
  <c r="X377" i="7"/>
  <c r="Q377" i="7"/>
  <c r="Z377" i="7" s="1"/>
  <c r="M377" i="7"/>
  <c r="I377" i="7"/>
  <c r="G377" i="7"/>
  <c r="F377" i="7"/>
  <c r="D377" i="7"/>
  <c r="Y376" i="7"/>
  <c r="I376" i="7" s="1"/>
  <c r="X376" i="7"/>
  <c r="E376" i="7" s="1"/>
  <c r="Q376" i="7"/>
  <c r="Z376" i="7" s="1"/>
  <c r="M376" i="7"/>
  <c r="D376" i="7" s="1"/>
  <c r="G376" i="7"/>
  <c r="F376" i="7"/>
  <c r="Y375" i="7"/>
  <c r="I375" i="7" s="1"/>
  <c r="X375" i="7"/>
  <c r="Q375" i="7"/>
  <c r="Z375" i="7" s="1"/>
  <c r="M375" i="7"/>
  <c r="G375" i="7"/>
  <c r="F375" i="7"/>
  <c r="D375" i="7"/>
  <c r="Y374" i="7"/>
  <c r="I374" i="7" s="1"/>
  <c r="X374" i="7"/>
  <c r="Q374" i="7"/>
  <c r="Z374" i="7" s="1"/>
  <c r="E374" i="7" s="1"/>
  <c r="M374" i="7"/>
  <c r="D374" i="7" s="1"/>
  <c r="G374" i="7"/>
  <c r="F374" i="7"/>
  <c r="Y373" i="7"/>
  <c r="X373" i="7"/>
  <c r="E373" i="7" s="1"/>
  <c r="Q373" i="7"/>
  <c r="Z373" i="7" s="1"/>
  <c r="M373" i="7"/>
  <c r="D373" i="7" s="1"/>
  <c r="I373" i="7"/>
  <c r="G373" i="7"/>
  <c r="F373" i="7"/>
  <c r="Y372" i="7"/>
  <c r="I372" i="7" s="1"/>
  <c r="X372" i="7"/>
  <c r="Q372" i="7"/>
  <c r="Z372" i="7" s="1"/>
  <c r="M372" i="7"/>
  <c r="D372" i="7" s="1"/>
  <c r="G372" i="7"/>
  <c r="F372" i="7"/>
  <c r="Y371" i="7"/>
  <c r="I371" i="7" s="1"/>
  <c r="X371" i="7"/>
  <c r="Q371" i="7"/>
  <c r="Z371" i="7" s="1"/>
  <c r="E371" i="7" s="1"/>
  <c r="M371" i="7"/>
  <c r="D371" i="7" s="1"/>
  <c r="G371" i="7"/>
  <c r="F371" i="7"/>
  <c r="Y370" i="7"/>
  <c r="X370" i="7"/>
  <c r="Q370" i="7"/>
  <c r="Z370" i="7" s="1"/>
  <c r="E370" i="7" s="1"/>
  <c r="M370" i="7"/>
  <c r="D370" i="7" s="1"/>
  <c r="I370" i="7"/>
  <c r="G370" i="7"/>
  <c r="F370" i="7"/>
  <c r="Y369" i="7"/>
  <c r="X369" i="7"/>
  <c r="Q369" i="7"/>
  <c r="Z369" i="7" s="1"/>
  <c r="M369" i="7"/>
  <c r="D369" i="7" s="1"/>
  <c r="I369" i="7"/>
  <c r="G369" i="7"/>
  <c r="F369" i="7"/>
  <c r="Y368" i="7"/>
  <c r="I368" i="7" s="1"/>
  <c r="X368" i="7"/>
  <c r="Q368" i="7"/>
  <c r="Z368" i="7" s="1"/>
  <c r="E368" i="7" s="1"/>
  <c r="M368" i="7"/>
  <c r="D368" i="7" s="1"/>
  <c r="G368" i="7"/>
  <c r="F368" i="7"/>
  <c r="Y367" i="7"/>
  <c r="I367" i="7" s="1"/>
  <c r="X367" i="7"/>
  <c r="Q367" i="7"/>
  <c r="Z367" i="7" s="1"/>
  <c r="E367" i="7" s="1"/>
  <c r="M367" i="7"/>
  <c r="D367" i="7" s="1"/>
  <c r="G367" i="7"/>
  <c r="F367" i="7"/>
  <c r="Y366" i="7"/>
  <c r="X366" i="7"/>
  <c r="Q366" i="7"/>
  <c r="Z366" i="7" s="1"/>
  <c r="M366" i="7"/>
  <c r="D366" i="7" s="1"/>
  <c r="I366" i="7"/>
  <c r="G366" i="7"/>
  <c r="F366" i="7"/>
  <c r="Y365" i="7"/>
  <c r="X365" i="7"/>
  <c r="Q365" i="7"/>
  <c r="Z365" i="7" s="1"/>
  <c r="M365" i="7"/>
  <c r="I365" i="7"/>
  <c r="G365" i="7"/>
  <c r="F365" i="7"/>
  <c r="D365" i="7"/>
  <c r="Z364" i="7"/>
  <c r="Y364" i="7"/>
  <c r="I364" i="7" s="1"/>
  <c r="X364" i="7"/>
  <c r="Q364" i="7"/>
  <c r="M364" i="7"/>
  <c r="D364" i="7" s="1"/>
  <c r="G364" i="7"/>
  <c r="F364" i="7"/>
  <c r="E364" i="7"/>
  <c r="Y363" i="7"/>
  <c r="I363" i="7" s="1"/>
  <c r="X363" i="7"/>
  <c r="Q363" i="7"/>
  <c r="Z363" i="7" s="1"/>
  <c r="E363" i="7" s="1"/>
  <c r="M363" i="7"/>
  <c r="G363" i="7"/>
  <c r="F363" i="7"/>
  <c r="D363" i="7"/>
  <c r="Y362" i="7"/>
  <c r="X362" i="7"/>
  <c r="Q362" i="7"/>
  <c r="Z362" i="7" s="1"/>
  <c r="E362" i="7" s="1"/>
  <c r="M362" i="7"/>
  <c r="D362" i="7" s="1"/>
  <c r="I362" i="7"/>
  <c r="G362" i="7"/>
  <c r="F362" i="7"/>
  <c r="Y361" i="7"/>
  <c r="I361" i="7" s="1"/>
  <c r="X361" i="7"/>
  <c r="Q361" i="7"/>
  <c r="Z361" i="7" s="1"/>
  <c r="M361" i="7"/>
  <c r="G361" i="7"/>
  <c r="F361" i="7"/>
  <c r="D361" i="7"/>
  <c r="Z360" i="7"/>
  <c r="E360" i="7" s="1"/>
  <c r="Y360" i="7"/>
  <c r="I360" i="7" s="1"/>
  <c r="X360" i="7"/>
  <c r="Q360" i="7"/>
  <c r="M360" i="7"/>
  <c r="G360" i="7"/>
  <c r="F360" i="7"/>
  <c r="D360" i="7"/>
  <c r="Y359" i="7"/>
  <c r="I359" i="7" s="1"/>
  <c r="X359" i="7"/>
  <c r="Q359" i="7"/>
  <c r="Z359" i="7" s="1"/>
  <c r="M359" i="7"/>
  <c r="G359" i="7"/>
  <c r="F359" i="7"/>
  <c r="D359" i="7"/>
  <c r="Y358" i="7"/>
  <c r="I358" i="7" s="1"/>
  <c r="X358" i="7"/>
  <c r="Q358" i="7"/>
  <c r="Z358" i="7" s="1"/>
  <c r="M358" i="7"/>
  <c r="D358" i="7" s="1"/>
  <c r="G358" i="7"/>
  <c r="F358" i="7"/>
  <c r="Y357" i="7"/>
  <c r="I357" i="7" s="1"/>
  <c r="X357" i="7"/>
  <c r="Q357" i="7"/>
  <c r="Z357" i="7" s="1"/>
  <c r="M357" i="7"/>
  <c r="G357" i="7"/>
  <c r="F357" i="7"/>
  <c r="D357" i="7"/>
  <c r="Z356" i="7"/>
  <c r="Y356" i="7"/>
  <c r="I356" i="7" s="1"/>
  <c r="X356" i="7"/>
  <c r="E356" i="7" s="1"/>
  <c r="Q356" i="7"/>
  <c r="M356" i="7"/>
  <c r="G356" i="7"/>
  <c r="F356" i="7"/>
  <c r="D356" i="7"/>
  <c r="Y355" i="7"/>
  <c r="I355" i="7" s="1"/>
  <c r="X355" i="7"/>
  <c r="Q355" i="7"/>
  <c r="Z355" i="7" s="1"/>
  <c r="M355" i="7"/>
  <c r="G355" i="7"/>
  <c r="F355" i="7"/>
  <c r="D355" i="7"/>
  <c r="Y354" i="7"/>
  <c r="I354" i="7" s="1"/>
  <c r="X354" i="7"/>
  <c r="Q354" i="7"/>
  <c r="Z354" i="7" s="1"/>
  <c r="E354" i="7" s="1"/>
  <c r="M354" i="7"/>
  <c r="D354" i="7" s="1"/>
  <c r="G354" i="7"/>
  <c r="F354" i="7"/>
  <c r="Y353" i="7"/>
  <c r="I353" i="7" s="1"/>
  <c r="X353" i="7"/>
  <c r="Q353" i="7"/>
  <c r="Z353" i="7" s="1"/>
  <c r="M353" i="7"/>
  <c r="D353" i="7" s="1"/>
  <c r="G353" i="7"/>
  <c r="F353" i="7"/>
  <c r="Y352" i="7"/>
  <c r="I352" i="7" s="1"/>
  <c r="X352" i="7"/>
  <c r="Q352" i="7"/>
  <c r="Z352" i="7" s="1"/>
  <c r="E352" i="7" s="1"/>
  <c r="M352" i="7"/>
  <c r="D352" i="7" s="1"/>
  <c r="G352" i="7"/>
  <c r="F352" i="7"/>
  <c r="Y351" i="7"/>
  <c r="I351" i="7" s="1"/>
  <c r="X351" i="7"/>
  <c r="Q351" i="7"/>
  <c r="Z351" i="7" s="1"/>
  <c r="M351" i="7"/>
  <c r="D351" i="7" s="1"/>
  <c r="G351" i="7"/>
  <c r="F351" i="7"/>
  <c r="Y350" i="7"/>
  <c r="X350" i="7"/>
  <c r="Q350" i="7"/>
  <c r="Z350" i="7" s="1"/>
  <c r="E350" i="7" s="1"/>
  <c r="M350" i="7"/>
  <c r="D350" i="7" s="1"/>
  <c r="I350" i="7"/>
  <c r="G350" i="7"/>
  <c r="F350" i="7"/>
  <c r="Z349" i="7"/>
  <c r="Y349" i="7"/>
  <c r="X349" i="7"/>
  <c r="M349" i="7"/>
  <c r="D349" i="7" s="1"/>
  <c r="I349" i="7"/>
  <c r="G349" i="7"/>
  <c r="F349" i="7"/>
  <c r="E349" i="7"/>
  <c r="Z348" i="7"/>
  <c r="Y348" i="7"/>
  <c r="X348" i="7"/>
  <c r="M348" i="7"/>
  <c r="D348" i="7" s="1"/>
  <c r="I348" i="7"/>
  <c r="G348" i="7"/>
  <c r="F348" i="7"/>
  <c r="E348" i="7"/>
  <c r="Y347" i="7"/>
  <c r="I347" i="7" s="1"/>
  <c r="X347" i="7"/>
  <c r="Q347" i="7"/>
  <c r="Z347" i="7" s="1"/>
  <c r="E347" i="7" s="1"/>
  <c r="M347" i="7"/>
  <c r="D347" i="7" s="1"/>
  <c r="G347" i="7"/>
  <c r="F347" i="7"/>
  <c r="Y346" i="7"/>
  <c r="I346" i="7" s="1"/>
  <c r="X346" i="7"/>
  <c r="Q346" i="7"/>
  <c r="Z346" i="7" s="1"/>
  <c r="E346" i="7" s="1"/>
  <c r="M346" i="7"/>
  <c r="D346" i="7" s="1"/>
  <c r="G346" i="7"/>
  <c r="F346" i="7"/>
  <c r="Y345" i="7"/>
  <c r="X345" i="7"/>
  <c r="Q345" i="7"/>
  <c r="Z345" i="7" s="1"/>
  <c r="E345" i="7" s="1"/>
  <c r="M345" i="7"/>
  <c r="D345" i="7" s="1"/>
  <c r="I345" i="7"/>
  <c r="G345" i="7"/>
  <c r="F345" i="7"/>
  <c r="Y344" i="7"/>
  <c r="X344" i="7"/>
  <c r="Q344" i="7"/>
  <c r="Z344" i="7" s="1"/>
  <c r="M344" i="7"/>
  <c r="D344" i="7" s="1"/>
  <c r="I344" i="7"/>
  <c r="G344" i="7"/>
  <c r="F344" i="7"/>
  <c r="Y343" i="7"/>
  <c r="I343" i="7" s="1"/>
  <c r="X343" i="7"/>
  <c r="E343" i="7" s="1"/>
  <c r="Q343" i="7"/>
  <c r="Z343" i="7" s="1"/>
  <c r="M343" i="7"/>
  <c r="D343" i="7" s="1"/>
  <c r="G343" i="7"/>
  <c r="F343" i="7"/>
  <c r="Y342" i="7"/>
  <c r="I342" i="7" s="1"/>
  <c r="X342" i="7"/>
  <c r="Q342" i="7"/>
  <c r="Z342" i="7" s="1"/>
  <c r="E342" i="7" s="1"/>
  <c r="M342" i="7"/>
  <c r="D342" i="7" s="1"/>
  <c r="G342" i="7"/>
  <c r="F342" i="7"/>
  <c r="Y341" i="7"/>
  <c r="X341" i="7"/>
  <c r="Q341" i="7"/>
  <c r="Z341" i="7" s="1"/>
  <c r="M341" i="7"/>
  <c r="D341" i="7" s="1"/>
  <c r="I341" i="7"/>
  <c r="G341" i="7"/>
  <c r="F341" i="7"/>
  <c r="Y340" i="7"/>
  <c r="X340" i="7"/>
  <c r="Q340" i="7"/>
  <c r="Z340" i="7" s="1"/>
  <c r="M340" i="7"/>
  <c r="I340" i="7"/>
  <c r="G340" i="7"/>
  <c r="F340" i="7"/>
  <c r="D340" i="7"/>
  <c r="Y339" i="7"/>
  <c r="I339" i="7" s="1"/>
  <c r="X339" i="7"/>
  <c r="Q339" i="7"/>
  <c r="Z339" i="7" s="1"/>
  <c r="E339" i="7" s="1"/>
  <c r="M339" i="7"/>
  <c r="G339" i="7"/>
  <c r="F339" i="7"/>
  <c r="D339" i="7"/>
  <c r="Y338" i="7"/>
  <c r="I338" i="7" s="1"/>
  <c r="X338" i="7"/>
  <c r="Q338" i="7"/>
  <c r="Z338" i="7" s="1"/>
  <c r="E338" i="7" s="1"/>
  <c r="M338" i="7"/>
  <c r="G338" i="7"/>
  <c r="F338" i="7"/>
  <c r="D338" i="7"/>
  <c r="Y337" i="7"/>
  <c r="I337" i="7" s="1"/>
  <c r="X337" i="7"/>
  <c r="Q337" i="7"/>
  <c r="Z337" i="7" s="1"/>
  <c r="E337" i="7" s="1"/>
  <c r="M337" i="7"/>
  <c r="D337" i="7" s="1"/>
  <c r="G337" i="7"/>
  <c r="F337" i="7"/>
  <c r="Y336" i="7"/>
  <c r="I336" i="7" s="1"/>
  <c r="X336" i="7"/>
  <c r="E336" i="7" s="1"/>
  <c r="Q336" i="7"/>
  <c r="Z336" i="7" s="1"/>
  <c r="M336" i="7"/>
  <c r="G336" i="7"/>
  <c r="F336" i="7"/>
  <c r="D336" i="7"/>
  <c r="Y335" i="7"/>
  <c r="I335" i="7" s="1"/>
  <c r="X335" i="7"/>
  <c r="Q335" i="7"/>
  <c r="Z335" i="7" s="1"/>
  <c r="E335" i="7" s="1"/>
  <c r="M335" i="7"/>
  <c r="G335" i="7"/>
  <c r="F335" i="7"/>
  <c r="D335" i="7"/>
  <c r="Y334" i="7"/>
  <c r="I334" i="7" s="1"/>
  <c r="X334" i="7"/>
  <c r="Q334" i="7"/>
  <c r="Z334" i="7" s="1"/>
  <c r="E334" i="7" s="1"/>
  <c r="M334" i="7"/>
  <c r="G334" i="7"/>
  <c r="F334" i="7"/>
  <c r="D334" i="7"/>
  <c r="Y333" i="7"/>
  <c r="I333" i="7" s="1"/>
  <c r="X333" i="7"/>
  <c r="Q333" i="7"/>
  <c r="Z333" i="7" s="1"/>
  <c r="M333" i="7"/>
  <c r="D333" i="7" s="1"/>
  <c r="G333" i="7"/>
  <c r="F333" i="7"/>
  <c r="Y332" i="7"/>
  <c r="I332" i="7" s="1"/>
  <c r="X332" i="7"/>
  <c r="Q332" i="7"/>
  <c r="Z332" i="7" s="1"/>
  <c r="M332" i="7"/>
  <c r="G332" i="7"/>
  <c r="F332" i="7"/>
  <c r="D332" i="7"/>
  <c r="Z331" i="7"/>
  <c r="Y331" i="7"/>
  <c r="I331" i="7" s="1"/>
  <c r="X331" i="7"/>
  <c r="Q331" i="7"/>
  <c r="M331" i="7"/>
  <c r="G331" i="7"/>
  <c r="F331" i="7"/>
  <c r="D331" i="7"/>
  <c r="Y330" i="7"/>
  <c r="I330" i="7" s="1"/>
  <c r="X330" i="7"/>
  <c r="Q330" i="7"/>
  <c r="Z330" i="7" s="1"/>
  <c r="E330" i="7" s="1"/>
  <c r="M330" i="7"/>
  <c r="D330" i="7" s="1"/>
  <c r="G330" i="7"/>
  <c r="F330" i="7"/>
  <c r="Y329" i="7"/>
  <c r="I329" i="7" s="1"/>
  <c r="X329" i="7"/>
  <c r="Q329" i="7"/>
  <c r="Z329" i="7" s="1"/>
  <c r="M329" i="7"/>
  <c r="D329" i="7" s="1"/>
  <c r="G329" i="7"/>
  <c r="F329" i="7"/>
  <c r="Y328" i="7"/>
  <c r="X328" i="7"/>
  <c r="Q328" i="7"/>
  <c r="Z328" i="7" s="1"/>
  <c r="M328" i="7"/>
  <c r="D328" i="7" s="1"/>
  <c r="I328" i="7"/>
  <c r="G328" i="7"/>
  <c r="F328" i="7"/>
  <c r="Y327" i="7"/>
  <c r="I327" i="7" s="1"/>
  <c r="X327" i="7"/>
  <c r="Q327" i="7"/>
  <c r="Z327" i="7" s="1"/>
  <c r="M327" i="7"/>
  <c r="D327" i="7" s="1"/>
  <c r="G327" i="7"/>
  <c r="F327" i="7"/>
  <c r="Y326" i="7"/>
  <c r="I326" i="7" s="1"/>
  <c r="X326" i="7"/>
  <c r="Q326" i="7"/>
  <c r="Z326" i="7" s="1"/>
  <c r="M326" i="7"/>
  <c r="D326" i="7" s="1"/>
  <c r="G326" i="7"/>
  <c r="F326" i="7"/>
  <c r="Y325" i="7"/>
  <c r="X325" i="7"/>
  <c r="Q325" i="7"/>
  <c r="Z325" i="7" s="1"/>
  <c r="M325" i="7"/>
  <c r="D325" i="7" s="1"/>
  <c r="I325" i="7"/>
  <c r="G325" i="7"/>
  <c r="F325" i="7"/>
  <c r="Y324" i="7"/>
  <c r="X324" i="7"/>
  <c r="Q324" i="7"/>
  <c r="Z324" i="7" s="1"/>
  <c r="M324" i="7"/>
  <c r="D324" i="7" s="1"/>
  <c r="I324" i="7"/>
  <c r="G324" i="7"/>
  <c r="F324" i="7"/>
  <c r="Y323" i="7"/>
  <c r="I323" i="7" s="1"/>
  <c r="X323" i="7"/>
  <c r="Q323" i="7"/>
  <c r="Z323" i="7" s="1"/>
  <c r="E323" i="7" s="1"/>
  <c r="M323" i="7"/>
  <c r="D323" i="7" s="1"/>
  <c r="G323" i="7"/>
  <c r="F323" i="7"/>
  <c r="Y322" i="7"/>
  <c r="I322" i="7" s="1"/>
  <c r="X322" i="7"/>
  <c r="Q322" i="7"/>
  <c r="Z322" i="7" s="1"/>
  <c r="E322" i="7" s="1"/>
  <c r="M322" i="7"/>
  <c r="D322" i="7" s="1"/>
  <c r="G322" i="7"/>
  <c r="F322" i="7"/>
  <c r="Y321" i="7"/>
  <c r="X321" i="7"/>
  <c r="Q321" i="7"/>
  <c r="Z321" i="7" s="1"/>
  <c r="M321" i="7"/>
  <c r="D321" i="7" s="1"/>
  <c r="I321" i="7"/>
  <c r="G321" i="7"/>
  <c r="F321" i="7"/>
  <c r="Y320" i="7"/>
  <c r="X320" i="7"/>
  <c r="Q320" i="7"/>
  <c r="Z320" i="7" s="1"/>
  <c r="M320" i="7"/>
  <c r="I320" i="7"/>
  <c r="G320" i="7"/>
  <c r="F320" i="7"/>
  <c r="D320" i="7"/>
  <c r="Y319" i="7"/>
  <c r="I319" i="7" s="1"/>
  <c r="X319" i="7"/>
  <c r="Q319" i="7"/>
  <c r="Z319" i="7" s="1"/>
  <c r="E319" i="7" s="1"/>
  <c r="M319" i="7"/>
  <c r="D319" i="7" s="1"/>
  <c r="G319" i="7"/>
  <c r="F319" i="7"/>
  <c r="Y318" i="7"/>
  <c r="I318" i="7" s="1"/>
  <c r="X318" i="7"/>
  <c r="Q318" i="7"/>
  <c r="Z318" i="7" s="1"/>
  <c r="M318" i="7"/>
  <c r="G318" i="7"/>
  <c r="F318" i="7"/>
  <c r="D318" i="7"/>
  <c r="Y317" i="7"/>
  <c r="X317" i="7"/>
  <c r="Q317" i="7"/>
  <c r="Z317" i="7" s="1"/>
  <c r="M317" i="7"/>
  <c r="D317" i="7" s="1"/>
  <c r="I317" i="7"/>
  <c r="G317" i="7"/>
  <c r="F317" i="7"/>
  <c r="Y316" i="7"/>
  <c r="I316" i="7" s="1"/>
  <c r="X316" i="7"/>
  <c r="Q316" i="7"/>
  <c r="Z316" i="7" s="1"/>
  <c r="M316" i="7"/>
  <c r="G316" i="7"/>
  <c r="F316" i="7"/>
  <c r="D316" i="7"/>
  <c r="Z315" i="7"/>
  <c r="Y315" i="7"/>
  <c r="X315" i="7"/>
  <c r="M315" i="7"/>
  <c r="I315" i="7"/>
  <c r="G315" i="7"/>
  <c r="F315" i="7"/>
  <c r="E315" i="7"/>
  <c r="D315" i="7"/>
  <c r="Y314" i="7"/>
  <c r="I314" i="7" s="1"/>
  <c r="X314" i="7"/>
  <c r="Q314" i="7"/>
  <c r="Z314" i="7" s="1"/>
  <c r="M314" i="7"/>
  <c r="D314" i="7" s="1"/>
  <c r="G314" i="7"/>
  <c r="F314" i="7"/>
  <c r="Z313" i="7"/>
  <c r="Y313" i="7"/>
  <c r="X313" i="7"/>
  <c r="Q313" i="7"/>
  <c r="M313" i="7"/>
  <c r="D313" i="7" s="1"/>
  <c r="I313" i="7"/>
  <c r="G313" i="7"/>
  <c r="F313" i="7"/>
  <c r="E313" i="7"/>
  <c r="Y312" i="7"/>
  <c r="X312" i="7"/>
  <c r="Q312" i="7"/>
  <c r="Z312" i="7" s="1"/>
  <c r="M312" i="7"/>
  <c r="D312" i="7" s="1"/>
  <c r="I312" i="7"/>
  <c r="G312" i="7"/>
  <c r="F312" i="7"/>
  <c r="Z311" i="7"/>
  <c r="Y311" i="7"/>
  <c r="I311" i="7" s="1"/>
  <c r="X311" i="7"/>
  <c r="Q311" i="7"/>
  <c r="M311" i="7"/>
  <c r="G311" i="7"/>
  <c r="F311" i="7"/>
  <c r="D311" i="7"/>
  <c r="Z310" i="7"/>
  <c r="Y310" i="7"/>
  <c r="I310" i="7" s="1"/>
  <c r="X310" i="7"/>
  <c r="Q310" i="7"/>
  <c r="M310" i="7"/>
  <c r="D310" i="7" s="1"/>
  <c r="G310" i="7"/>
  <c r="F310" i="7"/>
  <c r="Y309" i="7"/>
  <c r="I309" i="7" s="1"/>
  <c r="X309" i="7"/>
  <c r="Q309" i="7"/>
  <c r="Z309" i="7" s="1"/>
  <c r="M309" i="7"/>
  <c r="D309" i="7" s="1"/>
  <c r="G309" i="7"/>
  <c r="F309" i="7"/>
  <c r="Y308" i="7"/>
  <c r="I308" i="7" s="1"/>
  <c r="X308" i="7"/>
  <c r="Q308" i="7"/>
  <c r="Z308" i="7" s="1"/>
  <c r="E308" i="7" s="1"/>
  <c r="M308" i="7"/>
  <c r="D308" i="7" s="1"/>
  <c r="G308" i="7"/>
  <c r="F308" i="7"/>
  <c r="Y307" i="7"/>
  <c r="I307" i="7" s="1"/>
  <c r="X307" i="7"/>
  <c r="Q307" i="7"/>
  <c r="Z307" i="7" s="1"/>
  <c r="M307" i="7"/>
  <c r="G307" i="7"/>
  <c r="F307" i="7"/>
  <c r="D307" i="7"/>
  <c r="Y306" i="7"/>
  <c r="I306" i="7" s="1"/>
  <c r="X306" i="7"/>
  <c r="Q306" i="7"/>
  <c r="Z306" i="7" s="1"/>
  <c r="M306" i="7"/>
  <c r="D306" i="7" s="1"/>
  <c r="G306" i="7"/>
  <c r="F306" i="7"/>
  <c r="Y305" i="7"/>
  <c r="X305" i="7"/>
  <c r="E305" i="7" s="1"/>
  <c r="Q305" i="7"/>
  <c r="Z305" i="7" s="1"/>
  <c r="M305" i="7"/>
  <c r="D305" i="7" s="1"/>
  <c r="I305" i="7"/>
  <c r="G305" i="7"/>
  <c r="F305" i="7"/>
  <c r="Y304" i="7"/>
  <c r="X304" i="7"/>
  <c r="Q304" i="7"/>
  <c r="Z304" i="7" s="1"/>
  <c r="M304" i="7"/>
  <c r="D304" i="7" s="1"/>
  <c r="I304" i="7"/>
  <c r="G304" i="7"/>
  <c r="F304" i="7"/>
  <c r="Y303" i="7"/>
  <c r="I303" i="7" s="1"/>
  <c r="X303" i="7"/>
  <c r="Q303" i="7"/>
  <c r="Z303" i="7" s="1"/>
  <c r="M303" i="7"/>
  <c r="G303" i="7"/>
  <c r="F303" i="7"/>
  <c r="D303" i="7"/>
  <c r="Y302" i="7"/>
  <c r="I302" i="7" s="1"/>
  <c r="X302" i="7"/>
  <c r="Q302" i="7"/>
  <c r="Z302" i="7" s="1"/>
  <c r="M302" i="7"/>
  <c r="D302" i="7" s="1"/>
  <c r="G302" i="7"/>
  <c r="F302" i="7"/>
  <c r="Y301" i="7"/>
  <c r="X301" i="7"/>
  <c r="Q301" i="7"/>
  <c r="Z301" i="7" s="1"/>
  <c r="E301" i="7" s="1"/>
  <c r="M301" i="7"/>
  <c r="D301" i="7" s="1"/>
  <c r="I301" i="7"/>
  <c r="G301" i="7"/>
  <c r="F301" i="7"/>
  <c r="Y300" i="7"/>
  <c r="I300" i="7" s="1"/>
  <c r="X300" i="7"/>
  <c r="Q300" i="7"/>
  <c r="Z300" i="7" s="1"/>
  <c r="E300" i="7" s="1"/>
  <c r="M300" i="7"/>
  <c r="D300" i="7" s="1"/>
  <c r="G300" i="7"/>
  <c r="F300" i="7"/>
  <c r="Y299" i="7"/>
  <c r="I299" i="7" s="1"/>
  <c r="X299" i="7"/>
  <c r="Q299" i="7"/>
  <c r="Z299" i="7" s="1"/>
  <c r="M299" i="7"/>
  <c r="D299" i="7" s="1"/>
  <c r="G299" i="7"/>
  <c r="F299" i="7"/>
  <c r="Y298" i="7"/>
  <c r="I298" i="7" s="1"/>
  <c r="X298" i="7"/>
  <c r="Q298" i="7"/>
  <c r="Z298" i="7" s="1"/>
  <c r="M298" i="7"/>
  <c r="D298" i="7" s="1"/>
  <c r="G298" i="7"/>
  <c r="F298" i="7"/>
  <c r="Y297" i="7"/>
  <c r="I297" i="7" s="1"/>
  <c r="X297" i="7"/>
  <c r="Q297" i="7"/>
  <c r="Z297" i="7" s="1"/>
  <c r="M297" i="7"/>
  <c r="D297" i="7" s="1"/>
  <c r="G297" i="7"/>
  <c r="F297" i="7"/>
  <c r="Y296" i="7"/>
  <c r="I296" i="7" s="1"/>
  <c r="X296" i="7"/>
  <c r="Q296" i="7"/>
  <c r="Z296" i="7" s="1"/>
  <c r="M296" i="7"/>
  <c r="D296" i="7" s="1"/>
  <c r="G296" i="7"/>
  <c r="F296" i="7"/>
  <c r="Y295" i="7"/>
  <c r="I295" i="7" s="1"/>
  <c r="X295" i="7"/>
  <c r="Q295" i="7"/>
  <c r="Z295" i="7" s="1"/>
  <c r="M295" i="7"/>
  <c r="D295" i="7" s="1"/>
  <c r="G295" i="7"/>
  <c r="F295" i="7"/>
  <c r="Y294" i="7"/>
  <c r="I294" i="7" s="1"/>
  <c r="X294" i="7"/>
  <c r="Q294" i="7"/>
  <c r="Z294" i="7" s="1"/>
  <c r="M294" i="7"/>
  <c r="D294" i="7" s="1"/>
  <c r="G294" i="7"/>
  <c r="F294" i="7"/>
  <c r="Y293" i="7"/>
  <c r="X293" i="7"/>
  <c r="Q293" i="7"/>
  <c r="Z293" i="7" s="1"/>
  <c r="M293" i="7"/>
  <c r="D293" i="7" s="1"/>
  <c r="I293" i="7"/>
  <c r="G293" i="7"/>
  <c r="F293" i="7"/>
  <c r="Y292" i="7"/>
  <c r="X292" i="7"/>
  <c r="Q292" i="7"/>
  <c r="Z292" i="7" s="1"/>
  <c r="M292" i="7"/>
  <c r="D292" i="7" s="1"/>
  <c r="I292" i="7"/>
  <c r="G292" i="7"/>
  <c r="F292" i="7"/>
  <c r="Y291" i="7"/>
  <c r="I291" i="7" s="1"/>
  <c r="X291" i="7"/>
  <c r="Q291" i="7"/>
  <c r="Z291" i="7" s="1"/>
  <c r="M291" i="7"/>
  <c r="D291" i="7" s="1"/>
  <c r="G291" i="7"/>
  <c r="F291" i="7"/>
  <c r="Y290" i="7"/>
  <c r="I290" i="7" s="1"/>
  <c r="X290" i="7"/>
  <c r="Q290" i="7"/>
  <c r="Z290" i="7" s="1"/>
  <c r="M290" i="7"/>
  <c r="D290" i="7" s="1"/>
  <c r="G290" i="7"/>
  <c r="F290" i="7"/>
  <c r="Y289" i="7"/>
  <c r="X289" i="7"/>
  <c r="Q289" i="7"/>
  <c r="Z289" i="7" s="1"/>
  <c r="E289" i="7" s="1"/>
  <c r="M289" i="7"/>
  <c r="D289" i="7" s="1"/>
  <c r="I289" i="7"/>
  <c r="G289" i="7"/>
  <c r="F289" i="7"/>
  <c r="Y288" i="7"/>
  <c r="X288" i="7"/>
  <c r="Q288" i="7"/>
  <c r="Z288" i="7" s="1"/>
  <c r="M288" i="7"/>
  <c r="D288" i="7" s="1"/>
  <c r="I288" i="7"/>
  <c r="G288" i="7"/>
  <c r="F288" i="7"/>
  <c r="Y287" i="7"/>
  <c r="I287" i="7" s="1"/>
  <c r="X287" i="7"/>
  <c r="Q287" i="7"/>
  <c r="Z287" i="7" s="1"/>
  <c r="M287" i="7"/>
  <c r="D287" i="7" s="1"/>
  <c r="G287" i="7"/>
  <c r="F287" i="7"/>
  <c r="Y286" i="7"/>
  <c r="I286" i="7" s="1"/>
  <c r="X286" i="7"/>
  <c r="Q286" i="7"/>
  <c r="Z286" i="7" s="1"/>
  <c r="M286" i="7"/>
  <c r="D286" i="7" s="1"/>
  <c r="G286" i="7"/>
  <c r="F286" i="7"/>
  <c r="Y285" i="7"/>
  <c r="X285" i="7"/>
  <c r="E285" i="7" s="1"/>
  <c r="Q285" i="7"/>
  <c r="Z285" i="7" s="1"/>
  <c r="M285" i="7"/>
  <c r="D285" i="7" s="1"/>
  <c r="I285" i="7"/>
  <c r="G285" i="7"/>
  <c r="F285" i="7"/>
  <c r="Y284" i="7"/>
  <c r="X284" i="7"/>
  <c r="Q284" i="7"/>
  <c r="Z284" i="7" s="1"/>
  <c r="M284" i="7"/>
  <c r="D284" i="7" s="1"/>
  <c r="I284" i="7"/>
  <c r="G284" i="7"/>
  <c r="F284" i="7"/>
  <c r="Y283" i="7"/>
  <c r="I283" i="7" s="1"/>
  <c r="X283" i="7"/>
  <c r="Q283" i="7"/>
  <c r="Z283" i="7" s="1"/>
  <c r="M283" i="7"/>
  <c r="G283" i="7"/>
  <c r="F283" i="7"/>
  <c r="D283" i="7"/>
  <c r="Z282" i="7"/>
  <c r="Y282" i="7"/>
  <c r="X282" i="7"/>
  <c r="M282" i="7"/>
  <c r="D282" i="7" s="1"/>
  <c r="I282" i="7"/>
  <c r="G282" i="7"/>
  <c r="F282" i="7"/>
  <c r="E282" i="7"/>
  <c r="Z281" i="7"/>
  <c r="Y281" i="7"/>
  <c r="X281" i="7"/>
  <c r="M281" i="7"/>
  <c r="D281" i="7" s="1"/>
  <c r="I281" i="7"/>
  <c r="G281" i="7"/>
  <c r="F281" i="7"/>
  <c r="E281" i="7"/>
  <c r="Z280" i="7"/>
  <c r="Y280" i="7"/>
  <c r="X280" i="7"/>
  <c r="M280" i="7"/>
  <c r="D280" i="7" s="1"/>
  <c r="I280" i="7"/>
  <c r="G280" i="7"/>
  <c r="F280" i="7"/>
  <c r="Z279" i="7"/>
  <c r="Y279" i="7"/>
  <c r="X279" i="7"/>
  <c r="M279" i="7"/>
  <c r="D279" i="7" s="1"/>
  <c r="I279" i="7"/>
  <c r="G279" i="7"/>
  <c r="F279" i="7"/>
  <c r="E279" i="7"/>
  <c r="Z278" i="7"/>
  <c r="Y278" i="7"/>
  <c r="X278" i="7"/>
  <c r="M278" i="7"/>
  <c r="D278" i="7" s="1"/>
  <c r="I278" i="7"/>
  <c r="G278" i="7"/>
  <c r="F278" i="7"/>
  <c r="E278" i="7"/>
  <c r="Z277" i="7"/>
  <c r="Y277" i="7"/>
  <c r="I277" i="7" s="1"/>
  <c r="X277" i="7"/>
  <c r="M277" i="7"/>
  <c r="D277" i="7" s="1"/>
  <c r="G277" i="7"/>
  <c r="F277" i="7"/>
  <c r="Z276" i="7"/>
  <c r="Y276" i="7"/>
  <c r="X276" i="7"/>
  <c r="M276" i="7"/>
  <c r="I276" i="7"/>
  <c r="G276" i="7"/>
  <c r="F276" i="7"/>
  <c r="E276" i="7"/>
  <c r="D276" i="7"/>
  <c r="Z275" i="7"/>
  <c r="Y275" i="7"/>
  <c r="I275" i="7" s="1"/>
  <c r="X275" i="7"/>
  <c r="M275" i="7"/>
  <c r="G275" i="7"/>
  <c r="F275" i="7"/>
  <c r="D275" i="7"/>
  <c r="Z274" i="7"/>
  <c r="Y274" i="7"/>
  <c r="X274" i="7"/>
  <c r="E274" i="7" s="1"/>
  <c r="M274" i="7"/>
  <c r="I274" i="7"/>
  <c r="G274" i="7"/>
  <c r="F274" i="7"/>
  <c r="D274" i="7"/>
  <c r="Z273" i="7"/>
  <c r="Y273" i="7"/>
  <c r="I273" i="7" s="1"/>
  <c r="X273" i="7"/>
  <c r="E273" i="7" s="1"/>
  <c r="M273" i="7"/>
  <c r="D273" i="7" s="1"/>
  <c r="G273" i="7"/>
  <c r="F273" i="7"/>
  <c r="Z272" i="7"/>
  <c r="Y272" i="7"/>
  <c r="I272" i="7" s="1"/>
  <c r="X272" i="7"/>
  <c r="M272" i="7"/>
  <c r="D272" i="7" s="1"/>
  <c r="G272" i="7"/>
  <c r="F272" i="7"/>
  <c r="Z271" i="7"/>
  <c r="Y271" i="7"/>
  <c r="I271" i="7" s="1"/>
  <c r="X271" i="7"/>
  <c r="E271" i="7" s="1"/>
  <c r="M271" i="7"/>
  <c r="D271" i="7" s="1"/>
  <c r="G271" i="7"/>
  <c r="F271" i="7"/>
  <c r="Z270" i="7"/>
  <c r="Y270" i="7"/>
  <c r="I270" i="7" s="1"/>
  <c r="X270" i="7"/>
  <c r="M270" i="7"/>
  <c r="D270" i="7" s="1"/>
  <c r="G270" i="7"/>
  <c r="F270" i="7"/>
  <c r="Z269" i="7"/>
  <c r="Y269" i="7"/>
  <c r="I269" i="7" s="1"/>
  <c r="X269" i="7"/>
  <c r="E269" i="7" s="1"/>
  <c r="M269" i="7"/>
  <c r="D269" i="7" s="1"/>
  <c r="G269" i="7"/>
  <c r="F269" i="7"/>
  <c r="Z268" i="7"/>
  <c r="Y268" i="7"/>
  <c r="I268" i="7" s="1"/>
  <c r="X268" i="7"/>
  <c r="M268" i="7"/>
  <c r="D268" i="7" s="1"/>
  <c r="G268" i="7"/>
  <c r="F268" i="7"/>
  <c r="Z267" i="7"/>
  <c r="Y267" i="7"/>
  <c r="I267" i="7" s="1"/>
  <c r="X267" i="7"/>
  <c r="M267" i="7"/>
  <c r="G267" i="7"/>
  <c r="F267" i="7"/>
  <c r="D267" i="7"/>
  <c r="Z266" i="7"/>
  <c r="Y266" i="7"/>
  <c r="I266" i="7" s="1"/>
  <c r="X266" i="7"/>
  <c r="E266" i="7" s="1"/>
  <c r="M266" i="7"/>
  <c r="D266" i="7" s="1"/>
  <c r="G266" i="7"/>
  <c r="F266" i="7"/>
  <c r="Z265" i="7"/>
  <c r="Y265" i="7"/>
  <c r="I265" i="7" s="1"/>
  <c r="X265" i="7"/>
  <c r="E265" i="7" s="1"/>
  <c r="M265" i="7"/>
  <c r="D265" i="7" s="1"/>
  <c r="G265" i="7"/>
  <c r="F265" i="7"/>
  <c r="Z264" i="7"/>
  <c r="Y264" i="7"/>
  <c r="I264" i="7" s="1"/>
  <c r="X264" i="7"/>
  <c r="E264" i="7" s="1"/>
  <c r="M264" i="7"/>
  <c r="D264" i="7" s="1"/>
  <c r="G264" i="7"/>
  <c r="F264" i="7"/>
  <c r="Z263" i="7"/>
  <c r="Y263" i="7"/>
  <c r="I263" i="7" s="1"/>
  <c r="X263" i="7"/>
  <c r="E263" i="7" s="1"/>
  <c r="M263" i="7"/>
  <c r="D263" i="7" s="1"/>
  <c r="G263" i="7"/>
  <c r="F263" i="7"/>
  <c r="Z262" i="7"/>
  <c r="Y262" i="7"/>
  <c r="I262" i="7" s="1"/>
  <c r="X262" i="7"/>
  <c r="E262" i="7" s="1"/>
  <c r="M262" i="7"/>
  <c r="D262" i="7" s="1"/>
  <c r="G262" i="7"/>
  <c r="F262" i="7"/>
  <c r="Z261" i="7"/>
  <c r="Y261" i="7"/>
  <c r="I261" i="7" s="1"/>
  <c r="X261" i="7"/>
  <c r="E261" i="7" s="1"/>
  <c r="M261" i="7"/>
  <c r="D261" i="7" s="1"/>
  <c r="G261" i="7"/>
  <c r="F261" i="7"/>
  <c r="Z260" i="7"/>
  <c r="Y260" i="7"/>
  <c r="I260" i="7" s="1"/>
  <c r="X260" i="7"/>
  <c r="M260" i="7"/>
  <c r="G260" i="7"/>
  <c r="F260" i="7"/>
  <c r="D260" i="7"/>
  <c r="Z259" i="7"/>
  <c r="Y259" i="7"/>
  <c r="I259" i="7" s="1"/>
  <c r="X259" i="7"/>
  <c r="M259" i="7"/>
  <c r="G259" i="7"/>
  <c r="F259" i="7"/>
  <c r="D259" i="7"/>
  <c r="Z258" i="7"/>
  <c r="Y258" i="7"/>
  <c r="X258" i="7"/>
  <c r="E258" i="7" s="1"/>
  <c r="M258" i="7"/>
  <c r="I258" i="7"/>
  <c r="G258" i="7"/>
  <c r="F258" i="7"/>
  <c r="D258" i="7"/>
  <c r="Z257" i="7"/>
  <c r="Y257" i="7"/>
  <c r="I257" i="7" s="1"/>
  <c r="X257" i="7"/>
  <c r="M257" i="7"/>
  <c r="D257" i="7" s="1"/>
  <c r="G257" i="7"/>
  <c r="F257" i="7"/>
  <c r="E257" i="7"/>
  <c r="Z256" i="7"/>
  <c r="Y256" i="7"/>
  <c r="X256" i="7"/>
  <c r="E256" i="7" s="1"/>
  <c r="M256" i="7"/>
  <c r="I256" i="7"/>
  <c r="G256" i="7"/>
  <c r="F256" i="7"/>
  <c r="D256" i="7"/>
  <c r="Z255" i="7"/>
  <c r="Y255" i="7"/>
  <c r="X255" i="7"/>
  <c r="E255" i="7" s="1"/>
  <c r="M255" i="7"/>
  <c r="D255" i="7" s="1"/>
  <c r="I255" i="7"/>
  <c r="G255" i="7"/>
  <c r="F255" i="7"/>
  <c r="Z254" i="7"/>
  <c r="Y254" i="7"/>
  <c r="I254" i="7" s="1"/>
  <c r="X254" i="7"/>
  <c r="E254" i="7" s="1"/>
  <c r="M254" i="7"/>
  <c r="D254" i="7" s="1"/>
  <c r="G254" i="7"/>
  <c r="F254" i="7"/>
  <c r="Z253" i="7"/>
  <c r="Y253" i="7"/>
  <c r="I253" i="7" s="1"/>
  <c r="X253" i="7"/>
  <c r="M253" i="7"/>
  <c r="D253" i="7" s="1"/>
  <c r="G253" i="7"/>
  <c r="F253" i="7"/>
  <c r="Z252" i="7"/>
  <c r="Y252" i="7"/>
  <c r="I252" i="7" s="1"/>
  <c r="X252" i="7"/>
  <c r="E252" i="7" s="1"/>
  <c r="M252" i="7"/>
  <c r="D252" i="7" s="1"/>
  <c r="G252" i="7"/>
  <c r="F252" i="7"/>
  <c r="Z251" i="7"/>
  <c r="Y251" i="7"/>
  <c r="I251" i="7" s="1"/>
  <c r="X251" i="7"/>
  <c r="M251" i="7"/>
  <c r="G251" i="7"/>
  <c r="F251" i="7"/>
  <c r="D251" i="7"/>
  <c r="Z250" i="7"/>
  <c r="Y250" i="7"/>
  <c r="X250" i="7"/>
  <c r="M250" i="7"/>
  <c r="D250" i="7" s="1"/>
  <c r="I250" i="7"/>
  <c r="G250" i="7"/>
  <c r="F250" i="7"/>
  <c r="E250" i="7"/>
  <c r="Z249" i="7"/>
  <c r="Y249" i="7"/>
  <c r="I249" i="7" s="1"/>
  <c r="X249" i="7"/>
  <c r="M249" i="7"/>
  <c r="D249" i="7" s="1"/>
  <c r="G249" i="7"/>
  <c r="F249" i="7"/>
  <c r="E249" i="7"/>
  <c r="Z248" i="7"/>
  <c r="Y248" i="7"/>
  <c r="X248" i="7"/>
  <c r="E248" i="7" s="1"/>
  <c r="M248" i="7"/>
  <c r="I248" i="7"/>
  <c r="G248" i="7"/>
  <c r="F248" i="7"/>
  <c r="D248" i="7"/>
  <c r="Z247" i="7"/>
  <c r="Y247" i="7"/>
  <c r="X247" i="7"/>
  <c r="M247" i="7"/>
  <c r="D247" i="7" s="1"/>
  <c r="I247" i="7"/>
  <c r="G247" i="7"/>
  <c r="F247" i="7"/>
  <c r="E247" i="7"/>
  <c r="Z246" i="7"/>
  <c r="Y246" i="7"/>
  <c r="X246" i="7"/>
  <c r="E246" i="7" s="1"/>
  <c r="M246" i="7"/>
  <c r="D246" i="7" s="1"/>
  <c r="I246" i="7"/>
  <c r="G246" i="7"/>
  <c r="F246" i="7"/>
  <c r="Z245" i="7"/>
  <c r="Y245" i="7"/>
  <c r="I245" i="7" s="1"/>
  <c r="X245" i="7"/>
  <c r="M245" i="7"/>
  <c r="D245" i="7" s="1"/>
  <c r="G245" i="7"/>
  <c r="F245" i="7"/>
  <c r="Y244" i="7"/>
  <c r="I244" i="7" s="1"/>
  <c r="X244" i="7"/>
  <c r="Q244" i="7"/>
  <c r="Z244" i="7" s="1"/>
  <c r="M244" i="7"/>
  <c r="D244" i="7" s="1"/>
  <c r="G244" i="7"/>
  <c r="F244" i="7"/>
  <c r="Z243" i="7"/>
  <c r="Y243" i="7"/>
  <c r="X243" i="7"/>
  <c r="M243" i="7"/>
  <c r="D243" i="7" s="1"/>
  <c r="I243" i="7"/>
  <c r="G243" i="7"/>
  <c r="F243" i="7"/>
  <c r="E243" i="7"/>
  <c r="Y242" i="7"/>
  <c r="I242" i="7" s="1"/>
  <c r="X242" i="7"/>
  <c r="Q242" i="7"/>
  <c r="Z242" i="7" s="1"/>
  <c r="E242" i="7" s="1"/>
  <c r="M242" i="7"/>
  <c r="G242" i="7"/>
  <c r="F242" i="7"/>
  <c r="D242" i="7"/>
  <c r="Y241" i="7"/>
  <c r="I241" i="7" s="1"/>
  <c r="X241" i="7"/>
  <c r="Q241" i="7"/>
  <c r="Z241" i="7" s="1"/>
  <c r="M241" i="7"/>
  <c r="D241" i="7" s="1"/>
  <c r="G241" i="7"/>
  <c r="F241" i="7"/>
  <c r="Y240" i="7"/>
  <c r="X240" i="7"/>
  <c r="E240" i="7" s="1"/>
  <c r="Q240" i="7"/>
  <c r="Z240" i="7" s="1"/>
  <c r="M240" i="7"/>
  <c r="I240" i="7"/>
  <c r="G240" i="7"/>
  <c r="F240" i="7"/>
  <c r="D240" i="7"/>
  <c r="Y239" i="7"/>
  <c r="I239" i="7" s="1"/>
  <c r="X239" i="7"/>
  <c r="Q239" i="7"/>
  <c r="Z239" i="7" s="1"/>
  <c r="M239" i="7"/>
  <c r="G239" i="7"/>
  <c r="F239" i="7"/>
  <c r="D239" i="7"/>
  <c r="Y238" i="7"/>
  <c r="I238" i="7" s="1"/>
  <c r="X238" i="7"/>
  <c r="Q238" i="7"/>
  <c r="Z238" i="7" s="1"/>
  <c r="E238" i="7" s="1"/>
  <c r="M238" i="7"/>
  <c r="D238" i="7" s="1"/>
  <c r="G238" i="7"/>
  <c r="F238" i="7"/>
  <c r="Y237" i="7"/>
  <c r="X237" i="7"/>
  <c r="Q237" i="7"/>
  <c r="Z237" i="7" s="1"/>
  <c r="M237" i="7"/>
  <c r="D237" i="7" s="1"/>
  <c r="I237" i="7"/>
  <c r="G237" i="7"/>
  <c r="F237" i="7"/>
  <c r="Y236" i="7"/>
  <c r="X236" i="7"/>
  <c r="Q236" i="7"/>
  <c r="Z236" i="7" s="1"/>
  <c r="M236" i="7"/>
  <c r="I236" i="7"/>
  <c r="G236" i="7"/>
  <c r="F236" i="7"/>
  <c r="D236" i="7"/>
  <c r="Y235" i="7"/>
  <c r="I235" i="7" s="1"/>
  <c r="X235" i="7"/>
  <c r="Q235" i="7"/>
  <c r="Z235" i="7" s="1"/>
  <c r="E235" i="7" s="1"/>
  <c r="M235" i="7"/>
  <c r="G235" i="7"/>
  <c r="F235" i="7"/>
  <c r="D235" i="7"/>
  <c r="Y234" i="7"/>
  <c r="I234" i="7" s="1"/>
  <c r="X234" i="7"/>
  <c r="Q234" i="7"/>
  <c r="Z234" i="7" s="1"/>
  <c r="E234" i="7" s="1"/>
  <c r="M234" i="7"/>
  <c r="D234" i="7" s="1"/>
  <c r="G234" i="7"/>
  <c r="F234" i="7"/>
  <c r="Y233" i="7"/>
  <c r="I233" i="7" s="1"/>
  <c r="X233" i="7"/>
  <c r="Q233" i="7"/>
  <c r="Z233" i="7" s="1"/>
  <c r="M233" i="7"/>
  <c r="D233" i="7" s="1"/>
  <c r="G233" i="7"/>
  <c r="F233" i="7"/>
  <c r="Y232" i="7"/>
  <c r="X232" i="7"/>
  <c r="E232" i="7" s="1"/>
  <c r="Q232" i="7"/>
  <c r="Z232" i="7" s="1"/>
  <c r="M232" i="7"/>
  <c r="D232" i="7" s="1"/>
  <c r="I232" i="7"/>
  <c r="G232" i="7"/>
  <c r="F232" i="7"/>
  <c r="Y231" i="7"/>
  <c r="I231" i="7" s="1"/>
  <c r="X231" i="7"/>
  <c r="Q231" i="7"/>
  <c r="Z231" i="7" s="1"/>
  <c r="M231" i="7"/>
  <c r="G231" i="7"/>
  <c r="F231" i="7"/>
  <c r="D231" i="7"/>
  <c r="Y230" i="7"/>
  <c r="I230" i="7" s="1"/>
  <c r="X230" i="7"/>
  <c r="Q230" i="7"/>
  <c r="Z230" i="7" s="1"/>
  <c r="E230" i="7" s="1"/>
  <c r="M230" i="7"/>
  <c r="D230" i="7" s="1"/>
  <c r="G230" i="7"/>
  <c r="F230" i="7"/>
  <c r="Y229" i="7"/>
  <c r="I229" i="7" s="1"/>
  <c r="X229" i="7"/>
  <c r="E229" i="7" s="1"/>
  <c r="Q229" i="7"/>
  <c r="Z229" i="7" s="1"/>
  <c r="M229" i="7"/>
  <c r="D229" i="7" s="1"/>
  <c r="G229" i="7"/>
  <c r="F229" i="7"/>
  <c r="Y228" i="7"/>
  <c r="X228" i="7"/>
  <c r="Q228" i="7"/>
  <c r="Z228" i="7" s="1"/>
  <c r="M228" i="7"/>
  <c r="I228" i="7"/>
  <c r="G228" i="7"/>
  <c r="F228" i="7"/>
  <c r="D228" i="7"/>
  <c r="Z227" i="7"/>
  <c r="Y227" i="7"/>
  <c r="I227" i="7" s="1"/>
  <c r="X227" i="7"/>
  <c r="Q227" i="7"/>
  <c r="M227" i="7"/>
  <c r="D227" i="7" s="1"/>
  <c r="G227" i="7"/>
  <c r="F227" i="7"/>
  <c r="Y226" i="7"/>
  <c r="X226" i="7"/>
  <c r="Q226" i="7"/>
  <c r="Z226" i="7" s="1"/>
  <c r="M226" i="7"/>
  <c r="I226" i="7"/>
  <c r="G226" i="7"/>
  <c r="F226" i="7"/>
  <c r="D226" i="7"/>
  <c r="Y225" i="7"/>
  <c r="X225" i="7"/>
  <c r="E225" i="7" s="1"/>
  <c r="Q225" i="7"/>
  <c r="Z225" i="7" s="1"/>
  <c r="M225" i="7"/>
  <c r="D225" i="7" s="1"/>
  <c r="I225" i="7"/>
  <c r="G225" i="7"/>
  <c r="F225" i="7"/>
  <c r="Y224" i="7"/>
  <c r="I224" i="7" s="1"/>
  <c r="X224" i="7"/>
  <c r="Q224" i="7"/>
  <c r="Z224" i="7" s="1"/>
  <c r="M224" i="7"/>
  <c r="D224" i="7" s="1"/>
  <c r="G224" i="7"/>
  <c r="F224" i="7"/>
  <c r="Y223" i="7"/>
  <c r="I223" i="7" s="1"/>
  <c r="X223" i="7"/>
  <c r="Q223" i="7"/>
  <c r="Z223" i="7" s="1"/>
  <c r="E223" i="7" s="1"/>
  <c r="M223" i="7"/>
  <c r="G223" i="7"/>
  <c r="F223" i="7"/>
  <c r="D223" i="7"/>
  <c r="Y222" i="7"/>
  <c r="I222" i="7" s="1"/>
  <c r="X222" i="7"/>
  <c r="Q222" i="7"/>
  <c r="Z222" i="7" s="1"/>
  <c r="E222" i="7" s="1"/>
  <c r="M222" i="7"/>
  <c r="D222" i="7" s="1"/>
  <c r="G222" i="7"/>
  <c r="F222" i="7"/>
  <c r="Y221" i="7"/>
  <c r="I221" i="7" s="1"/>
  <c r="X221" i="7"/>
  <c r="Q221" i="7"/>
  <c r="Z221" i="7" s="1"/>
  <c r="M221" i="7"/>
  <c r="D221" i="7" s="1"/>
  <c r="G221" i="7"/>
  <c r="F221" i="7"/>
  <c r="Y220" i="7"/>
  <c r="I220" i="7" s="1"/>
  <c r="X220" i="7"/>
  <c r="E220" i="7" s="1"/>
  <c r="Q220" i="7"/>
  <c r="Z220" i="7" s="1"/>
  <c r="M220" i="7"/>
  <c r="G220" i="7"/>
  <c r="F220" i="7"/>
  <c r="D220" i="7"/>
  <c r="Z219" i="7"/>
  <c r="Y219" i="7"/>
  <c r="I219" i="7" s="1"/>
  <c r="X219" i="7"/>
  <c r="E219" i="7" s="1"/>
  <c r="Q219" i="7"/>
  <c r="M219" i="7"/>
  <c r="D219" i="7" s="1"/>
  <c r="G219" i="7"/>
  <c r="F219" i="7"/>
  <c r="Y218" i="7"/>
  <c r="I218" i="7" s="1"/>
  <c r="X218" i="7"/>
  <c r="Q218" i="7"/>
  <c r="Z218" i="7" s="1"/>
  <c r="M218" i="7"/>
  <c r="G218" i="7"/>
  <c r="F218" i="7"/>
  <c r="D218" i="7"/>
  <c r="Y217" i="7"/>
  <c r="I217" i="7" s="1"/>
  <c r="X217" i="7"/>
  <c r="Q217" i="7"/>
  <c r="Z217" i="7" s="1"/>
  <c r="M217" i="7"/>
  <c r="G217" i="7"/>
  <c r="F217" i="7"/>
  <c r="D217" i="7"/>
  <c r="Y216" i="7"/>
  <c r="I216" i="7" s="1"/>
  <c r="X216" i="7"/>
  <c r="Q216" i="7"/>
  <c r="Z216" i="7" s="1"/>
  <c r="M216" i="7"/>
  <c r="D216" i="7" s="1"/>
  <c r="G216" i="7"/>
  <c r="F216" i="7"/>
  <c r="Y215" i="7"/>
  <c r="I215" i="7" s="1"/>
  <c r="X215" i="7"/>
  <c r="Q215" i="7"/>
  <c r="Z215" i="7" s="1"/>
  <c r="E215" i="7" s="1"/>
  <c r="M215" i="7"/>
  <c r="D215" i="7" s="1"/>
  <c r="G215" i="7"/>
  <c r="F215" i="7"/>
  <c r="Y214" i="7"/>
  <c r="I214" i="7" s="1"/>
  <c r="X214" i="7"/>
  <c r="Q214" i="7"/>
  <c r="Z214" i="7" s="1"/>
  <c r="E214" i="7" s="1"/>
  <c r="M214" i="7"/>
  <c r="G214" i="7"/>
  <c r="F214" i="7"/>
  <c r="D214" i="7"/>
  <c r="Y213" i="7"/>
  <c r="I213" i="7" s="1"/>
  <c r="X213" i="7"/>
  <c r="Q213" i="7"/>
  <c r="Z213" i="7" s="1"/>
  <c r="E213" i="7" s="1"/>
  <c r="M213" i="7"/>
  <c r="D213" i="7" s="1"/>
  <c r="G213" i="7"/>
  <c r="F213" i="7"/>
  <c r="Y212" i="7"/>
  <c r="I212" i="7" s="1"/>
  <c r="X212" i="7"/>
  <c r="Q212" i="7"/>
  <c r="Z212" i="7" s="1"/>
  <c r="M212" i="7"/>
  <c r="D212" i="7" s="1"/>
  <c r="G212" i="7"/>
  <c r="F212" i="7"/>
  <c r="Y211" i="7"/>
  <c r="I211" i="7" s="1"/>
  <c r="X211" i="7"/>
  <c r="Q211" i="7"/>
  <c r="Z211" i="7" s="1"/>
  <c r="E211" i="7" s="1"/>
  <c r="M211" i="7"/>
  <c r="D211" i="7" s="1"/>
  <c r="G211" i="7"/>
  <c r="F211" i="7"/>
  <c r="Z210" i="7"/>
  <c r="Y210" i="7"/>
  <c r="X210" i="7"/>
  <c r="M210" i="7"/>
  <c r="D210" i="7" s="1"/>
  <c r="I210" i="7"/>
  <c r="G210" i="7"/>
  <c r="F210" i="7"/>
  <c r="E210" i="7"/>
  <c r="Z209" i="7"/>
  <c r="Y209" i="7"/>
  <c r="I209" i="7" s="1"/>
  <c r="X209" i="7"/>
  <c r="M209" i="7"/>
  <c r="D209" i="7" s="1"/>
  <c r="G209" i="7"/>
  <c r="F209" i="7"/>
  <c r="Z208" i="7"/>
  <c r="Y208" i="7"/>
  <c r="X208" i="7"/>
  <c r="M208" i="7"/>
  <c r="D208" i="7" s="1"/>
  <c r="I208" i="7"/>
  <c r="G208" i="7"/>
  <c r="F208" i="7"/>
  <c r="E208" i="7"/>
  <c r="Z207" i="7"/>
  <c r="Y207" i="7"/>
  <c r="I207" i="7" s="1"/>
  <c r="X207" i="7"/>
  <c r="M207" i="7"/>
  <c r="D207" i="7" s="1"/>
  <c r="G207" i="7"/>
  <c r="F207" i="7"/>
  <c r="Z206" i="7"/>
  <c r="Y206" i="7"/>
  <c r="I206" i="7" s="1"/>
  <c r="X206" i="7"/>
  <c r="E206" i="7" s="1"/>
  <c r="M206" i="7"/>
  <c r="D206" i="7" s="1"/>
  <c r="G206" i="7"/>
  <c r="F206" i="7"/>
  <c r="Z205" i="7"/>
  <c r="Y205" i="7"/>
  <c r="X205" i="7"/>
  <c r="E205" i="7" s="1"/>
  <c r="M205" i="7"/>
  <c r="D205" i="7" s="1"/>
  <c r="I205" i="7"/>
  <c r="G205" i="7"/>
  <c r="F205" i="7"/>
  <c r="Z204" i="7"/>
  <c r="Y204" i="7"/>
  <c r="I204" i="7" s="1"/>
  <c r="X204" i="7"/>
  <c r="M204" i="7"/>
  <c r="D204" i="7" s="1"/>
  <c r="G204" i="7"/>
  <c r="F204" i="7"/>
  <c r="Z203" i="7"/>
  <c r="Y203" i="7"/>
  <c r="X203" i="7"/>
  <c r="M203" i="7"/>
  <c r="I203" i="7"/>
  <c r="G203" i="7"/>
  <c r="F203" i="7"/>
  <c r="D203" i="7"/>
  <c r="Z202" i="7"/>
  <c r="E202" i="7" s="1"/>
  <c r="Y202" i="7"/>
  <c r="I202" i="7" s="1"/>
  <c r="X202" i="7"/>
  <c r="M202" i="7"/>
  <c r="D202" i="7" s="1"/>
  <c r="G202" i="7"/>
  <c r="F202" i="7"/>
  <c r="Z201" i="7"/>
  <c r="Y201" i="7"/>
  <c r="I201" i="7" s="1"/>
  <c r="X201" i="7"/>
  <c r="M201" i="7"/>
  <c r="G201" i="7"/>
  <c r="F201" i="7"/>
  <c r="D201" i="7"/>
  <c r="Z200" i="7"/>
  <c r="Y200" i="7"/>
  <c r="I200" i="7" s="1"/>
  <c r="X200" i="7"/>
  <c r="M200" i="7"/>
  <c r="D200" i="7" s="1"/>
  <c r="G200" i="7"/>
  <c r="F200" i="7"/>
  <c r="E200" i="7"/>
  <c r="Z199" i="7"/>
  <c r="Y199" i="7"/>
  <c r="I199" i="7" s="1"/>
  <c r="X199" i="7"/>
  <c r="E199" i="7" s="1"/>
  <c r="M199" i="7"/>
  <c r="D199" i="7" s="1"/>
  <c r="G199" i="7"/>
  <c r="F199" i="7"/>
  <c r="Z198" i="7"/>
  <c r="Y198" i="7"/>
  <c r="I198" i="7" s="1"/>
  <c r="X198" i="7"/>
  <c r="M198" i="7"/>
  <c r="D198" i="7" s="1"/>
  <c r="G198" i="7"/>
  <c r="F198" i="7"/>
  <c r="Z197" i="7"/>
  <c r="Y197" i="7"/>
  <c r="X197" i="7"/>
  <c r="E197" i="7" s="1"/>
  <c r="M197" i="7"/>
  <c r="D197" i="7" s="1"/>
  <c r="I197" i="7"/>
  <c r="G197" i="7"/>
  <c r="F197" i="7"/>
  <c r="Z196" i="7"/>
  <c r="Y196" i="7"/>
  <c r="I196" i="7" s="1"/>
  <c r="X196" i="7"/>
  <c r="E196" i="7" s="1"/>
  <c r="M196" i="7"/>
  <c r="D196" i="7" s="1"/>
  <c r="G196" i="7"/>
  <c r="F196" i="7"/>
  <c r="Z195" i="7"/>
  <c r="Y195" i="7"/>
  <c r="X195" i="7"/>
  <c r="E195" i="7" s="1"/>
  <c r="M195" i="7"/>
  <c r="D195" i="7" s="1"/>
  <c r="I195" i="7"/>
  <c r="G195" i="7"/>
  <c r="F195" i="7"/>
  <c r="Z194" i="7"/>
  <c r="Y194" i="7"/>
  <c r="I194" i="7" s="1"/>
  <c r="X194" i="7"/>
  <c r="M194" i="7"/>
  <c r="D194" i="7" s="1"/>
  <c r="G194" i="7"/>
  <c r="F194" i="7"/>
  <c r="E194" i="7"/>
  <c r="Z193" i="7"/>
  <c r="Y193" i="7"/>
  <c r="X193" i="7"/>
  <c r="E193" i="7" s="1"/>
  <c r="M193" i="7"/>
  <c r="I193" i="7"/>
  <c r="G193" i="7"/>
  <c r="F193" i="7"/>
  <c r="D193" i="7"/>
  <c r="Z192" i="7"/>
  <c r="Y192" i="7"/>
  <c r="X192" i="7"/>
  <c r="M192" i="7"/>
  <c r="D192" i="7" s="1"/>
  <c r="I192" i="7"/>
  <c r="G192" i="7"/>
  <c r="F192" i="7"/>
  <c r="E192" i="7"/>
  <c r="Z191" i="7"/>
  <c r="Y191" i="7"/>
  <c r="X191" i="7"/>
  <c r="E191" i="7" s="1"/>
  <c r="M191" i="7"/>
  <c r="D191" i="7" s="1"/>
  <c r="I191" i="7"/>
  <c r="G191" i="7"/>
  <c r="F191" i="7"/>
  <c r="Z190" i="7"/>
  <c r="Y190" i="7"/>
  <c r="I190" i="7" s="1"/>
  <c r="X190" i="7"/>
  <c r="M190" i="7"/>
  <c r="D190" i="7" s="1"/>
  <c r="G190" i="7"/>
  <c r="F190" i="7"/>
  <c r="Z189" i="7"/>
  <c r="Y189" i="7"/>
  <c r="I189" i="7" s="1"/>
  <c r="X189" i="7"/>
  <c r="E189" i="7" s="1"/>
  <c r="M189" i="7"/>
  <c r="G189" i="7"/>
  <c r="F189" i="7"/>
  <c r="D189" i="7"/>
  <c r="Z188" i="7"/>
  <c r="E188" i="7" s="1"/>
  <c r="Y188" i="7"/>
  <c r="I188" i="7" s="1"/>
  <c r="X188" i="7"/>
  <c r="M188" i="7"/>
  <c r="D188" i="7" s="1"/>
  <c r="G188" i="7"/>
  <c r="F188" i="7"/>
  <c r="Z187" i="7"/>
  <c r="Y187" i="7"/>
  <c r="I187" i="7" s="1"/>
  <c r="X187" i="7"/>
  <c r="E187" i="7" s="1"/>
  <c r="M187" i="7"/>
  <c r="G187" i="7"/>
  <c r="F187" i="7"/>
  <c r="D187" i="7"/>
  <c r="Z186" i="7"/>
  <c r="Y186" i="7"/>
  <c r="I186" i="7" s="1"/>
  <c r="X186" i="7"/>
  <c r="E186" i="7" s="1"/>
  <c r="M186" i="7"/>
  <c r="G186" i="7"/>
  <c r="F186" i="7"/>
  <c r="D186" i="7"/>
  <c r="Z185" i="7"/>
  <c r="Y185" i="7"/>
  <c r="I185" i="7" s="1"/>
  <c r="X185" i="7"/>
  <c r="E185" i="7" s="1"/>
  <c r="M185" i="7"/>
  <c r="D185" i="7" s="1"/>
  <c r="G185" i="7"/>
  <c r="F185" i="7"/>
  <c r="Z184" i="7"/>
  <c r="Y184" i="7"/>
  <c r="I184" i="7" s="1"/>
  <c r="X184" i="7"/>
  <c r="M184" i="7"/>
  <c r="D184" i="7" s="1"/>
  <c r="G184" i="7"/>
  <c r="F184" i="7"/>
  <c r="Z183" i="7"/>
  <c r="Y183" i="7"/>
  <c r="I183" i="7" s="1"/>
  <c r="X183" i="7"/>
  <c r="E183" i="7" s="1"/>
  <c r="M183" i="7"/>
  <c r="D183" i="7" s="1"/>
  <c r="G183" i="7"/>
  <c r="F183" i="7"/>
  <c r="Z182" i="7"/>
  <c r="Y182" i="7"/>
  <c r="I182" i="7" s="1"/>
  <c r="X182" i="7"/>
  <c r="E182" i="7" s="1"/>
  <c r="M182" i="7"/>
  <c r="D182" i="7" s="1"/>
  <c r="G182" i="7"/>
  <c r="F182" i="7"/>
  <c r="Z181" i="7"/>
  <c r="Y181" i="7"/>
  <c r="I181" i="7" s="1"/>
  <c r="X181" i="7"/>
  <c r="E181" i="7" s="1"/>
  <c r="M181" i="7"/>
  <c r="G181" i="7"/>
  <c r="F181" i="7"/>
  <c r="D181" i="7"/>
  <c r="Z180" i="7"/>
  <c r="E180" i="7" s="1"/>
  <c r="Y180" i="7"/>
  <c r="I180" i="7" s="1"/>
  <c r="X180" i="7"/>
  <c r="M180" i="7"/>
  <c r="G180" i="7"/>
  <c r="F180" i="7"/>
  <c r="D180" i="7"/>
  <c r="Z179" i="7"/>
  <c r="Y179" i="7"/>
  <c r="I179" i="7" s="1"/>
  <c r="X179" i="7"/>
  <c r="M179" i="7"/>
  <c r="G179" i="7"/>
  <c r="F179" i="7"/>
  <c r="E179" i="7"/>
  <c r="D179" i="7"/>
  <c r="Z178" i="7"/>
  <c r="Y178" i="7"/>
  <c r="I178" i="7" s="1"/>
  <c r="X178" i="7"/>
  <c r="M178" i="7"/>
  <c r="G178" i="7"/>
  <c r="F178" i="7"/>
  <c r="E178" i="7"/>
  <c r="D178" i="7"/>
  <c r="Z177" i="7"/>
  <c r="Y177" i="7"/>
  <c r="I177" i="7" s="1"/>
  <c r="X177" i="7"/>
  <c r="M177" i="7"/>
  <c r="G177" i="7"/>
  <c r="F177" i="7"/>
  <c r="E177" i="7"/>
  <c r="D177" i="7"/>
  <c r="Z176" i="7"/>
  <c r="E176" i="7" s="1"/>
  <c r="Y176" i="7"/>
  <c r="I176" i="7" s="1"/>
  <c r="X176" i="7"/>
  <c r="M176" i="7"/>
  <c r="D176" i="7" s="1"/>
  <c r="G176" i="7"/>
  <c r="F176" i="7"/>
  <c r="Z175" i="7"/>
  <c r="Y175" i="7"/>
  <c r="X175" i="7"/>
  <c r="M175" i="7"/>
  <c r="D175" i="7" s="1"/>
  <c r="I175" i="7"/>
  <c r="G175" i="7"/>
  <c r="F175" i="7"/>
  <c r="E175" i="7"/>
  <c r="Z174" i="7"/>
  <c r="Y174" i="7"/>
  <c r="I174" i="7" s="1"/>
  <c r="X174" i="7"/>
  <c r="M174" i="7"/>
  <c r="D174" i="7" s="1"/>
  <c r="G174" i="7"/>
  <c r="F174" i="7"/>
  <c r="Z173" i="7"/>
  <c r="Y173" i="7"/>
  <c r="X173" i="7"/>
  <c r="M173" i="7"/>
  <c r="I173" i="7"/>
  <c r="G173" i="7"/>
  <c r="F173" i="7"/>
  <c r="E173" i="7"/>
  <c r="D173" i="7"/>
  <c r="Z172" i="7"/>
  <c r="Y172" i="7"/>
  <c r="I172" i="7" s="1"/>
  <c r="X172" i="7"/>
  <c r="M172" i="7"/>
  <c r="G172" i="7"/>
  <c r="F172" i="7"/>
  <c r="D172" i="7"/>
  <c r="Z171" i="7"/>
  <c r="Y171" i="7"/>
  <c r="I171" i="7" s="1"/>
  <c r="X171" i="7"/>
  <c r="E171" i="7" s="1"/>
  <c r="M171" i="7"/>
  <c r="G171" i="7"/>
  <c r="F171" i="7"/>
  <c r="D171" i="7"/>
  <c r="Z170" i="7"/>
  <c r="Y170" i="7"/>
  <c r="I170" i="7" s="1"/>
  <c r="X170" i="7"/>
  <c r="E170" i="7" s="1"/>
  <c r="M170" i="7"/>
  <c r="G170" i="7"/>
  <c r="F170" i="7"/>
  <c r="D170" i="7"/>
  <c r="Z169" i="7"/>
  <c r="Y169" i="7"/>
  <c r="X169" i="7"/>
  <c r="M169" i="7"/>
  <c r="I169" i="7"/>
  <c r="G169" i="7"/>
  <c r="F169" i="7"/>
  <c r="E169" i="7"/>
  <c r="D169" i="7"/>
  <c r="Z168" i="7"/>
  <c r="Y168" i="7"/>
  <c r="I168" i="7" s="1"/>
  <c r="X168" i="7"/>
  <c r="M168" i="7"/>
  <c r="D168" i="7" s="1"/>
  <c r="G168" i="7"/>
  <c r="F168" i="7"/>
  <c r="E168" i="7"/>
  <c r="Z167" i="7"/>
  <c r="Y167" i="7"/>
  <c r="I167" i="7" s="1"/>
  <c r="X167" i="7"/>
  <c r="M167" i="7"/>
  <c r="D167" i="7" s="1"/>
  <c r="G167" i="7"/>
  <c r="F167" i="7"/>
  <c r="Z166" i="7"/>
  <c r="Y166" i="7"/>
  <c r="I166" i="7" s="1"/>
  <c r="X166" i="7"/>
  <c r="E166" i="7" s="1"/>
  <c r="M166" i="7"/>
  <c r="D166" i="7" s="1"/>
  <c r="G166" i="7"/>
  <c r="F166" i="7"/>
  <c r="Z165" i="7"/>
  <c r="Y165" i="7"/>
  <c r="I165" i="7" s="1"/>
  <c r="X165" i="7"/>
  <c r="E165" i="7" s="1"/>
  <c r="M165" i="7"/>
  <c r="D165" i="7" s="1"/>
  <c r="G165" i="7"/>
  <c r="F165" i="7"/>
  <c r="Z164" i="7"/>
  <c r="Y164" i="7"/>
  <c r="I164" i="7" s="1"/>
  <c r="X164" i="7"/>
  <c r="M164" i="7"/>
  <c r="D164" i="7" s="1"/>
  <c r="G164" i="7"/>
  <c r="F164" i="7"/>
  <c r="Z163" i="7"/>
  <c r="Y163" i="7"/>
  <c r="X163" i="7"/>
  <c r="M163" i="7"/>
  <c r="D163" i="7" s="1"/>
  <c r="I163" i="7"/>
  <c r="G163" i="7"/>
  <c r="F163" i="7"/>
  <c r="E163" i="7"/>
  <c r="Z162" i="7"/>
  <c r="Y162" i="7"/>
  <c r="I162" i="7" s="1"/>
  <c r="X162" i="7"/>
  <c r="E162" i="7" s="1"/>
  <c r="M162" i="7"/>
  <c r="D162" i="7" s="1"/>
  <c r="G162" i="7"/>
  <c r="F162" i="7"/>
  <c r="Z161" i="7"/>
  <c r="Y161" i="7"/>
  <c r="X161" i="7"/>
  <c r="M161" i="7"/>
  <c r="D161" i="7" s="1"/>
  <c r="I161" i="7"/>
  <c r="G161" i="7"/>
  <c r="F161" i="7"/>
  <c r="Z160" i="7"/>
  <c r="Y160" i="7"/>
  <c r="I160" i="7" s="1"/>
  <c r="X160" i="7"/>
  <c r="E160" i="7" s="1"/>
  <c r="M160" i="7"/>
  <c r="D160" i="7" s="1"/>
  <c r="G160" i="7"/>
  <c r="F160" i="7"/>
  <c r="Z159" i="7"/>
  <c r="Y159" i="7"/>
  <c r="X159" i="7"/>
  <c r="M159" i="7"/>
  <c r="D159" i="7" s="1"/>
  <c r="I159" i="7"/>
  <c r="G159" i="7"/>
  <c r="F159" i="7"/>
  <c r="E159" i="7"/>
  <c r="Z158" i="7"/>
  <c r="Y158" i="7"/>
  <c r="I158" i="7" s="1"/>
  <c r="X158" i="7"/>
  <c r="E158" i="7" s="1"/>
  <c r="M158" i="7"/>
  <c r="D158" i="7" s="1"/>
  <c r="G158" i="7"/>
  <c r="F158" i="7"/>
  <c r="Z157" i="7"/>
  <c r="Y157" i="7"/>
  <c r="I157" i="7" s="1"/>
  <c r="X157" i="7"/>
  <c r="M157" i="7"/>
  <c r="D157" i="7" s="1"/>
  <c r="G157" i="7"/>
  <c r="F157" i="7"/>
  <c r="Z156" i="7"/>
  <c r="E156" i="7" s="1"/>
  <c r="Y156" i="7"/>
  <c r="I156" i="7" s="1"/>
  <c r="X156" i="7"/>
  <c r="M156" i="7"/>
  <c r="G156" i="7"/>
  <c r="F156" i="7"/>
  <c r="D156" i="7"/>
  <c r="Z155" i="7"/>
  <c r="Y155" i="7"/>
  <c r="I155" i="7" s="1"/>
  <c r="X155" i="7"/>
  <c r="M155" i="7"/>
  <c r="G155" i="7"/>
  <c r="F155" i="7"/>
  <c r="E155" i="7"/>
  <c r="D155" i="7"/>
  <c r="Z154" i="7"/>
  <c r="Y154" i="7"/>
  <c r="I154" i="7" s="1"/>
  <c r="X154" i="7"/>
  <c r="M154" i="7"/>
  <c r="G154" i="7"/>
  <c r="F154" i="7"/>
  <c r="E154" i="7"/>
  <c r="D154" i="7"/>
  <c r="Z153" i="7"/>
  <c r="Y153" i="7"/>
  <c r="I153" i="7" s="1"/>
  <c r="X153" i="7"/>
  <c r="M153" i="7"/>
  <c r="G153" i="7"/>
  <c r="F153" i="7"/>
  <c r="D153" i="7"/>
  <c r="Z152" i="7"/>
  <c r="Y152" i="7"/>
  <c r="I152" i="7" s="1"/>
  <c r="X152" i="7"/>
  <c r="M152" i="7"/>
  <c r="D152" i="7" s="1"/>
  <c r="G152" i="7"/>
  <c r="F152" i="7"/>
  <c r="E152" i="7"/>
  <c r="Z151" i="7"/>
  <c r="Y151" i="7"/>
  <c r="I151" i="7" s="1"/>
  <c r="X151" i="7"/>
  <c r="E151" i="7" s="1"/>
  <c r="M151" i="7"/>
  <c r="D151" i="7" s="1"/>
  <c r="G151" i="7"/>
  <c r="F151" i="7"/>
  <c r="Z150" i="7"/>
  <c r="Y150" i="7"/>
  <c r="I150" i="7" s="1"/>
  <c r="X150" i="7"/>
  <c r="E150" i="7" s="1"/>
  <c r="M150" i="7"/>
  <c r="D150" i="7" s="1"/>
  <c r="G150" i="7"/>
  <c r="F150" i="7"/>
  <c r="Z149" i="7"/>
  <c r="Y149" i="7"/>
  <c r="I149" i="7" s="1"/>
  <c r="X149" i="7"/>
  <c r="M149" i="7"/>
  <c r="D149" i="7" s="1"/>
  <c r="G149" i="7"/>
  <c r="F149" i="7"/>
  <c r="Z148" i="7"/>
  <c r="Y148" i="7"/>
  <c r="I148" i="7" s="1"/>
  <c r="X148" i="7"/>
  <c r="M148" i="7"/>
  <c r="D148" i="7" s="1"/>
  <c r="G148" i="7"/>
  <c r="F148" i="7"/>
  <c r="Z147" i="7"/>
  <c r="Y147" i="7"/>
  <c r="I147" i="7" s="1"/>
  <c r="X147" i="7"/>
  <c r="M147" i="7"/>
  <c r="D147" i="7" s="1"/>
  <c r="G147" i="7"/>
  <c r="F147" i="7"/>
  <c r="E147" i="7"/>
  <c r="Z146" i="7"/>
  <c r="Y146" i="7"/>
  <c r="X146" i="7"/>
  <c r="E146" i="7" s="1"/>
  <c r="M146" i="7"/>
  <c r="D146" i="7" s="1"/>
  <c r="I146" i="7"/>
  <c r="G146" i="7"/>
  <c r="F146" i="7"/>
  <c r="Z145" i="7"/>
  <c r="Y145" i="7"/>
  <c r="I145" i="7" s="1"/>
  <c r="X145" i="7"/>
  <c r="M145" i="7"/>
  <c r="D145" i="7" s="1"/>
  <c r="G145" i="7"/>
  <c r="F145" i="7"/>
  <c r="Z144" i="7"/>
  <c r="Y144" i="7"/>
  <c r="X144" i="7"/>
  <c r="M144" i="7"/>
  <c r="D144" i="7" s="1"/>
  <c r="I144" i="7"/>
  <c r="G144" i="7"/>
  <c r="F144" i="7"/>
  <c r="E144" i="7"/>
  <c r="Z143" i="7"/>
  <c r="Y143" i="7"/>
  <c r="X143" i="7"/>
  <c r="E143" i="7" s="1"/>
  <c r="M143" i="7"/>
  <c r="D143" i="7" s="1"/>
  <c r="I143" i="7"/>
  <c r="G143" i="7"/>
  <c r="F143" i="7"/>
  <c r="Z142" i="7"/>
  <c r="Y142" i="7"/>
  <c r="I142" i="7" s="1"/>
  <c r="X142" i="7"/>
  <c r="M142" i="7"/>
  <c r="D142" i="7" s="1"/>
  <c r="G142" i="7"/>
  <c r="F142" i="7"/>
  <c r="Z141" i="7"/>
  <c r="Y141" i="7"/>
  <c r="I141" i="7" s="1"/>
  <c r="X141" i="7"/>
  <c r="E141" i="7" s="1"/>
  <c r="M141" i="7"/>
  <c r="G141" i="7"/>
  <c r="F141" i="7"/>
  <c r="D141" i="7"/>
  <c r="Z140" i="7"/>
  <c r="Y140" i="7"/>
  <c r="I140" i="7" s="1"/>
  <c r="X140" i="7"/>
  <c r="M140" i="7"/>
  <c r="G140" i="7"/>
  <c r="F140" i="7"/>
  <c r="D140" i="7"/>
  <c r="Z139" i="7"/>
  <c r="Y139" i="7"/>
  <c r="I139" i="7" s="1"/>
  <c r="X139" i="7"/>
  <c r="E139" i="7" s="1"/>
  <c r="M139" i="7"/>
  <c r="D139" i="7" s="1"/>
  <c r="G139" i="7"/>
  <c r="F139" i="7"/>
  <c r="Z138" i="7"/>
  <c r="E138" i="7" s="1"/>
  <c r="Y138" i="7"/>
  <c r="I138" i="7" s="1"/>
  <c r="X138" i="7"/>
  <c r="M138" i="7"/>
  <c r="D138" i="7" s="1"/>
  <c r="G138" i="7"/>
  <c r="F138" i="7"/>
  <c r="Z137" i="7"/>
  <c r="Y137" i="7"/>
  <c r="X137" i="7"/>
  <c r="M137" i="7"/>
  <c r="D137" i="7" s="1"/>
  <c r="I137" i="7"/>
  <c r="G137" i="7"/>
  <c r="F137" i="7"/>
  <c r="E137" i="7"/>
  <c r="Z136" i="7"/>
  <c r="Y136" i="7"/>
  <c r="I136" i="7" s="1"/>
  <c r="X136" i="7"/>
  <c r="E136" i="7" s="1"/>
  <c r="M136" i="7"/>
  <c r="D136" i="7" s="1"/>
  <c r="G136" i="7"/>
  <c r="F136" i="7"/>
  <c r="Z135" i="7"/>
  <c r="Y135" i="7"/>
  <c r="I135" i="7" s="1"/>
  <c r="X135" i="7"/>
  <c r="M135" i="7"/>
  <c r="D135" i="7" s="1"/>
  <c r="G135" i="7"/>
  <c r="F135" i="7"/>
  <c r="Z134" i="7"/>
  <c r="Y134" i="7"/>
  <c r="X134" i="7"/>
  <c r="M134" i="7"/>
  <c r="D134" i="7" s="1"/>
  <c r="I134" i="7"/>
  <c r="G134" i="7"/>
  <c r="F134" i="7"/>
  <c r="E134" i="7"/>
  <c r="Z133" i="7"/>
  <c r="Y133" i="7"/>
  <c r="I133" i="7" s="1"/>
  <c r="X133" i="7"/>
  <c r="E133" i="7" s="1"/>
  <c r="M133" i="7"/>
  <c r="D133" i="7" s="1"/>
  <c r="G133" i="7"/>
  <c r="F133" i="7"/>
  <c r="Z132" i="7"/>
  <c r="Y132" i="7"/>
  <c r="I132" i="7" s="1"/>
  <c r="X132" i="7"/>
  <c r="M132" i="7"/>
  <c r="D132" i="7" s="1"/>
  <c r="G132" i="7"/>
  <c r="F132" i="7"/>
  <c r="Z131" i="7"/>
  <c r="Y131" i="7"/>
  <c r="X131" i="7"/>
  <c r="M131" i="7"/>
  <c r="D131" i="7" s="1"/>
  <c r="I131" i="7"/>
  <c r="G131" i="7"/>
  <c r="F131" i="7"/>
  <c r="E131" i="7"/>
  <c r="Z130" i="7"/>
  <c r="Y130" i="7"/>
  <c r="X130" i="7"/>
  <c r="E130" i="7" s="1"/>
  <c r="M130" i="7"/>
  <c r="I130" i="7"/>
  <c r="G130" i="7"/>
  <c r="F130" i="7"/>
  <c r="D130" i="7"/>
  <c r="Z129" i="7"/>
  <c r="Y129" i="7"/>
  <c r="X129" i="7"/>
  <c r="M129" i="7"/>
  <c r="D129" i="7" s="1"/>
  <c r="I129" i="7"/>
  <c r="G129" i="7"/>
  <c r="F129" i="7"/>
  <c r="E129" i="7"/>
  <c r="Z128" i="7"/>
  <c r="Y128" i="7"/>
  <c r="I128" i="7" s="1"/>
  <c r="X128" i="7"/>
  <c r="M128" i="7"/>
  <c r="D128" i="7" s="1"/>
  <c r="G128" i="7"/>
  <c r="F128" i="7"/>
  <c r="Z127" i="7"/>
  <c r="Y127" i="7"/>
  <c r="I127" i="7" s="1"/>
  <c r="X127" i="7"/>
  <c r="E127" i="7" s="1"/>
  <c r="M127" i="7"/>
  <c r="D127" i="7" s="1"/>
  <c r="G127" i="7"/>
  <c r="F127" i="7"/>
  <c r="Z126" i="7"/>
  <c r="Y126" i="7"/>
  <c r="I126" i="7" s="1"/>
  <c r="X126" i="7"/>
  <c r="E126" i="7" s="1"/>
  <c r="M126" i="7"/>
  <c r="G126" i="7"/>
  <c r="F126" i="7"/>
  <c r="D126" i="7"/>
  <c r="Z125" i="7"/>
  <c r="Y125" i="7"/>
  <c r="I125" i="7" s="1"/>
  <c r="X125" i="7"/>
  <c r="M125" i="7"/>
  <c r="G125" i="7"/>
  <c r="F125" i="7"/>
  <c r="E125" i="7"/>
  <c r="D125" i="7"/>
  <c r="Z124" i="7"/>
  <c r="E124" i="7" s="1"/>
  <c r="Y124" i="7"/>
  <c r="I124" i="7" s="1"/>
  <c r="X124" i="7"/>
  <c r="M124" i="7"/>
  <c r="D124" i="7" s="1"/>
  <c r="G124" i="7"/>
  <c r="F124" i="7"/>
  <c r="Z123" i="7"/>
  <c r="E123" i="7" s="1"/>
  <c r="Y123" i="7"/>
  <c r="I123" i="7" s="1"/>
  <c r="X123" i="7"/>
  <c r="M123" i="7"/>
  <c r="G123" i="7"/>
  <c r="F123" i="7"/>
  <c r="D123" i="7"/>
  <c r="Z122" i="7"/>
  <c r="E122" i="7" s="1"/>
  <c r="Y122" i="7"/>
  <c r="X122" i="7"/>
  <c r="M122" i="7"/>
  <c r="I122" i="7"/>
  <c r="G122" i="7"/>
  <c r="F122" i="7"/>
  <c r="D122" i="7"/>
  <c r="Z121" i="7"/>
  <c r="E121" i="7" s="1"/>
  <c r="Y121" i="7"/>
  <c r="X121" i="7"/>
  <c r="M121" i="7"/>
  <c r="D121" i="7" s="1"/>
  <c r="I121" i="7"/>
  <c r="G121" i="7"/>
  <c r="F121" i="7"/>
  <c r="Z120" i="7"/>
  <c r="Y120" i="7"/>
  <c r="X120" i="7"/>
  <c r="M120" i="7"/>
  <c r="D120" i="7" s="1"/>
  <c r="I120" i="7"/>
  <c r="G120" i="7"/>
  <c r="F120" i="7"/>
  <c r="E120" i="7"/>
  <c r="Z119" i="7"/>
  <c r="Y119" i="7"/>
  <c r="I119" i="7" s="1"/>
  <c r="X119" i="7"/>
  <c r="M119" i="7"/>
  <c r="D119" i="7" s="1"/>
  <c r="G119" i="7"/>
  <c r="F119" i="7"/>
  <c r="Z118" i="7"/>
  <c r="Y118" i="7"/>
  <c r="I118" i="7" s="1"/>
  <c r="X118" i="7"/>
  <c r="E118" i="7" s="1"/>
  <c r="M118" i="7"/>
  <c r="D118" i="7" s="1"/>
  <c r="G118" i="7"/>
  <c r="F118" i="7"/>
  <c r="Z117" i="7"/>
  <c r="Y117" i="7"/>
  <c r="I117" i="7" s="1"/>
  <c r="X117" i="7"/>
  <c r="E117" i="7" s="1"/>
  <c r="M117" i="7"/>
  <c r="D117" i="7" s="1"/>
  <c r="G117" i="7"/>
  <c r="F117" i="7"/>
  <c r="Z116" i="7"/>
  <c r="E116" i="7" s="1"/>
  <c r="Y116" i="7"/>
  <c r="I116" i="7" s="1"/>
  <c r="X116" i="7"/>
  <c r="M116" i="7"/>
  <c r="D116" i="7" s="1"/>
  <c r="G116" i="7"/>
  <c r="F116" i="7"/>
  <c r="Z115" i="7"/>
  <c r="Y115" i="7"/>
  <c r="I115" i="7" s="1"/>
  <c r="X115" i="7"/>
  <c r="E115" i="7" s="1"/>
  <c r="M115" i="7"/>
  <c r="D115" i="7" s="1"/>
  <c r="G115" i="7"/>
  <c r="F115" i="7"/>
  <c r="Z114" i="7"/>
  <c r="Y114" i="7"/>
  <c r="X114" i="7"/>
  <c r="E114" i="7" s="1"/>
  <c r="M114" i="7"/>
  <c r="D114" i="7" s="1"/>
  <c r="I114" i="7"/>
  <c r="G114" i="7"/>
  <c r="F114" i="7"/>
  <c r="Z113" i="7"/>
  <c r="E113" i="7" s="1"/>
  <c r="Y113" i="7"/>
  <c r="I113" i="7" s="1"/>
  <c r="X113" i="7"/>
  <c r="M113" i="7"/>
  <c r="D113" i="7" s="1"/>
  <c r="G113" i="7"/>
  <c r="F113" i="7"/>
  <c r="Z112" i="7"/>
  <c r="Y112" i="7"/>
  <c r="X112" i="7"/>
  <c r="M112" i="7"/>
  <c r="D112" i="7" s="1"/>
  <c r="I112" i="7"/>
  <c r="G112" i="7"/>
  <c r="F112" i="7"/>
  <c r="E112" i="7"/>
  <c r="Z111" i="7"/>
  <c r="Y111" i="7"/>
  <c r="I111" i="7" s="1"/>
  <c r="X111" i="7"/>
  <c r="E111" i="7" s="1"/>
  <c r="M111" i="7"/>
  <c r="D111" i="7" s="1"/>
  <c r="G111" i="7"/>
  <c r="F111" i="7"/>
  <c r="Z110" i="7"/>
  <c r="Y110" i="7"/>
  <c r="I110" i="7" s="1"/>
  <c r="X110" i="7"/>
  <c r="E110" i="7" s="1"/>
  <c r="M110" i="7"/>
  <c r="G110" i="7"/>
  <c r="F110" i="7"/>
  <c r="D110" i="7"/>
  <c r="Z109" i="7"/>
  <c r="E109" i="7" s="1"/>
  <c r="Y109" i="7"/>
  <c r="I109" i="7" s="1"/>
  <c r="X109" i="7"/>
  <c r="M109" i="7"/>
  <c r="G109" i="7"/>
  <c r="F109" i="7"/>
  <c r="D109" i="7"/>
  <c r="Z108" i="7"/>
  <c r="E108" i="7" s="1"/>
  <c r="Y108" i="7"/>
  <c r="I108" i="7" s="1"/>
  <c r="X108" i="7"/>
  <c r="M108" i="7"/>
  <c r="G108" i="7"/>
  <c r="F108" i="7"/>
  <c r="D108" i="7"/>
  <c r="Z107" i="7"/>
  <c r="E107" i="7" s="1"/>
  <c r="Y107" i="7"/>
  <c r="I107" i="7" s="1"/>
  <c r="X107" i="7"/>
  <c r="M107" i="7"/>
  <c r="G107" i="7"/>
  <c r="F107" i="7"/>
  <c r="D107" i="7"/>
  <c r="Z106" i="7"/>
  <c r="E106" i="7" s="1"/>
  <c r="Y106" i="7"/>
  <c r="I106" i="7" s="1"/>
  <c r="X106" i="7"/>
  <c r="M106" i="7"/>
  <c r="G106" i="7"/>
  <c r="F106" i="7"/>
  <c r="D106" i="7"/>
  <c r="Z105" i="7"/>
  <c r="E105" i="7" s="1"/>
  <c r="Y105" i="7"/>
  <c r="X105" i="7"/>
  <c r="M105" i="7"/>
  <c r="D105" i="7" s="1"/>
  <c r="I105" i="7"/>
  <c r="G105" i="7"/>
  <c r="F105" i="7"/>
  <c r="Z104" i="7"/>
  <c r="Y104" i="7"/>
  <c r="I104" i="7" s="1"/>
  <c r="X104" i="7"/>
  <c r="M104" i="7"/>
  <c r="D104" i="7" s="1"/>
  <c r="G104" i="7"/>
  <c r="F104" i="7"/>
  <c r="Z103" i="7"/>
  <c r="Y103" i="7"/>
  <c r="I103" i="7" s="1"/>
  <c r="X103" i="7"/>
  <c r="E103" i="7" s="1"/>
  <c r="M103" i="7"/>
  <c r="D103" i="7" s="1"/>
  <c r="G103" i="7"/>
  <c r="F103" i="7"/>
  <c r="Z102" i="7"/>
  <c r="Y102" i="7"/>
  <c r="I102" i="7" s="1"/>
  <c r="X102" i="7"/>
  <c r="M102" i="7"/>
  <c r="D102" i="7" s="1"/>
  <c r="G102" i="7"/>
  <c r="F102" i="7"/>
  <c r="Z101" i="7"/>
  <c r="Y101" i="7"/>
  <c r="I101" i="7" s="1"/>
  <c r="X101" i="7"/>
  <c r="E101" i="7" s="1"/>
  <c r="M101" i="7"/>
  <c r="D101" i="7" s="1"/>
  <c r="G101" i="7"/>
  <c r="F101" i="7"/>
  <c r="Z100" i="7"/>
  <c r="Y100" i="7"/>
  <c r="X100" i="7"/>
  <c r="M100" i="7"/>
  <c r="D100" i="7" s="1"/>
  <c r="I100" i="7"/>
  <c r="G100" i="7"/>
  <c r="F100" i="7"/>
  <c r="E100" i="7"/>
  <c r="Z99" i="7"/>
  <c r="Y99" i="7"/>
  <c r="I99" i="7" s="1"/>
  <c r="X99" i="7"/>
  <c r="E99" i="7" s="1"/>
  <c r="M99" i="7"/>
  <c r="D99" i="7" s="1"/>
  <c r="G99" i="7"/>
  <c r="F99" i="7"/>
  <c r="Z98" i="7"/>
  <c r="Y98" i="7"/>
  <c r="I98" i="7" s="1"/>
  <c r="X98" i="7"/>
  <c r="E98" i="7" s="1"/>
  <c r="M98" i="7"/>
  <c r="D98" i="7" s="1"/>
  <c r="G98" i="7"/>
  <c r="F98" i="7"/>
  <c r="Z97" i="7"/>
  <c r="Y97" i="7"/>
  <c r="X97" i="7"/>
  <c r="M97" i="7"/>
  <c r="D97" i="7" s="1"/>
  <c r="I97" i="7"/>
  <c r="G97" i="7"/>
  <c r="F97" i="7"/>
  <c r="E97" i="7"/>
  <c r="Z96" i="7"/>
  <c r="Y96" i="7"/>
  <c r="I96" i="7" s="1"/>
  <c r="X96" i="7"/>
  <c r="E96" i="7" s="1"/>
  <c r="M96" i="7"/>
  <c r="D96" i="7" s="1"/>
  <c r="G96" i="7"/>
  <c r="F96" i="7"/>
  <c r="Z95" i="7"/>
  <c r="Y95" i="7"/>
  <c r="I95" i="7" s="1"/>
  <c r="X95" i="7"/>
  <c r="M95" i="7"/>
  <c r="D95" i="7" s="1"/>
  <c r="G95" i="7"/>
  <c r="F95" i="7"/>
  <c r="Z94" i="7"/>
  <c r="Y94" i="7"/>
  <c r="I94" i="7" s="1"/>
  <c r="X94" i="7"/>
  <c r="E94" i="7" s="1"/>
  <c r="M94" i="7"/>
  <c r="D94" i="7" s="1"/>
  <c r="G94" i="7"/>
  <c r="F94" i="7"/>
  <c r="Z93" i="7"/>
  <c r="Y93" i="7"/>
  <c r="I93" i="7" s="1"/>
  <c r="X93" i="7"/>
  <c r="M93" i="7"/>
  <c r="D93" i="7" s="1"/>
  <c r="G93" i="7"/>
  <c r="F93" i="7"/>
  <c r="E93" i="7"/>
  <c r="Z92" i="7"/>
  <c r="E92" i="7" s="1"/>
  <c r="Y92" i="7"/>
  <c r="I92" i="7" s="1"/>
  <c r="X92" i="7"/>
  <c r="M92" i="7"/>
  <c r="G92" i="7"/>
  <c r="F92" i="7"/>
  <c r="D92" i="7"/>
  <c r="Z91" i="7"/>
  <c r="E91" i="7" s="1"/>
  <c r="Y91" i="7"/>
  <c r="I91" i="7" s="1"/>
  <c r="X91" i="7"/>
  <c r="M91" i="7"/>
  <c r="G91" i="7"/>
  <c r="F91" i="7"/>
  <c r="D91" i="7"/>
  <c r="Z90" i="7"/>
  <c r="Y90" i="7"/>
  <c r="X90" i="7"/>
  <c r="M90" i="7"/>
  <c r="I90" i="7"/>
  <c r="G90" i="7"/>
  <c r="F90" i="7"/>
  <c r="E90" i="7"/>
  <c r="D90" i="7"/>
  <c r="Z89" i="7"/>
  <c r="E89" i="7" s="1"/>
  <c r="Y89" i="7"/>
  <c r="X89" i="7"/>
  <c r="M89" i="7"/>
  <c r="D89" i="7" s="1"/>
  <c r="I89" i="7"/>
  <c r="G89" i="7"/>
  <c r="F89" i="7"/>
  <c r="Z88" i="7"/>
  <c r="Y88" i="7"/>
  <c r="X88" i="7"/>
  <c r="M88" i="7"/>
  <c r="D88" i="7" s="1"/>
  <c r="I88" i="7"/>
  <c r="G88" i="7"/>
  <c r="F88" i="7"/>
  <c r="Z87" i="7"/>
  <c r="Y87" i="7"/>
  <c r="I87" i="7" s="1"/>
  <c r="X87" i="7"/>
  <c r="M87" i="7"/>
  <c r="D87" i="7" s="1"/>
  <c r="G87" i="7"/>
  <c r="F87" i="7"/>
  <c r="Z86" i="7"/>
  <c r="Y86" i="7"/>
  <c r="I86" i="7" s="1"/>
  <c r="X86" i="7"/>
  <c r="E86" i="7" s="1"/>
  <c r="M86" i="7"/>
  <c r="D86" i="7" s="1"/>
  <c r="G86" i="7"/>
  <c r="F86" i="7"/>
  <c r="Z85" i="7"/>
  <c r="Y85" i="7"/>
  <c r="I85" i="7" s="1"/>
  <c r="X85" i="7"/>
  <c r="E85" i="7" s="1"/>
  <c r="M85" i="7"/>
  <c r="D85" i="7" s="1"/>
  <c r="G85" i="7"/>
  <c r="F85" i="7"/>
  <c r="Z84" i="7"/>
  <c r="E84" i="7" s="1"/>
  <c r="Y84" i="7"/>
  <c r="I84" i="7" s="1"/>
  <c r="X84" i="7"/>
  <c r="M84" i="7"/>
  <c r="D84" i="7" s="1"/>
  <c r="G84" i="7"/>
  <c r="F84" i="7"/>
  <c r="Z83" i="7"/>
  <c r="Y83" i="7"/>
  <c r="I83" i="7" s="1"/>
  <c r="X83" i="7"/>
  <c r="E83" i="7" s="1"/>
  <c r="M83" i="7"/>
  <c r="D83" i="7" s="1"/>
  <c r="G83" i="7"/>
  <c r="F83" i="7"/>
  <c r="Z82" i="7"/>
  <c r="Y82" i="7"/>
  <c r="I82" i="7" s="1"/>
  <c r="X82" i="7"/>
  <c r="E82" i="7" s="1"/>
  <c r="M82" i="7"/>
  <c r="D82" i="7" s="1"/>
  <c r="G82" i="7"/>
  <c r="F82" i="7"/>
  <c r="Z81" i="7"/>
  <c r="E81" i="7" s="1"/>
  <c r="Y81" i="7"/>
  <c r="I81" i="7" s="1"/>
  <c r="X81" i="7"/>
  <c r="M81" i="7"/>
  <c r="D81" i="7" s="1"/>
  <c r="G81" i="7"/>
  <c r="F81" i="7"/>
  <c r="Z80" i="7"/>
  <c r="Y80" i="7"/>
  <c r="I80" i="7" s="1"/>
  <c r="X80" i="7"/>
  <c r="E80" i="7" s="1"/>
  <c r="M80" i="7"/>
  <c r="D80" i="7" s="1"/>
  <c r="G80" i="7"/>
  <c r="F80" i="7"/>
  <c r="Z79" i="7"/>
  <c r="Y79" i="7"/>
  <c r="I79" i="7" s="1"/>
  <c r="X79" i="7"/>
  <c r="E79" i="7" s="1"/>
  <c r="M79" i="7"/>
  <c r="D79" i="7" s="1"/>
  <c r="G79" i="7"/>
  <c r="F79" i="7"/>
  <c r="Z78" i="7"/>
  <c r="Y78" i="7"/>
  <c r="I78" i="7" s="1"/>
  <c r="X78" i="7"/>
  <c r="M78" i="7"/>
  <c r="G78" i="7"/>
  <c r="F78" i="7"/>
  <c r="D78" i="7"/>
  <c r="Z77" i="7"/>
  <c r="E77" i="7" s="1"/>
  <c r="Y77" i="7"/>
  <c r="I77" i="7" s="1"/>
  <c r="X77" i="7"/>
  <c r="M77" i="7"/>
  <c r="G77" i="7"/>
  <c r="F77" i="7"/>
  <c r="D77" i="7"/>
  <c r="Z76" i="7"/>
  <c r="E76" i="7" s="1"/>
  <c r="Y76" i="7"/>
  <c r="I76" i="7" s="1"/>
  <c r="X76" i="7"/>
  <c r="M76" i="7"/>
  <c r="G76" i="7"/>
  <c r="F76" i="7"/>
  <c r="D76" i="7"/>
  <c r="Z75" i="7"/>
  <c r="Y75" i="7"/>
  <c r="I75" i="7" s="1"/>
  <c r="X75" i="7"/>
  <c r="M75" i="7"/>
  <c r="G75" i="7"/>
  <c r="F75" i="7"/>
  <c r="E75" i="7"/>
  <c r="D75" i="7"/>
  <c r="Z74" i="7"/>
  <c r="Y74" i="7"/>
  <c r="I74" i="7" s="1"/>
  <c r="X74" i="7"/>
  <c r="M74" i="7"/>
  <c r="D74" i="7" s="1"/>
  <c r="G74" i="7"/>
  <c r="F74" i="7"/>
  <c r="E74" i="7"/>
  <c r="Z73" i="7"/>
  <c r="E73" i="7" s="1"/>
  <c r="Y73" i="7"/>
  <c r="I73" i="7" s="1"/>
  <c r="X73" i="7"/>
  <c r="M73" i="7"/>
  <c r="D73" i="7" s="1"/>
  <c r="G73" i="7"/>
  <c r="F73" i="7"/>
  <c r="Z72" i="7"/>
  <c r="Y72" i="7"/>
  <c r="I72" i="7" s="1"/>
  <c r="X72" i="7"/>
  <c r="E72" i="7" s="1"/>
  <c r="M72" i="7"/>
  <c r="D72" i="7" s="1"/>
  <c r="G72" i="7"/>
  <c r="F72" i="7"/>
  <c r="Z71" i="7"/>
  <c r="Y71" i="7"/>
  <c r="I71" i="7" s="1"/>
  <c r="X71" i="7"/>
  <c r="E71" i="7" s="1"/>
  <c r="M71" i="7"/>
  <c r="D71" i="7" s="1"/>
  <c r="G71" i="7"/>
  <c r="F71" i="7"/>
  <c r="Z70" i="7"/>
  <c r="Y70" i="7"/>
  <c r="I70" i="7" s="1"/>
  <c r="X70" i="7"/>
  <c r="E70" i="7" s="1"/>
  <c r="M70" i="7"/>
  <c r="G70" i="7"/>
  <c r="F70" i="7"/>
  <c r="D70" i="7"/>
  <c r="Z69" i="7"/>
  <c r="Y69" i="7"/>
  <c r="I69" i="7" s="1"/>
  <c r="X69" i="7"/>
  <c r="E69" i="7" s="1"/>
  <c r="M69" i="7"/>
  <c r="D69" i="7" s="1"/>
  <c r="G69" i="7"/>
  <c r="F69" i="7"/>
  <c r="Z68" i="7"/>
  <c r="Y68" i="7"/>
  <c r="I68" i="7" s="1"/>
  <c r="X68" i="7"/>
  <c r="M68" i="7"/>
  <c r="D68" i="7" s="1"/>
  <c r="G68" i="7"/>
  <c r="F68" i="7"/>
  <c r="Z67" i="7"/>
  <c r="Y67" i="7"/>
  <c r="I67" i="7" s="1"/>
  <c r="X67" i="7"/>
  <c r="M67" i="7"/>
  <c r="D67" i="7" s="1"/>
  <c r="G67" i="7"/>
  <c r="F67" i="7"/>
  <c r="E67" i="7"/>
  <c r="Z66" i="7"/>
  <c r="Y66" i="7"/>
  <c r="X66" i="7"/>
  <c r="M66" i="7"/>
  <c r="D66" i="7" s="1"/>
  <c r="I66" i="7"/>
  <c r="G66" i="7"/>
  <c r="F66" i="7"/>
  <c r="E66" i="7"/>
  <c r="Z65" i="7"/>
  <c r="Y65" i="7"/>
  <c r="I65" i="7" s="1"/>
  <c r="X65" i="7"/>
  <c r="M65" i="7"/>
  <c r="D65" i="7" s="1"/>
  <c r="G65" i="7"/>
  <c r="F65" i="7"/>
  <c r="Z64" i="7"/>
  <c r="Y64" i="7"/>
  <c r="X64" i="7"/>
  <c r="M64" i="7"/>
  <c r="D64" i="7" s="1"/>
  <c r="I64" i="7"/>
  <c r="G64" i="7"/>
  <c r="F64" i="7"/>
  <c r="E64" i="7"/>
  <c r="Z63" i="7"/>
  <c r="Y63" i="7"/>
  <c r="I63" i="7" s="1"/>
  <c r="X63" i="7"/>
  <c r="M63" i="7"/>
  <c r="D63" i="7" s="1"/>
  <c r="G63" i="7"/>
  <c r="F63" i="7"/>
  <c r="Z62" i="7"/>
  <c r="Y62" i="7"/>
  <c r="I62" i="7" s="1"/>
  <c r="X62" i="7"/>
  <c r="M62" i="7"/>
  <c r="G62" i="7"/>
  <c r="F62" i="7"/>
  <c r="D62" i="7"/>
  <c r="Z61" i="7"/>
  <c r="Y61" i="7"/>
  <c r="I61" i="7" s="1"/>
  <c r="X61" i="7"/>
  <c r="M61" i="7"/>
  <c r="G61" i="7"/>
  <c r="F61" i="7"/>
  <c r="E61" i="7"/>
  <c r="D61" i="7"/>
  <c r="Z60" i="7"/>
  <c r="Y60" i="7"/>
  <c r="I60" i="7" s="1"/>
  <c r="X60" i="7"/>
  <c r="M60" i="7"/>
  <c r="G60" i="7"/>
  <c r="F60" i="7"/>
  <c r="D60" i="7"/>
  <c r="Z59" i="7"/>
  <c r="Y59" i="7"/>
  <c r="I59" i="7" s="1"/>
  <c r="X59" i="7"/>
  <c r="E59" i="7" s="1"/>
  <c r="M59" i="7"/>
  <c r="G59" i="7"/>
  <c r="F59" i="7"/>
  <c r="D59" i="7"/>
  <c r="Z58" i="7"/>
  <c r="Y58" i="7"/>
  <c r="X58" i="7"/>
  <c r="E58" i="7" s="1"/>
  <c r="M58" i="7"/>
  <c r="I58" i="7"/>
  <c r="G58" i="7"/>
  <c r="F58" i="7"/>
  <c r="D58" i="7"/>
  <c r="Z57" i="7"/>
  <c r="Y57" i="7"/>
  <c r="I57" i="7" s="1"/>
  <c r="X57" i="7"/>
  <c r="M57" i="7"/>
  <c r="D57" i="7" s="1"/>
  <c r="G57" i="7"/>
  <c r="F57" i="7"/>
  <c r="Z56" i="7"/>
  <c r="Y56" i="7"/>
  <c r="I56" i="7" s="1"/>
  <c r="X56" i="7"/>
  <c r="E56" i="7" s="1"/>
  <c r="M56" i="7"/>
  <c r="D56" i="7" s="1"/>
  <c r="G56" i="7"/>
  <c r="F56" i="7"/>
  <c r="Z55" i="7"/>
  <c r="Y55" i="7"/>
  <c r="I55" i="7" s="1"/>
  <c r="X55" i="7"/>
  <c r="M55" i="7"/>
  <c r="D55" i="7" s="1"/>
  <c r="G55" i="7"/>
  <c r="F55" i="7"/>
  <c r="Z54" i="7"/>
  <c r="Y54" i="7"/>
  <c r="I54" i="7" s="1"/>
  <c r="X54" i="7"/>
  <c r="E54" i="7" s="1"/>
  <c r="M54" i="7"/>
  <c r="D54" i="7" s="1"/>
  <c r="G54" i="7"/>
  <c r="F54" i="7"/>
  <c r="Z53" i="7"/>
  <c r="Y53" i="7"/>
  <c r="I53" i="7" s="1"/>
  <c r="X53" i="7"/>
  <c r="M53" i="7"/>
  <c r="D53" i="7" s="1"/>
  <c r="G53" i="7"/>
  <c r="F53" i="7"/>
  <c r="E53" i="7"/>
  <c r="Z52" i="7"/>
  <c r="E52" i="7" s="1"/>
  <c r="Y52" i="7"/>
  <c r="I52" i="7" s="1"/>
  <c r="X52" i="7"/>
  <c r="M52" i="7"/>
  <c r="G52" i="7"/>
  <c r="F52" i="7"/>
  <c r="D52" i="7"/>
  <c r="Z51" i="7"/>
  <c r="Y51" i="7"/>
  <c r="I51" i="7" s="1"/>
  <c r="X51" i="7"/>
  <c r="E51" i="7" s="1"/>
  <c r="M51" i="7"/>
  <c r="G51" i="7"/>
  <c r="F51" i="7"/>
  <c r="D51" i="7"/>
  <c r="Z50" i="7"/>
  <c r="Y50" i="7"/>
  <c r="X50" i="7"/>
  <c r="M50" i="7"/>
  <c r="I50" i="7"/>
  <c r="G50" i="7"/>
  <c r="F50" i="7"/>
  <c r="E50" i="7"/>
  <c r="D50" i="7"/>
  <c r="Z49" i="7"/>
  <c r="Y49" i="7"/>
  <c r="X49" i="7"/>
  <c r="M49" i="7"/>
  <c r="D49" i="7" s="1"/>
  <c r="I49" i="7"/>
  <c r="G49" i="7"/>
  <c r="F49" i="7"/>
  <c r="E49" i="7"/>
  <c r="Z48" i="7"/>
  <c r="Y48" i="7"/>
  <c r="X48" i="7"/>
  <c r="M48" i="7"/>
  <c r="D48" i="7" s="1"/>
  <c r="I48" i="7"/>
  <c r="G48" i="7"/>
  <c r="F48" i="7"/>
  <c r="Z47" i="7"/>
  <c r="Y47" i="7"/>
  <c r="X47" i="7"/>
  <c r="M47" i="7"/>
  <c r="D47" i="7" s="1"/>
  <c r="I47" i="7"/>
  <c r="G47" i="7"/>
  <c r="F47" i="7"/>
  <c r="Z46" i="7"/>
  <c r="Y46" i="7"/>
  <c r="X46" i="7"/>
  <c r="M46" i="7"/>
  <c r="D46" i="7" s="1"/>
  <c r="I46" i="7"/>
  <c r="G46" i="7"/>
  <c r="F46" i="7"/>
  <c r="E46" i="7"/>
  <c r="Z45" i="7"/>
  <c r="Y45" i="7"/>
  <c r="I45" i="7" s="1"/>
  <c r="X45" i="7"/>
  <c r="M45" i="7"/>
  <c r="G45" i="7"/>
  <c r="F45" i="7"/>
  <c r="D45" i="7"/>
  <c r="Z44" i="7"/>
  <c r="Y44" i="7"/>
  <c r="I44" i="7" s="1"/>
  <c r="X44" i="7"/>
  <c r="M44" i="7"/>
  <c r="G44" i="7"/>
  <c r="F44" i="7"/>
  <c r="D44" i="7"/>
  <c r="Z43" i="7"/>
  <c r="Y43" i="7"/>
  <c r="I43" i="7" s="1"/>
  <c r="X43" i="7"/>
  <c r="E43" i="7" s="1"/>
  <c r="M43" i="7"/>
  <c r="G43" i="7"/>
  <c r="F43" i="7"/>
  <c r="Z42" i="7"/>
  <c r="E42" i="7" s="1"/>
  <c r="Y42" i="7"/>
  <c r="I42" i="7" s="1"/>
  <c r="X42" i="7"/>
  <c r="M42" i="7"/>
  <c r="G42" i="7"/>
  <c r="F42" i="7"/>
  <c r="Z41" i="7"/>
  <c r="Y41" i="7"/>
  <c r="I41" i="7" s="1"/>
  <c r="X41" i="7"/>
  <c r="E41" i="7" s="1"/>
  <c r="M41" i="7"/>
  <c r="G41" i="7"/>
  <c r="F41" i="7"/>
  <c r="C1" i="7"/>
  <c r="D1" i="7" s="1"/>
  <c r="E1" i="7" s="1"/>
  <c r="F1" i="7" s="1"/>
  <c r="G1" i="7" s="1"/>
  <c r="H1" i="7" s="1"/>
  <c r="I1" i="7" s="1"/>
  <c r="J1" i="7" s="1"/>
  <c r="K1" i="7" s="1"/>
  <c r="L1" i="7" s="1"/>
  <c r="M1" i="7" s="1"/>
  <c r="N1" i="7" s="1"/>
  <c r="O1" i="7" s="1"/>
  <c r="P1" i="7" s="1"/>
  <c r="Q1" i="7" s="1"/>
  <c r="R1" i="7" s="1"/>
  <c r="S1" i="7" s="1"/>
  <c r="T1" i="7" s="1"/>
  <c r="U1" i="7" s="1"/>
  <c r="V1" i="7" s="1"/>
  <c r="W1" i="7" s="1"/>
  <c r="X1" i="7" s="1"/>
  <c r="Y1" i="7" s="1"/>
  <c r="Z1" i="7" s="1"/>
  <c r="B1" i="7"/>
  <c r="E309" i="7" l="1"/>
  <c r="E372" i="7"/>
  <c r="E293" i="7"/>
  <c r="E297" i="7"/>
  <c r="E327" i="7"/>
  <c r="E140" i="7"/>
  <c r="E149" i="7"/>
  <c r="E216" i="7"/>
  <c r="E226" i="7"/>
  <c r="E239" i="7"/>
  <c r="E294" i="7"/>
  <c r="E295" i="7"/>
  <c r="E325" i="7"/>
  <c r="E331" i="7"/>
  <c r="E290" i="7"/>
  <c r="E291" i="7"/>
  <c r="E328" i="7"/>
  <c r="E48" i="7"/>
  <c r="E63" i="7"/>
  <c r="E132" i="7"/>
  <c r="E224" i="7"/>
  <c r="E227" i="7"/>
  <c r="E267" i="7"/>
  <c r="E277" i="7"/>
  <c r="E280" i="7"/>
  <c r="E286" i="7"/>
  <c r="E287" i="7"/>
  <c r="E288" i="7"/>
  <c r="E318" i="7"/>
  <c r="E341" i="7"/>
  <c r="E366" i="7"/>
  <c r="E47" i="7"/>
  <c r="E65" i="7"/>
  <c r="E68" i="7"/>
  <c r="E78" i="7"/>
  <c r="E88" i="7"/>
  <c r="E142" i="7"/>
  <c r="E145" i="7"/>
  <c r="E148" i="7"/>
  <c r="E157" i="7"/>
  <c r="E161" i="7"/>
  <c r="E164" i="7"/>
  <c r="E237" i="7"/>
  <c r="E283" i="7"/>
  <c r="E312" i="7"/>
  <c r="E314" i="7"/>
  <c r="E317" i="7"/>
  <c r="E344" i="7"/>
  <c r="E45" i="7"/>
  <c r="E62" i="7"/>
  <c r="E87" i="7"/>
  <c r="E104" i="7"/>
  <c r="E119" i="7"/>
  <c r="E174" i="7"/>
  <c r="E190" i="7"/>
  <c r="E203" i="7"/>
  <c r="E204" i="7"/>
  <c r="E245" i="7"/>
  <c r="E251" i="7"/>
  <c r="E260" i="7"/>
  <c r="E270" i="7"/>
  <c r="E272" i="7"/>
  <c r="E310" i="7"/>
  <c r="E311" i="7"/>
  <c r="E320" i="7"/>
  <c r="E359" i="7"/>
  <c r="E365" i="7"/>
  <c r="E378" i="7"/>
  <c r="E167" i="7"/>
  <c r="E201" i="7"/>
  <c r="E218" i="7"/>
  <c r="E221" i="7"/>
  <c r="E231" i="7"/>
  <c r="E275" i="7"/>
  <c r="E304" i="7"/>
  <c r="E306" i="7"/>
  <c r="E307" i="7"/>
  <c r="E333" i="7"/>
  <c r="E355" i="7"/>
  <c r="E358" i="7"/>
  <c r="E375" i="7"/>
  <c r="E244" i="7"/>
  <c r="E302" i="7"/>
  <c r="E303" i="7"/>
  <c r="E44" i="7"/>
  <c r="E55" i="7"/>
  <c r="E57" i="7"/>
  <c r="E60" i="7"/>
  <c r="E95" i="7"/>
  <c r="E102" i="7"/>
  <c r="E128" i="7"/>
  <c r="E135" i="7"/>
  <c r="E153" i="7"/>
  <c r="E172" i="7"/>
  <c r="E184" i="7"/>
  <c r="E198" i="7"/>
  <c r="E207" i="7"/>
  <c r="E209" i="7"/>
  <c r="E217" i="7"/>
  <c r="E253" i="7"/>
  <c r="E259" i="7"/>
  <c r="E268" i="7"/>
  <c r="E296" i="7"/>
  <c r="E298" i="7"/>
  <c r="E299" i="7"/>
  <c r="E326" i="7"/>
  <c r="E351" i="7"/>
  <c r="E357" i="7"/>
  <c r="E377" i="7"/>
  <c r="E13" i="6"/>
  <c r="E9" i="6"/>
  <c r="E14" i="6"/>
  <c r="E16" i="6"/>
  <c r="E19" i="6"/>
  <c r="E18" i="6"/>
  <c r="E228" i="7"/>
  <c r="E284" i="7"/>
  <c r="E321" i="7"/>
  <c r="E324" i="7"/>
  <c r="E361" i="7"/>
  <c r="E212" i="7"/>
  <c r="E316" i="7"/>
  <c r="E353" i="7"/>
  <c r="E241" i="7"/>
  <c r="E340" i="7"/>
  <c r="E233" i="7"/>
  <c r="E236" i="7"/>
  <c r="E292" i="7"/>
  <c r="E329" i="7"/>
  <c r="E332" i="7"/>
  <c r="E369" i="7"/>
  <c r="T263" i="6" l="1"/>
  <c r="T262" i="6"/>
  <c r="T261" i="6"/>
  <c r="T260" i="6"/>
  <c r="AC260" i="6" s="1"/>
  <c r="T259" i="6"/>
  <c r="AC259" i="6" s="1"/>
  <c r="T258" i="6"/>
  <c r="AC258" i="6" s="1"/>
  <c r="T257" i="6"/>
  <c r="AC257" i="6" s="1"/>
  <c r="T256" i="6"/>
  <c r="AC256" i="6" s="1"/>
  <c r="T255" i="6"/>
  <c r="T254" i="6"/>
  <c r="T253" i="6"/>
  <c r="T252" i="6"/>
  <c r="AC252" i="6" s="1"/>
  <c r="T251" i="6"/>
  <c r="AC251" i="6" s="1"/>
  <c r="T250" i="6"/>
  <c r="AC250" i="6" s="1"/>
  <c r="T249" i="6"/>
  <c r="AC249" i="6" s="1"/>
  <c r="T248" i="6"/>
  <c r="AC248" i="6" s="1"/>
  <c r="T247" i="6"/>
  <c r="T246" i="6"/>
  <c r="AC246" i="6" s="1"/>
  <c r="T245" i="6"/>
  <c r="AC245" i="6" s="1"/>
  <c r="T244" i="6"/>
  <c r="AC244" i="6" s="1"/>
  <c r="T243" i="6"/>
  <c r="AC243" i="6" s="1"/>
  <c r="T242" i="6"/>
  <c r="AC242" i="6" s="1"/>
  <c r="T241" i="6"/>
  <c r="AC241" i="6" s="1"/>
  <c r="T240" i="6"/>
  <c r="AC240" i="6" s="1"/>
  <c r="T239" i="6"/>
  <c r="T238" i="6"/>
  <c r="AC238" i="6" s="1"/>
  <c r="T237" i="6"/>
  <c r="T236" i="6"/>
  <c r="AC236" i="6" s="1"/>
  <c r="T235" i="6"/>
  <c r="AC235" i="6" s="1"/>
  <c r="T234" i="6"/>
  <c r="AC234" i="6" s="1"/>
  <c r="AC233" i="6"/>
  <c r="T166" i="6"/>
  <c r="AC166" i="6" s="1"/>
  <c r="T164" i="6"/>
  <c r="AC164" i="6" s="1"/>
  <c r="T163" i="6"/>
  <c r="T162" i="6"/>
  <c r="T161" i="6"/>
  <c r="T160" i="6"/>
  <c r="AC160" i="6" s="1"/>
  <c r="T159" i="6"/>
  <c r="AC159" i="6" s="1"/>
  <c r="T158" i="6"/>
  <c r="AC158" i="6" s="1"/>
  <c r="T157" i="6"/>
  <c r="AC157" i="6" s="1"/>
  <c r="T156" i="6"/>
  <c r="AC156" i="6" s="1"/>
  <c r="T155" i="6"/>
  <c r="T154" i="6"/>
  <c r="AC154" i="6" s="1"/>
  <c r="T153" i="6"/>
  <c r="AC153" i="6" s="1"/>
  <c r="T152" i="6"/>
  <c r="AC152" i="6" s="1"/>
  <c r="T151" i="6"/>
  <c r="AC151" i="6" s="1"/>
  <c r="T150" i="6"/>
  <c r="AC150" i="6" s="1"/>
  <c r="T149" i="6"/>
  <c r="AC149" i="6" s="1"/>
  <c r="T148" i="6"/>
  <c r="AC148" i="6" s="1"/>
  <c r="T147" i="6"/>
  <c r="T146" i="6"/>
  <c r="T145" i="6"/>
  <c r="AC145" i="6" s="1"/>
  <c r="T144" i="6"/>
  <c r="AC144" i="6" s="1"/>
  <c r="T143" i="6"/>
  <c r="AC143" i="6" s="1"/>
  <c r="T142" i="6"/>
  <c r="AC142" i="6" s="1"/>
  <c r="T141" i="6"/>
  <c r="AC141" i="6" s="1"/>
  <c r="T140" i="6"/>
  <c r="AC140" i="6" s="1"/>
  <c r="T139" i="6"/>
  <c r="T138" i="6"/>
  <c r="AC138" i="6" s="1"/>
  <c r="T137" i="6"/>
  <c r="AC137" i="6" s="1"/>
  <c r="T136" i="6"/>
  <c r="AC136" i="6" s="1"/>
  <c r="T135" i="6"/>
  <c r="AC135" i="6" s="1"/>
  <c r="T134" i="6"/>
  <c r="AC134" i="6" s="1"/>
  <c r="T133" i="6"/>
  <c r="AC133" i="6" s="1"/>
  <c r="F198" i="6"/>
  <c r="G198" i="6"/>
  <c r="P198" i="6"/>
  <c r="D198" i="6" s="1"/>
  <c r="AA198" i="6"/>
  <c r="AB198" i="6"/>
  <c r="I198" i="6" s="1"/>
  <c r="AC198" i="6"/>
  <c r="AC263" i="6"/>
  <c r="AB263" i="6"/>
  <c r="I263" i="6" s="1"/>
  <c r="AA263" i="6"/>
  <c r="AC262" i="6"/>
  <c r="AB262" i="6"/>
  <c r="AA262" i="6"/>
  <c r="AC261" i="6"/>
  <c r="AB261" i="6"/>
  <c r="I261" i="6" s="1"/>
  <c r="AA261" i="6"/>
  <c r="AB260" i="6"/>
  <c r="I260" i="6" s="1"/>
  <c r="AA260" i="6"/>
  <c r="AB259" i="6"/>
  <c r="AA259" i="6"/>
  <c r="AB258" i="6"/>
  <c r="I258" i="6" s="1"/>
  <c r="AA258" i="6"/>
  <c r="AB257" i="6"/>
  <c r="I257" i="6" s="1"/>
  <c r="AA257" i="6"/>
  <c r="AB256" i="6"/>
  <c r="I256" i="6" s="1"/>
  <c r="AA256" i="6"/>
  <c r="AC255" i="6"/>
  <c r="AB255" i="6"/>
  <c r="I255" i="6" s="1"/>
  <c r="AA255" i="6"/>
  <c r="AC254" i="6"/>
  <c r="AB254" i="6"/>
  <c r="I254" i="6" s="1"/>
  <c r="AA254" i="6"/>
  <c r="AC253" i="6"/>
  <c r="AB253" i="6"/>
  <c r="I253" i="6" s="1"/>
  <c r="AA253" i="6"/>
  <c r="AB252" i="6"/>
  <c r="I252" i="6" s="1"/>
  <c r="AA252" i="6"/>
  <c r="AB251" i="6"/>
  <c r="I251" i="6" s="1"/>
  <c r="AA251" i="6"/>
  <c r="AB250" i="6"/>
  <c r="I250" i="6" s="1"/>
  <c r="AA250" i="6"/>
  <c r="AB249" i="6"/>
  <c r="I249" i="6" s="1"/>
  <c r="AA249" i="6"/>
  <c r="AB248" i="6"/>
  <c r="I248" i="6" s="1"/>
  <c r="AA248" i="6"/>
  <c r="AC247" i="6"/>
  <c r="AB247" i="6"/>
  <c r="I247" i="6" s="1"/>
  <c r="AA247" i="6"/>
  <c r="AB246" i="6"/>
  <c r="I246" i="6" s="1"/>
  <c r="AA246" i="6"/>
  <c r="AB245" i="6"/>
  <c r="I245" i="6" s="1"/>
  <c r="AA245" i="6"/>
  <c r="AB244" i="6"/>
  <c r="I244" i="6" s="1"/>
  <c r="AA244" i="6"/>
  <c r="AB243" i="6"/>
  <c r="I243" i="6" s="1"/>
  <c r="AA243" i="6"/>
  <c r="AB242" i="6"/>
  <c r="I242" i="6" s="1"/>
  <c r="AA242" i="6"/>
  <c r="AB241" i="6"/>
  <c r="I241" i="6" s="1"/>
  <c r="AA241" i="6"/>
  <c r="AB240" i="6"/>
  <c r="I240" i="6" s="1"/>
  <c r="AA240" i="6"/>
  <c r="AC239" i="6"/>
  <c r="AB239" i="6"/>
  <c r="I239" i="6" s="1"/>
  <c r="AA239" i="6"/>
  <c r="AB238" i="6"/>
  <c r="I238" i="6" s="1"/>
  <c r="AA238" i="6"/>
  <c r="AC237" i="6"/>
  <c r="AB237" i="6"/>
  <c r="I237" i="6" s="1"/>
  <c r="AA237" i="6"/>
  <c r="AB236" i="6"/>
  <c r="I236" i="6" s="1"/>
  <c r="AA236" i="6"/>
  <c r="AB235" i="6"/>
  <c r="I235" i="6" s="1"/>
  <c r="AA235" i="6"/>
  <c r="AB234" i="6"/>
  <c r="I234" i="6" s="1"/>
  <c r="AA234" i="6"/>
  <c r="AB233" i="6"/>
  <c r="I233" i="6" s="1"/>
  <c r="AA233" i="6"/>
  <c r="AC232" i="6"/>
  <c r="AB232" i="6"/>
  <c r="AA232" i="6"/>
  <c r="AC231" i="6"/>
  <c r="AB231" i="6"/>
  <c r="I231" i="6" s="1"/>
  <c r="AA231" i="6"/>
  <c r="AC197" i="6"/>
  <c r="AB197" i="6"/>
  <c r="I197" i="6" s="1"/>
  <c r="AA197" i="6"/>
  <c r="AC196" i="6"/>
  <c r="AB196" i="6"/>
  <c r="I196" i="6" s="1"/>
  <c r="AA196" i="6"/>
  <c r="AC195" i="6"/>
  <c r="AB195" i="6"/>
  <c r="I195" i="6" s="1"/>
  <c r="AA195" i="6"/>
  <c r="AC194" i="6"/>
  <c r="AB194" i="6"/>
  <c r="I194" i="6" s="1"/>
  <c r="AA194" i="6"/>
  <c r="AC193" i="6"/>
  <c r="AB193" i="6"/>
  <c r="I193" i="6" s="1"/>
  <c r="AA193" i="6"/>
  <c r="AC192" i="6"/>
  <c r="AB192" i="6"/>
  <c r="I192" i="6" s="1"/>
  <c r="AA192" i="6"/>
  <c r="AC191" i="6"/>
  <c r="AB191" i="6"/>
  <c r="I191" i="6" s="1"/>
  <c r="AA191" i="6"/>
  <c r="AC190" i="6"/>
  <c r="AB190" i="6"/>
  <c r="I190" i="6" s="1"/>
  <c r="AA190" i="6"/>
  <c r="AC189" i="6"/>
  <c r="AB189" i="6"/>
  <c r="I189" i="6" s="1"/>
  <c r="AA189" i="6"/>
  <c r="AC188" i="6"/>
  <c r="AB188" i="6"/>
  <c r="I188" i="6" s="1"/>
  <c r="AA188" i="6"/>
  <c r="AC187" i="6"/>
  <c r="AB187" i="6"/>
  <c r="I187" i="6" s="1"/>
  <c r="AA187" i="6"/>
  <c r="AC186" i="6"/>
  <c r="AB186" i="6"/>
  <c r="I186" i="6" s="1"/>
  <c r="AA186" i="6"/>
  <c r="AC185" i="6"/>
  <c r="AB185" i="6"/>
  <c r="I185" i="6" s="1"/>
  <c r="AA185" i="6"/>
  <c r="AC184" i="6"/>
  <c r="AB184" i="6"/>
  <c r="I184" i="6" s="1"/>
  <c r="AA184" i="6"/>
  <c r="AC183" i="6"/>
  <c r="AB183" i="6"/>
  <c r="I183" i="6" s="1"/>
  <c r="AA183" i="6"/>
  <c r="AC182" i="6"/>
  <c r="AB182" i="6"/>
  <c r="I182" i="6" s="1"/>
  <c r="AA182" i="6"/>
  <c r="AC181" i="6"/>
  <c r="AB181" i="6"/>
  <c r="I181" i="6" s="1"/>
  <c r="AA181" i="6"/>
  <c r="AC180" i="6"/>
  <c r="AB180" i="6"/>
  <c r="I180" i="6" s="1"/>
  <c r="AA180" i="6"/>
  <c r="AC179" i="6"/>
  <c r="AB179" i="6"/>
  <c r="I179" i="6" s="1"/>
  <c r="AA179" i="6"/>
  <c r="AC178" i="6"/>
  <c r="AB178" i="6"/>
  <c r="I178" i="6" s="1"/>
  <c r="AA178" i="6"/>
  <c r="AC177" i="6"/>
  <c r="AB177" i="6"/>
  <c r="I177" i="6" s="1"/>
  <c r="AA177" i="6"/>
  <c r="AC176" i="6"/>
  <c r="AB176" i="6"/>
  <c r="I176" i="6" s="1"/>
  <c r="AA176" i="6"/>
  <c r="AC175" i="6"/>
  <c r="AB175" i="6"/>
  <c r="I175" i="6" s="1"/>
  <c r="AA175" i="6"/>
  <c r="AC174" i="6"/>
  <c r="AB174" i="6"/>
  <c r="I174" i="6" s="1"/>
  <c r="AA174" i="6"/>
  <c r="AC173" i="6"/>
  <c r="AB173" i="6"/>
  <c r="I173" i="6" s="1"/>
  <c r="AA173" i="6"/>
  <c r="AC172" i="6"/>
  <c r="AB172" i="6"/>
  <c r="I172" i="6" s="1"/>
  <c r="AA172" i="6"/>
  <c r="AC171" i="6"/>
  <c r="AB171" i="6"/>
  <c r="I171" i="6" s="1"/>
  <c r="AA171" i="6"/>
  <c r="AC170" i="6"/>
  <c r="AB170" i="6"/>
  <c r="I170" i="6" s="1"/>
  <c r="AA170" i="6"/>
  <c r="AC169" i="6"/>
  <c r="AB169" i="6"/>
  <c r="I169" i="6" s="1"/>
  <c r="AA169" i="6"/>
  <c r="AC168" i="6"/>
  <c r="AB168" i="6"/>
  <c r="I168" i="6" s="1"/>
  <c r="AA168" i="6"/>
  <c r="AC167" i="6"/>
  <c r="AB167" i="6"/>
  <c r="I167" i="6" s="1"/>
  <c r="AA167" i="6"/>
  <c r="AB166" i="6"/>
  <c r="I166" i="6" s="1"/>
  <c r="AA166" i="6"/>
  <c r="AC165" i="6"/>
  <c r="AB165" i="6"/>
  <c r="AA165" i="6"/>
  <c r="AB164" i="6"/>
  <c r="I164" i="6" s="1"/>
  <c r="AA164" i="6"/>
  <c r="AC163" i="6"/>
  <c r="AB163" i="6"/>
  <c r="I163" i="6" s="1"/>
  <c r="AA163" i="6"/>
  <c r="AC162" i="6"/>
  <c r="AB162" i="6"/>
  <c r="I162" i="6" s="1"/>
  <c r="AA162" i="6"/>
  <c r="AC161" i="6"/>
  <c r="AB161" i="6"/>
  <c r="I161" i="6" s="1"/>
  <c r="AA161" i="6"/>
  <c r="AB160" i="6"/>
  <c r="I160" i="6" s="1"/>
  <c r="AA160" i="6"/>
  <c r="AB159" i="6"/>
  <c r="I159" i="6" s="1"/>
  <c r="AA159" i="6"/>
  <c r="AB158" i="6"/>
  <c r="I158" i="6" s="1"/>
  <c r="AA158" i="6"/>
  <c r="AB157" i="6"/>
  <c r="I157" i="6" s="1"/>
  <c r="AA157" i="6"/>
  <c r="AB156" i="6"/>
  <c r="I156" i="6" s="1"/>
  <c r="AA156" i="6"/>
  <c r="AC155" i="6"/>
  <c r="AB155" i="6"/>
  <c r="I155" i="6" s="1"/>
  <c r="AA155" i="6"/>
  <c r="AB154" i="6"/>
  <c r="I154" i="6" s="1"/>
  <c r="AA154" i="6"/>
  <c r="AB153" i="6"/>
  <c r="I153" i="6" s="1"/>
  <c r="AA153" i="6"/>
  <c r="AB152" i="6"/>
  <c r="I152" i="6" s="1"/>
  <c r="AA152" i="6"/>
  <c r="AB151" i="6"/>
  <c r="I151" i="6" s="1"/>
  <c r="AA151" i="6"/>
  <c r="AB150" i="6"/>
  <c r="I150" i="6" s="1"/>
  <c r="AA150" i="6"/>
  <c r="AB149" i="6"/>
  <c r="I149" i="6" s="1"/>
  <c r="AA149" i="6"/>
  <c r="AB148" i="6"/>
  <c r="I148" i="6" s="1"/>
  <c r="AA148" i="6"/>
  <c r="AC147" i="6"/>
  <c r="AB147" i="6"/>
  <c r="I147" i="6" s="1"/>
  <c r="AA147" i="6"/>
  <c r="AC146" i="6"/>
  <c r="AB146" i="6"/>
  <c r="I146" i="6" s="1"/>
  <c r="AA146" i="6"/>
  <c r="AB145" i="6"/>
  <c r="I145" i="6" s="1"/>
  <c r="AA145" i="6"/>
  <c r="AB144" i="6"/>
  <c r="I144" i="6" s="1"/>
  <c r="AA144" i="6"/>
  <c r="AB143" i="6"/>
  <c r="I143" i="6" s="1"/>
  <c r="AA143" i="6"/>
  <c r="AB142" i="6"/>
  <c r="I142" i="6" s="1"/>
  <c r="AA142" i="6"/>
  <c r="AB141" i="6"/>
  <c r="I141" i="6" s="1"/>
  <c r="AA141" i="6"/>
  <c r="AB140" i="6"/>
  <c r="I140" i="6" s="1"/>
  <c r="AA140" i="6"/>
  <c r="AC139" i="6"/>
  <c r="AB139" i="6"/>
  <c r="I139" i="6" s="1"/>
  <c r="AA139" i="6"/>
  <c r="AB138" i="6"/>
  <c r="I138" i="6" s="1"/>
  <c r="AA138" i="6"/>
  <c r="AB137" i="6"/>
  <c r="I137" i="6" s="1"/>
  <c r="AA137" i="6"/>
  <c r="AB136" i="6"/>
  <c r="I136" i="6" s="1"/>
  <c r="AA136" i="6"/>
  <c r="AB135" i="6"/>
  <c r="I135" i="6" s="1"/>
  <c r="AA135" i="6"/>
  <c r="AB134" i="6"/>
  <c r="I134" i="6" s="1"/>
  <c r="AA134" i="6"/>
  <c r="AB133" i="6"/>
  <c r="I133" i="6" s="1"/>
  <c r="AA133" i="6"/>
  <c r="AC132" i="6"/>
  <c r="AB132" i="6"/>
  <c r="I132" i="6" s="1"/>
  <c r="AA132" i="6"/>
  <c r="AC131" i="6"/>
  <c r="AB131" i="6"/>
  <c r="I131" i="6" s="1"/>
  <c r="AA131" i="6"/>
  <c r="AC130" i="6"/>
  <c r="AB130" i="6"/>
  <c r="AA130" i="6"/>
  <c r="AC129" i="6"/>
  <c r="AB129" i="6"/>
  <c r="I129" i="6" s="1"/>
  <c r="AA129" i="6"/>
  <c r="AC128" i="6"/>
  <c r="AB128" i="6"/>
  <c r="I128" i="6" s="1"/>
  <c r="AA128" i="6"/>
  <c r="AC127" i="6"/>
  <c r="AB127" i="6"/>
  <c r="I127" i="6" s="1"/>
  <c r="AA127" i="6"/>
  <c r="AC126" i="6"/>
  <c r="AB126" i="6"/>
  <c r="I126" i="6" s="1"/>
  <c r="AA126" i="6"/>
  <c r="AC125" i="6"/>
  <c r="AB125" i="6"/>
  <c r="I125" i="6" s="1"/>
  <c r="AA125" i="6"/>
  <c r="AC124" i="6"/>
  <c r="AB124" i="6"/>
  <c r="I124" i="6" s="1"/>
  <c r="AA124" i="6"/>
  <c r="AC123" i="6"/>
  <c r="AB123" i="6"/>
  <c r="I123" i="6" s="1"/>
  <c r="AA123" i="6"/>
  <c r="AC122" i="6"/>
  <c r="AB122" i="6"/>
  <c r="I122" i="6" s="1"/>
  <c r="AA122" i="6"/>
  <c r="AC121" i="6"/>
  <c r="AB121" i="6"/>
  <c r="I121" i="6" s="1"/>
  <c r="AA121" i="6"/>
  <c r="AC120" i="6"/>
  <c r="AB120" i="6"/>
  <c r="I120" i="6" s="1"/>
  <c r="AA120" i="6"/>
  <c r="AC119" i="6"/>
  <c r="AB119" i="6"/>
  <c r="I119" i="6" s="1"/>
  <c r="AA119" i="6"/>
  <c r="AC118" i="6"/>
  <c r="AB118" i="6"/>
  <c r="I118" i="6" s="1"/>
  <c r="AA118" i="6"/>
  <c r="AC117" i="6"/>
  <c r="AB117" i="6"/>
  <c r="I117" i="6" s="1"/>
  <c r="AA117" i="6"/>
  <c r="AC116" i="6"/>
  <c r="AB116" i="6"/>
  <c r="I116" i="6" s="1"/>
  <c r="AA116" i="6"/>
  <c r="AC115" i="6"/>
  <c r="AB115" i="6"/>
  <c r="I115" i="6" s="1"/>
  <c r="AA115" i="6"/>
  <c r="AC114" i="6"/>
  <c r="AB114" i="6"/>
  <c r="I114" i="6" s="1"/>
  <c r="AA114" i="6"/>
  <c r="AC113" i="6"/>
  <c r="AB113" i="6"/>
  <c r="I113" i="6" s="1"/>
  <c r="AA113" i="6"/>
  <c r="AC112" i="6"/>
  <c r="AB112" i="6"/>
  <c r="I112" i="6" s="1"/>
  <c r="AA112" i="6"/>
  <c r="AC111" i="6"/>
  <c r="AB111" i="6"/>
  <c r="I111" i="6" s="1"/>
  <c r="AA111" i="6"/>
  <c r="AC110" i="6"/>
  <c r="AB110" i="6"/>
  <c r="I110" i="6" s="1"/>
  <c r="AA110" i="6"/>
  <c r="AC109" i="6"/>
  <c r="AB109" i="6"/>
  <c r="I109" i="6" s="1"/>
  <c r="AA109" i="6"/>
  <c r="AC108" i="6"/>
  <c r="AB108" i="6"/>
  <c r="I108" i="6" s="1"/>
  <c r="AA108" i="6"/>
  <c r="AC107" i="6"/>
  <c r="AB107" i="6"/>
  <c r="I107" i="6" s="1"/>
  <c r="AA107" i="6"/>
  <c r="AC106" i="6"/>
  <c r="AB106" i="6"/>
  <c r="I106" i="6" s="1"/>
  <c r="AA106" i="6"/>
  <c r="AC105" i="6"/>
  <c r="AB105" i="6"/>
  <c r="I105" i="6" s="1"/>
  <c r="AA105" i="6"/>
  <c r="AC104" i="6"/>
  <c r="AB104" i="6"/>
  <c r="I104" i="6" s="1"/>
  <c r="AA104" i="6"/>
  <c r="AC103" i="6"/>
  <c r="AB103" i="6"/>
  <c r="I103" i="6" s="1"/>
  <c r="AA103" i="6"/>
  <c r="AC102" i="6"/>
  <c r="AB102" i="6"/>
  <c r="I102" i="6" s="1"/>
  <c r="AA102" i="6"/>
  <c r="AC101" i="6"/>
  <c r="AB101" i="6"/>
  <c r="I101" i="6" s="1"/>
  <c r="AA101" i="6"/>
  <c r="AC100" i="6"/>
  <c r="AB100" i="6"/>
  <c r="I100" i="6" s="1"/>
  <c r="AA100" i="6"/>
  <c r="AC99" i="6"/>
  <c r="AB99" i="6"/>
  <c r="I99" i="6" s="1"/>
  <c r="AA99" i="6"/>
  <c r="AC98" i="6"/>
  <c r="AB98" i="6"/>
  <c r="I98" i="6" s="1"/>
  <c r="AA98" i="6"/>
  <c r="AC97" i="6"/>
  <c r="E97" i="6" s="1"/>
  <c r="AB97" i="6"/>
  <c r="AA97" i="6"/>
  <c r="AC96" i="6"/>
  <c r="AB96" i="6"/>
  <c r="I96" i="6" s="1"/>
  <c r="AA96" i="6"/>
  <c r="AC95" i="6"/>
  <c r="AB95" i="6"/>
  <c r="AA95" i="6"/>
  <c r="AC87" i="6"/>
  <c r="AB87" i="6"/>
  <c r="I87" i="6" s="1"/>
  <c r="AA87" i="6"/>
  <c r="AC86" i="6"/>
  <c r="AB86" i="6"/>
  <c r="I86" i="6" s="1"/>
  <c r="AA86" i="6"/>
  <c r="AC85" i="6"/>
  <c r="AB85" i="6"/>
  <c r="I85" i="6" s="1"/>
  <c r="AA85" i="6"/>
  <c r="AC84" i="6"/>
  <c r="AB84" i="6"/>
  <c r="AA84" i="6"/>
  <c r="AC83" i="6"/>
  <c r="AB83" i="6"/>
  <c r="I83" i="6" s="1"/>
  <c r="AA83" i="6"/>
  <c r="AC82" i="6"/>
  <c r="AB82" i="6"/>
  <c r="I82" i="6" s="1"/>
  <c r="AA82" i="6"/>
  <c r="AC81" i="6"/>
  <c r="AB81" i="6"/>
  <c r="I81" i="6" s="1"/>
  <c r="AA81" i="6"/>
  <c r="AC80" i="6"/>
  <c r="AB80" i="6"/>
  <c r="I80" i="6" s="1"/>
  <c r="AA80" i="6"/>
  <c r="AC79" i="6"/>
  <c r="AB79" i="6"/>
  <c r="I79" i="6" s="1"/>
  <c r="AA79" i="6"/>
  <c r="AC78" i="6"/>
  <c r="AB78" i="6"/>
  <c r="AA78" i="6"/>
  <c r="AC77" i="6"/>
  <c r="AB77" i="6"/>
  <c r="I77" i="6" s="1"/>
  <c r="AA77" i="6"/>
  <c r="AC76" i="6"/>
  <c r="AB76" i="6"/>
  <c r="I76" i="6" s="1"/>
  <c r="AA76" i="6"/>
  <c r="AC75" i="6"/>
  <c r="AB75" i="6"/>
  <c r="I75" i="6" s="1"/>
  <c r="AA75" i="6"/>
  <c r="AC74" i="6"/>
  <c r="E74" i="6" s="1"/>
  <c r="AB74" i="6"/>
  <c r="AA74" i="6"/>
  <c r="AC73" i="6"/>
  <c r="AB73" i="6"/>
  <c r="I73" i="6" s="1"/>
  <c r="AA73" i="6"/>
  <c r="AC72" i="6"/>
  <c r="AB72" i="6"/>
  <c r="I72" i="6" s="1"/>
  <c r="AA72" i="6"/>
  <c r="AC71" i="6"/>
  <c r="AB71" i="6"/>
  <c r="I71" i="6" s="1"/>
  <c r="AA71" i="6"/>
  <c r="AC70" i="6"/>
  <c r="AB70" i="6"/>
  <c r="I70" i="6" s="1"/>
  <c r="AA70" i="6"/>
  <c r="AC69" i="6"/>
  <c r="AB69" i="6"/>
  <c r="I69" i="6" s="1"/>
  <c r="AA69" i="6"/>
  <c r="AC68" i="6"/>
  <c r="AB68" i="6"/>
  <c r="I68" i="6" s="1"/>
  <c r="AA68" i="6"/>
  <c r="AC67" i="6"/>
  <c r="AB67" i="6"/>
  <c r="I67" i="6" s="1"/>
  <c r="AA67" i="6"/>
  <c r="AC66" i="6"/>
  <c r="AB66" i="6"/>
  <c r="I66" i="6" s="1"/>
  <c r="AA66" i="6"/>
  <c r="AC65" i="6"/>
  <c r="AB65" i="6"/>
  <c r="I65" i="6" s="1"/>
  <c r="AA65" i="6"/>
  <c r="AC64" i="6"/>
  <c r="AB64" i="6"/>
  <c r="I64" i="6" s="1"/>
  <c r="AA64" i="6"/>
  <c r="AC63" i="6"/>
  <c r="AB63" i="6"/>
  <c r="I63" i="6" s="1"/>
  <c r="AA63" i="6"/>
  <c r="AC62" i="6"/>
  <c r="AB62" i="6"/>
  <c r="I62" i="6" s="1"/>
  <c r="AA62" i="6"/>
  <c r="AC61" i="6"/>
  <c r="AB61" i="6"/>
  <c r="I61" i="6" s="1"/>
  <c r="AA61" i="6"/>
  <c r="AC60" i="6"/>
  <c r="AB60" i="6"/>
  <c r="I60" i="6" s="1"/>
  <c r="AA60" i="6"/>
  <c r="AC59" i="6"/>
  <c r="AB59" i="6"/>
  <c r="AA59" i="6"/>
  <c r="AC58" i="6"/>
  <c r="AB58" i="6"/>
  <c r="I58" i="6" s="1"/>
  <c r="AA58" i="6"/>
  <c r="AC57" i="6"/>
  <c r="AB57" i="6"/>
  <c r="I57" i="6" s="1"/>
  <c r="AA57" i="6"/>
  <c r="AC56" i="6"/>
  <c r="AB56" i="6"/>
  <c r="I56" i="6" s="1"/>
  <c r="AA56" i="6"/>
  <c r="AC55" i="6"/>
  <c r="AB55" i="6"/>
  <c r="I55" i="6" s="1"/>
  <c r="AA55" i="6"/>
  <c r="AC54" i="6"/>
  <c r="AB54" i="6"/>
  <c r="I54" i="6" s="1"/>
  <c r="AA54" i="6"/>
  <c r="AC53" i="6"/>
  <c r="AB53" i="6"/>
  <c r="I53" i="6" s="1"/>
  <c r="AA53" i="6"/>
  <c r="AC52" i="6"/>
  <c r="AB52" i="6"/>
  <c r="AA52" i="6"/>
  <c r="AC51" i="6"/>
  <c r="AB51" i="6"/>
  <c r="I51" i="6" s="1"/>
  <c r="AA51" i="6"/>
  <c r="AC50" i="6"/>
  <c r="AB50" i="6"/>
  <c r="I50" i="6" s="1"/>
  <c r="AA50" i="6"/>
  <c r="AC49" i="6"/>
  <c r="AB49" i="6"/>
  <c r="AA49" i="6"/>
  <c r="AC48" i="6"/>
  <c r="AB48" i="6"/>
  <c r="I48" i="6" s="1"/>
  <c r="AA48" i="6"/>
  <c r="AC47" i="6"/>
  <c r="AB47" i="6"/>
  <c r="AA47" i="6"/>
  <c r="AC46" i="6"/>
  <c r="AB46" i="6"/>
  <c r="I46" i="6" s="1"/>
  <c r="AA46" i="6"/>
  <c r="AC45" i="6"/>
  <c r="AB45" i="6"/>
  <c r="AA45" i="6"/>
  <c r="AC44" i="6"/>
  <c r="AB44" i="6"/>
  <c r="I44" i="6" s="1"/>
  <c r="AA44" i="6"/>
  <c r="AC43" i="6"/>
  <c r="AB43" i="6"/>
  <c r="I43" i="6" s="1"/>
  <c r="AA43" i="6"/>
  <c r="AC42" i="6"/>
  <c r="AB42" i="6"/>
  <c r="I42" i="6" s="1"/>
  <c r="AA42" i="6"/>
  <c r="AC41" i="6"/>
  <c r="AB41" i="6"/>
  <c r="I41" i="6" s="1"/>
  <c r="AA41" i="6"/>
  <c r="AC40" i="6"/>
  <c r="AB40" i="6"/>
  <c r="I40" i="6" s="1"/>
  <c r="AA40" i="6"/>
  <c r="AC39" i="6"/>
  <c r="AB39" i="6"/>
  <c r="I39" i="6" s="1"/>
  <c r="AA39" i="6"/>
  <c r="AC38" i="6"/>
  <c r="AB38" i="6"/>
  <c r="I38" i="6" s="1"/>
  <c r="AA38" i="6"/>
  <c r="AC37" i="6"/>
  <c r="AB37" i="6"/>
  <c r="AA37" i="6"/>
  <c r="AC36" i="6"/>
  <c r="AB36" i="6"/>
  <c r="I36" i="6" s="1"/>
  <c r="AA36" i="6"/>
  <c r="AC35" i="6"/>
  <c r="AB35" i="6"/>
  <c r="I35" i="6" s="1"/>
  <c r="AA35" i="6"/>
  <c r="AC34" i="6"/>
  <c r="AB34" i="6"/>
  <c r="I34" i="6" s="1"/>
  <c r="AA34" i="6"/>
  <c r="AC33" i="6"/>
  <c r="AB33" i="6"/>
  <c r="I33" i="6" s="1"/>
  <c r="AA33" i="6"/>
  <c r="AC32" i="6"/>
  <c r="AB32" i="6"/>
  <c r="I32" i="6" s="1"/>
  <c r="AA32" i="6"/>
  <c r="AC31" i="6"/>
  <c r="AB31" i="6"/>
  <c r="I31" i="6" s="1"/>
  <c r="AA31" i="6"/>
  <c r="AC30" i="6"/>
  <c r="AB30" i="6"/>
  <c r="I30" i="6" s="1"/>
  <c r="AA30" i="6"/>
  <c r="AC29" i="6"/>
  <c r="AB29" i="6"/>
  <c r="I29" i="6" s="1"/>
  <c r="AA29" i="6"/>
  <c r="AC28" i="6"/>
  <c r="AB28" i="6"/>
  <c r="I28" i="6" s="1"/>
  <c r="AA28" i="6"/>
  <c r="AC27" i="6"/>
  <c r="AB27" i="6"/>
  <c r="I27" i="6" s="1"/>
  <c r="AA27" i="6"/>
  <c r="AC26" i="6"/>
  <c r="AB26" i="6"/>
  <c r="I26" i="6" s="1"/>
  <c r="AA26" i="6"/>
  <c r="AC22" i="6"/>
  <c r="AB22" i="6"/>
  <c r="AA22" i="6"/>
  <c r="AC21" i="6"/>
  <c r="AB21" i="6"/>
  <c r="I21" i="6" s="1"/>
  <c r="AA21" i="6"/>
  <c r="AC11" i="6"/>
  <c r="AB11" i="6"/>
  <c r="I11" i="6" s="1"/>
  <c r="AA11" i="6"/>
  <c r="AC10" i="6"/>
  <c r="AB10" i="6"/>
  <c r="I10" i="6" s="1"/>
  <c r="AA10" i="6"/>
  <c r="AC8" i="6"/>
  <c r="AB8" i="6"/>
  <c r="AA8" i="6"/>
  <c r="AC7" i="6"/>
  <c r="AB7" i="6"/>
  <c r="I7" i="6" s="1"/>
  <c r="AA7" i="6"/>
  <c r="AC6" i="6"/>
  <c r="AB6" i="6"/>
  <c r="I6" i="6" s="1"/>
  <c r="AA6" i="6"/>
  <c r="AC5" i="6"/>
  <c r="AB5" i="6"/>
  <c r="I5" i="6" s="1"/>
  <c r="AA5" i="6"/>
  <c r="AC4" i="6"/>
  <c r="AB4" i="6"/>
  <c r="I4" i="6" s="1"/>
  <c r="AA4" i="6"/>
  <c r="P263" i="6"/>
  <c r="D263" i="6" s="1"/>
  <c r="G263" i="6"/>
  <c r="F263" i="6"/>
  <c r="P262" i="6"/>
  <c r="D262" i="6" s="1"/>
  <c r="I262" i="6"/>
  <c r="G262" i="6"/>
  <c r="F262" i="6"/>
  <c r="P261" i="6"/>
  <c r="D261" i="6" s="1"/>
  <c r="G261" i="6"/>
  <c r="F261" i="6"/>
  <c r="P260" i="6"/>
  <c r="D260" i="6" s="1"/>
  <c r="G260" i="6"/>
  <c r="F260" i="6"/>
  <c r="P259" i="6"/>
  <c r="D259" i="6" s="1"/>
  <c r="I259" i="6"/>
  <c r="G259" i="6"/>
  <c r="F259" i="6"/>
  <c r="P258" i="6"/>
  <c r="D258" i="6" s="1"/>
  <c r="G258" i="6"/>
  <c r="F258" i="6"/>
  <c r="P257" i="6"/>
  <c r="D257" i="6" s="1"/>
  <c r="G257" i="6"/>
  <c r="F257" i="6"/>
  <c r="P256" i="6"/>
  <c r="D256" i="6" s="1"/>
  <c r="G256" i="6"/>
  <c r="F256" i="6"/>
  <c r="P255" i="6"/>
  <c r="D255" i="6" s="1"/>
  <c r="G255" i="6"/>
  <c r="F255" i="6"/>
  <c r="P254" i="6"/>
  <c r="D254" i="6" s="1"/>
  <c r="G254" i="6"/>
  <c r="F254" i="6"/>
  <c r="P253" i="6"/>
  <c r="D253" i="6" s="1"/>
  <c r="G253" i="6"/>
  <c r="F253" i="6"/>
  <c r="P252" i="6"/>
  <c r="D252" i="6" s="1"/>
  <c r="G252" i="6"/>
  <c r="F252" i="6"/>
  <c r="P251" i="6"/>
  <c r="D251" i="6" s="1"/>
  <c r="G251" i="6"/>
  <c r="F251" i="6"/>
  <c r="P250" i="6"/>
  <c r="D250" i="6" s="1"/>
  <c r="G250" i="6"/>
  <c r="F250" i="6"/>
  <c r="P249" i="6"/>
  <c r="D249" i="6" s="1"/>
  <c r="G249" i="6"/>
  <c r="F249" i="6"/>
  <c r="P248" i="6"/>
  <c r="D248" i="6" s="1"/>
  <c r="G248" i="6"/>
  <c r="F248" i="6"/>
  <c r="P247" i="6"/>
  <c r="D247" i="6" s="1"/>
  <c r="G247" i="6"/>
  <c r="F247" i="6"/>
  <c r="P246" i="6"/>
  <c r="D246" i="6" s="1"/>
  <c r="G246" i="6"/>
  <c r="F246" i="6"/>
  <c r="P245" i="6"/>
  <c r="D245" i="6" s="1"/>
  <c r="G245" i="6"/>
  <c r="F245" i="6"/>
  <c r="P244" i="6"/>
  <c r="D244" i="6" s="1"/>
  <c r="G244" i="6"/>
  <c r="F244" i="6"/>
  <c r="P243" i="6"/>
  <c r="D243" i="6" s="1"/>
  <c r="G243" i="6"/>
  <c r="F243" i="6"/>
  <c r="P242" i="6"/>
  <c r="D242" i="6" s="1"/>
  <c r="G242" i="6"/>
  <c r="F242" i="6"/>
  <c r="P241" i="6"/>
  <c r="D241" i="6" s="1"/>
  <c r="G241" i="6"/>
  <c r="F241" i="6"/>
  <c r="P240" i="6"/>
  <c r="D240" i="6" s="1"/>
  <c r="G240" i="6"/>
  <c r="F240" i="6"/>
  <c r="P239" i="6"/>
  <c r="D239" i="6" s="1"/>
  <c r="G239" i="6"/>
  <c r="F239" i="6"/>
  <c r="P238" i="6"/>
  <c r="D238" i="6" s="1"/>
  <c r="G238" i="6"/>
  <c r="F238" i="6"/>
  <c r="P237" i="6"/>
  <c r="D237" i="6" s="1"/>
  <c r="G237" i="6"/>
  <c r="F237" i="6"/>
  <c r="P236" i="6"/>
  <c r="D236" i="6" s="1"/>
  <c r="G236" i="6"/>
  <c r="F236" i="6"/>
  <c r="P235" i="6"/>
  <c r="D235" i="6" s="1"/>
  <c r="G235" i="6"/>
  <c r="F235" i="6"/>
  <c r="P234" i="6"/>
  <c r="D234" i="6" s="1"/>
  <c r="G234" i="6"/>
  <c r="F234" i="6"/>
  <c r="P233" i="6"/>
  <c r="D233" i="6" s="1"/>
  <c r="G233" i="6"/>
  <c r="F233" i="6"/>
  <c r="P232" i="6"/>
  <c r="D232" i="6" s="1"/>
  <c r="I232" i="6"/>
  <c r="G232" i="6"/>
  <c r="F232" i="6"/>
  <c r="E232" i="6"/>
  <c r="P231" i="6"/>
  <c r="D231" i="6" s="1"/>
  <c r="G231" i="6"/>
  <c r="F231" i="6"/>
  <c r="P197" i="6"/>
  <c r="D197" i="6" s="1"/>
  <c r="G197" i="6"/>
  <c r="F197" i="6"/>
  <c r="P196" i="6"/>
  <c r="D196" i="6" s="1"/>
  <c r="G196" i="6"/>
  <c r="F196" i="6"/>
  <c r="P195" i="6"/>
  <c r="D195" i="6" s="1"/>
  <c r="G195" i="6"/>
  <c r="F195" i="6"/>
  <c r="P194" i="6"/>
  <c r="D194" i="6" s="1"/>
  <c r="G194" i="6"/>
  <c r="F194" i="6"/>
  <c r="P193" i="6"/>
  <c r="D193" i="6" s="1"/>
  <c r="G193" i="6"/>
  <c r="F193" i="6"/>
  <c r="P192" i="6"/>
  <c r="D192" i="6" s="1"/>
  <c r="G192" i="6"/>
  <c r="F192" i="6"/>
  <c r="P191" i="6"/>
  <c r="D191" i="6" s="1"/>
  <c r="G191" i="6"/>
  <c r="F191" i="6"/>
  <c r="P190" i="6"/>
  <c r="D190" i="6" s="1"/>
  <c r="G190" i="6"/>
  <c r="F190" i="6"/>
  <c r="P189" i="6"/>
  <c r="D189" i="6" s="1"/>
  <c r="G189" i="6"/>
  <c r="F189" i="6"/>
  <c r="P188" i="6"/>
  <c r="D188" i="6" s="1"/>
  <c r="G188" i="6"/>
  <c r="F188" i="6"/>
  <c r="P187" i="6"/>
  <c r="D187" i="6" s="1"/>
  <c r="G187" i="6"/>
  <c r="F187" i="6"/>
  <c r="P186" i="6"/>
  <c r="D186" i="6" s="1"/>
  <c r="G186" i="6"/>
  <c r="F186" i="6"/>
  <c r="P185" i="6"/>
  <c r="D185" i="6" s="1"/>
  <c r="G185" i="6"/>
  <c r="F185" i="6"/>
  <c r="P184" i="6"/>
  <c r="D184" i="6" s="1"/>
  <c r="G184" i="6"/>
  <c r="F184" i="6"/>
  <c r="P183" i="6"/>
  <c r="D183" i="6" s="1"/>
  <c r="G183" i="6"/>
  <c r="F183" i="6"/>
  <c r="P182" i="6"/>
  <c r="D182" i="6" s="1"/>
  <c r="G182" i="6"/>
  <c r="F182" i="6"/>
  <c r="P181" i="6"/>
  <c r="D181" i="6" s="1"/>
  <c r="G181" i="6"/>
  <c r="F181" i="6"/>
  <c r="P180" i="6"/>
  <c r="D180" i="6" s="1"/>
  <c r="G180" i="6"/>
  <c r="F180" i="6"/>
  <c r="P179" i="6"/>
  <c r="D179" i="6" s="1"/>
  <c r="G179" i="6"/>
  <c r="F179" i="6"/>
  <c r="P178" i="6"/>
  <c r="D178" i="6" s="1"/>
  <c r="G178" i="6"/>
  <c r="F178" i="6"/>
  <c r="P177" i="6"/>
  <c r="D177" i="6" s="1"/>
  <c r="G177" i="6"/>
  <c r="F177" i="6"/>
  <c r="P176" i="6"/>
  <c r="D176" i="6" s="1"/>
  <c r="G176" i="6"/>
  <c r="F176" i="6"/>
  <c r="P175" i="6"/>
  <c r="D175" i="6" s="1"/>
  <c r="G175" i="6"/>
  <c r="F175" i="6"/>
  <c r="P174" i="6"/>
  <c r="D174" i="6" s="1"/>
  <c r="G174" i="6"/>
  <c r="F174" i="6"/>
  <c r="P173" i="6"/>
  <c r="D173" i="6" s="1"/>
  <c r="G173" i="6"/>
  <c r="F173" i="6"/>
  <c r="P172" i="6"/>
  <c r="D172" i="6" s="1"/>
  <c r="G172" i="6"/>
  <c r="F172" i="6"/>
  <c r="P171" i="6"/>
  <c r="D171" i="6" s="1"/>
  <c r="G171" i="6"/>
  <c r="F171" i="6"/>
  <c r="P170" i="6"/>
  <c r="D170" i="6" s="1"/>
  <c r="G170" i="6"/>
  <c r="F170" i="6"/>
  <c r="P169" i="6"/>
  <c r="D169" i="6" s="1"/>
  <c r="G169" i="6"/>
  <c r="F169" i="6"/>
  <c r="P168" i="6"/>
  <c r="D168" i="6" s="1"/>
  <c r="G168" i="6"/>
  <c r="F168" i="6"/>
  <c r="P167" i="6"/>
  <c r="D167" i="6" s="1"/>
  <c r="G167" i="6"/>
  <c r="F167" i="6"/>
  <c r="P166" i="6"/>
  <c r="D166" i="6" s="1"/>
  <c r="G166" i="6"/>
  <c r="F166" i="6"/>
  <c r="P165" i="6"/>
  <c r="D165" i="6" s="1"/>
  <c r="I165" i="6"/>
  <c r="G165" i="6"/>
  <c r="F165" i="6"/>
  <c r="E165" i="6"/>
  <c r="P164" i="6"/>
  <c r="D164" i="6" s="1"/>
  <c r="G164" i="6"/>
  <c r="F164" i="6"/>
  <c r="P163" i="6"/>
  <c r="D163" i="6" s="1"/>
  <c r="G163" i="6"/>
  <c r="F163" i="6"/>
  <c r="P162" i="6"/>
  <c r="D162" i="6" s="1"/>
  <c r="G162" i="6"/>
  <c r="F162" i="6"/>
  <c r="P161" i="6"/>
  <c r="D161" i="6" s="1"/>
  <c r="G161" i="6"/>
  <c r="F161" i="6"/>
  <c r="P160" i="6"/>
  <c r="D160" i="6" s="1"/>
  <c r="G160" i="6"/>
  <c r="F160" i="6"/>
  <c r="P159" i="6"/>
  <c r="D159" i="6" s="1"/>
  <c r="G159" i="6"/>
  <c r="F159" i="6"/>
  <c r="P158" i="6"/>
  <c r="D158" i="6" s="1"/>
  <c r="G158" i="6"/>
  <c r="F158" i="6"/>
  <c r="P157" i="6"/>
  <c r="D157" i="6" s="1"/>
  <c r="G157" i="6"/>
  <c r="F157" i="6"/>
  <c r="P156" i="6"/>
  <c r="D156" i="6" s="1"/>
  <c r="G156" i="6"/>
  <c r="F156" i="6"/>
  <c r="P155" i="6"/>
  <c r="D155" i="6" s="1"/>
  <c r="G155" i="6"/>
  <c r="F155" i="6"/>
  <c r="P154" i="6"/>
  <c r="D154" i="6" s="1"/>
  <c r="G154" i="6"/>
  <c r="F154" i="6"/>
  <c r="P153" i="6"/>
  <c r="D153" i="6" s="1"/>
  <c r="G153" i="6"/>
  <c r="F153" i="6"/>
  <c r="P152" i="6"/>
  <c r="D152" i="6" s="1"/>
  <c r="G152" i="6"/>
  <c r="F152" i="6"/>
  <c r="P151" i="6"/>
  <c r="D151" i="6" s="1"/>
  <c r="G151" i="6"/>
  <c r="F151" i="6"/>
  <c r="P150" i="6"/>
  <c r="D150" i="6" s="1"/>
  <c r="G150" i="6"/>
  <c r="F150" i="6"/>
  <c r="P149" i="6"/>
  <c r="D149" i="6" s="1"/>
  <c r="G149" i="6"/>
  <c r="F149" i="6"/>
  <c r="P148" i="6"/>
  <c r="D148" i="6" s="1"/>
  <c r="G148" i="6"/>
  <c r="F148" i="6"/>
  <c r="P147" i="6"/>
  <c r="D147" i="6" s="1"/>
  <c r="G147" i="6"/>
  <c r="F147" i="6"/>
  <c r="P146" i="6"/>
  <c r="D146" i="6" s="1"/>
  <c r="G146" i="6"/>
  <c r="F146" i="6"/>
  <c r="P145" i="6"/>
  <c r="D145" i="6" s="1"/>
  <c r="G145" i="6"/>
  <c r="F145" i="6"/>
  <c r="P144" i="6"/>
  <c r="D144" i="6" s="1"/>
  <c r="G144" i="6"/>
  <c r="F144" i="6"/>
  <c r="P143" i="6"/>
  <c r="D143" i="6" s="1"/>
  <c r="G143" i="6"/>
  <c r="F143" i="6"/>
  <c r="P142" i="6"/>
  <c r="D142" i="6" s="1"/>
  <c r="G142" i="6"/>
  <c r="F142" i="6"/>
  <c r="P141" i="6"/>
  <c r="D141" i="6" s="1"/>
  <c r="G141" i="6"/>
  <c r="F141" i="6"/>
  <c r="P140" i="6"/>
  <c r="D140" i="6" s="1"/>
  <c r="G140" i="6"/>
  <c r="F140" i="6"/>
  <c r="P139" i="6"/>
  <c r="D139" i="6" s="1"/>
  <c r="G139" i="6"/>
  <c r="F139" i="6"/>
  <c r="P138" i="6"/>
  <c r="D138" i="6" s="1"/>
  <c r="G138" i="6"/>
  <c r="F138" i="6"/>
  <c r="P137" i="6"/>
  <c r="D137" i="6" s="1"/>
  <c r="G137" i="6"/>
  <c r="F137" i="6"/>
  <c r="P136" i="6"/>
  <c r="D136" i="6" s="1"/>
  <c r="G136" i="6"/>
  <c r="F136" i="6"/>
  <c r="P135" i="6"/>
  <c r="D135" i="6" s="1"/>
  <c r="G135" i="6"/>
  <c r="F135" i="6"/>
  <c r="P134" i="6"/>
  <c r="D134" i="6" s="1"/>
  <c r="G134" i="6"/>
  <c r="F134" i="6"/>
  <c r="P133" i="6"/>
  <c r="D133" i="6" s="1"/>
  <c r="G133" i="6"/>
  <c r="F133" i="6"/>
  <c r="P132" i="6"/>
  <c r="D132" i="6" s="1"/>
  <c r="G132" i="6"/>
  <c r="F132" i="6"/>
  <c r="E132" i="6"/>
  <c r="P131" i="6"/>
  <c r="D131" i="6" s="1"/>
  <c r="G131" i="6"/>
  <c r="F131" i="6"/>
  <c r="P130" i="6"/>
  <c r="D130" i="6" s="1"/>
  <c r="I130" i="6"/>
  <c r="G130" i="6"/>
  <c r="F130" i="6"/>
  <c r="E130" i="6"/>
  <c r="P129" i="6"/>
  <c r="D129" i="6" s="1"/>
  <c r="G129" i="6"/>
  <c r="F129" i="6"/>
  <c r="P128" i="6"/>
  <c r="D128" i="6" s="1"/>
  <c r="G128" i="6"/>
  <c r="F128" i="6"/>
  <c r="P127" i="6"/>
  <c r="D127" i="6" s="1"/>
  <c r="G127" i="6"/>
  <c r="F127" i="6"/>
  <c r="P126" i="6"/>
  <c r="D126" i="6" s="1"/>
  <c r="G126" i="6"/>
  <c r="F126" i="6"/>
  <c r="P125" i="6"/>
  <c r="D125" i="6" s="1"/>
  <c r="G125" i="6"/>
  <c r="F125" i="6"/>
  <c r="P124" i="6"/>
  <c r="D124" i="6" s="1"/>
  <c r="G124" i="6"/>
  <c r="F124" i="6"/>
  <c r="P123" i="6"/>
  <c r="D123" i="6" s="1"/>
  <c r="G123" i="6"/>
  <c r="F123" i="6"/>
  <c r="P122" i="6"/>
  <c r="D122" i="6" s="1"/>
  <c r="G122" i="6"/>
  <c r="F122" i="6"/>
  <c r="P121" i="6"/>
  <c r="D121" i="6" s="1"/>
  <c r="G121" i="6"/>
  <c r="F121" i="6"/>
  <c r="P120" i="6"/>
  <c r="D120" i="6" s="1"/>
  <c r="G120" i="6"/>
  <c r="F120" i="6"/>
  <c r="P119" i="6"/>
  <c r="D119" i="6" s="1"/>
  <c r="G119" i="6"/>
  <c r="F119" i="6"/>
  <c r="P118" i="6"/>
  <c r="D118" i="6" s="1"/>
  <c r="G118" i="6"/>
  <c r="F118" i="6"/>
  <c r="P117" i="6"/>
  <c r="D117" i="6" s="1"/>
  <c r="G117" i="6"/>
  <c r="F117" i="6"/>
  <c r="P116" i="6"/>
  <c r="D116" i="6" s="1"/>
  <c r="G116" i="6"/>
  <c r="F116" i="6"/>
  <c r="P115" i="6"/>
  <c r="D115" i="6" s="1"/>
  <c r="G115" i="6"/>
  <c r="F115" i="6"/>
  <c r="P114" i="6"/>
  <c r="D114" i="6" s="1"/>
  <c r="G114" i="6"/>
  <c r="F114" i="6"/>
  <c r="P113" i="6"/>
  <c r="D113" i="6" s="1"/>
  <c r="G113" i="6"/>
  <c r="F113" i="6"/>
  <c r="P112" i="6"/>
  <c r="D112" i="6" s="1"/>
  <c r="G112" i="6"/>
  <c r="F112" i="6"/>
  <c r="P111" i="6"/>
  <c r="D111" i="6" s="1"/>
  <c r="G111" i="6"/>
  <c r="F111" i="6"/>
  <c r="P110" i="6"/>
  <c r="D110" i="6" s="1"/>
  <c r="G110" i="6"/>
  <c r="F110" i="6"/>
  <c r="P109" i="6"/>
  <c r="D109" i="6" s="1"/>
  <c r="G109" i="6"/>
  <c r="F109" i="6"/>
  <c r="P108" i="6"/>
  <c r="D108" i="6" s="1"/>
  <c r="G108" i="6"/>
  <c r="F108" i="6"/>
  <c r="P107" i="6"/>
  <c r="D107" i="6" s="1"/>
  <c r="G107" i="6"/>
  <c r="F107" i="6"/>
  <c r="P106" i="6"/>
  <c r="D106" i="6" s="1"/>
  <c r="G106" i="6"/>
  <c r="F106" i="6"/>
  <c r="P105" i="6"/>
  <c r="D105" i="6" s="1"/>
  <c r="G105" i="6"/>
  <c r="F105" i="6"/>
  <c r="P104" i="6"/>
  <c r="D104" i="6" s="1"/>
  <c r="G104" i="6"/>
  <c r="F104" i="6"/>
  <c r="P103" i="6"/>
  <c r="D103" i="6" s="1"/>
  <c r="G103" i="6"/>
  <c r="F103" i="6"/>
  <c r="P102" i="6"/>
  <c r="D102" i="6" s="1"/>
  <c r="G102" i="6"/>
  <c r="F102" i="6"/>
  <c r="P101" i="6"/>
  <c r="D101" i="6" s="1"/>
  <c r="G101" i="6"/>
  <c r="F101" i="6"/>
  <c r="P100" i="6"/>
  <c r="D100" i="6" s="1"/>
  <c r="G100" i="6"/>
  <c r="F100" i="6"/>
  <c r="P99" i="6"/>
  <c r="D99" i="6" s="1"/>
  <c r="G99" i="6"/>
  <c r="F99" i="6"/>
  <c r="P98" i="6"/>
  <c r="D98" i="6" s="1"/>
  <c r="G98" i="6"/>
  <c r="F98" i="6"/>
  <c r="P97" i="6"/>
  <c r="D97" i="6" s="1"/>
  <c r="I97" i="6"/>
  <c r="G97" i="6"/>
  <c r="F97" i="6"/>
  <c r="P96" i="6"/>
  <c r="D96" i="6" s="1"/>
  <c r="G96" i="6"/>
  <c r="F96" i="6"/>
  <c r="P95" i="6"/>
  <c r="D95" i="6" s="1"/>
  <c r="I95" i="6"/>
  <c r="G95" i="6"/>
  <c r="F95" i="6"/>
  <c r="E95" i="6"/>
  <c r="P87" i="6"/>
  <c r="D87" i="6" s="1"/>
  <c r="G87" i="6"/>
  <c r="F87" i="6"/>
  <c r="P86" i="6"/>
  <c r="D86" i="6" s="1"/>
  <c r="G86" i="6"/>
  <c r="F86" i="6"/>
  <c r="P85" i="6"/>
  <c r="D85" i="6" s="1"/>
  <c r="G85" i="6"/>
  <c r="F85" i="6"/>
  <c r="P84" i="6"/>
  <c r="D84" i="6" s="1"/>
  <c r="I84" i="6"/>
  <c r="G84" i="6"/>
  <c r="F84" i="6"/>
  <c r="E84" i="6"/>
  <c r="P83" i="6"/>
  <c r="D83" i="6" s="1"/>
  <c r="G83" i="6"/>
  <c r="F83" i="6"/>
  <c r="P82" i="6"/>
  <c r="D82" i="6" s="1"/>
  <c r="G82" i="6"/>
  <c r="F82" i="6"/>
  <c r="P81" i="6"/>
  <c r="D81" i="6" s="1"/>
  <c r="G81" i="6"/>
  <c r="F81" i="6"/>
  <c r="P80" i="6"/>
  <c r="D80" i="6" s="1"/>
  <c r="G80" i="6"/>
  <c r="F80" i="6"/>
  <c r="P79" i="6"/>
  <c r="D79" i="6" s="1"/>
  <c r="G79" i="6"/>
  <c r="F79" i="6"/>
  <c r="P78" i="6"/>
  <c r="D78" i="6" s="1"/>
  <c r="I78" i="6"/>
  <c r="G78" i="6"/>
  <c r="F78" i="6"/>
  <c r="E78" i="6"/>
  <c r="P77" i="6"/>
  <c r="D77" i="6" s="1"/>
  <c r="G77" i="6"/>
  <c r="F77" i="6"/>
  <c r="P76" i="6"/>
  <c r="D76" i="6" s="1"/>
  <c r="G76" i="6"/>
  <c r="F76" i="6"/>
  <c r="P75" i="6"/>
  <c r="D75" i="6" s="1"/>
  <c r="G75" i="6"/>
  <c r="F75" i="6"/>
  <c r="P74" i="6"/>
  <c r="D74" i="6" s="1"/>
  <c r="I74" i="6"/>
  <c r="G74" i="6"/>
  <c r="F74" i="6"/>
  <c r="P73" i="6"/>
  <c r="D73" i="6" s="1"/>
  <c r="G73" i="6"/>
  <c r="F73" i="6"/>
  <c r="P72" i="6"/>
  <c r="D72" i="6" s="1"/>
  <c r="G72" i="6"/>
  <c r="F72" i="6"/>
  <c r="P71" i="6"/>
  <c r="D71" i="6" s="1"/>
  <c r="G71" i="6"/>
  <c r="F71" i="6"/>
  <c r="P70" i="6"/>
  <c r="D70" i="6" s="1"/>
  <c r="G70" i="6"/>
  <c r="F70" i="6"/>
  <c r="P69" i="6"/>
  <c r="D69" i="6" s="1"/>
  <c r="G69" i="6"/>
  <c r="F69" i="6"/>
  <c r="P68" i="6"/>
  <c r="D68" i="6" s="1"/>
  <c r="G68" i="6"/>
  <c r="F68" i="6"/>
  <c r="P67" i="6"/>
  <c r="D67" i="6" s="1"/>
  <c r="G67" i="6"/>
  <c r="F67" i="6"/>
  <c r="P66" i="6"/>
  <c r="D66" i="6" s="1"/>
  <c r="G66" i="6"/>
  <c r="F66" i="6"/>
  <c r="P65" i="6"/>
  <c r="D65" i="6" s="1"/>
  <c r="G65" i="6"/>
  <c r="F65" i="6"/>
  <c r="P64" i="6"/>
  <c r="D64" i="6" s="1"/>
  <c r="G64" i="6"/>
  <c r="F64" i="6"/>
  <c r="P63" i="6"/>
  <c r="D63" i="6" s="1"/>
  <c r="G63" i="6"/>
  <c r="F63" i="6"/>
  <c r="P62" i="6"/>
  <c r="D62" i="6" s="1"/>
  <c r="G62" i="6"/>
  <c r="F62" i="6"/>
  <c r="P61" i="6"/>
  <c r="D61" i="6" s="1"/>
  <c r="G61" i="6"/>
  <c r="F61" i="6"/>
  <c r="P60" i="6"/>
  <c r="D60" i="6" s="1"/>
  <c r="G60" i="6"/>
  <c r="F60" i="6"/>
  <c r="P59" i="6"/>
  <c r="D59" i="6" s="1"/>
  <c r="I59" i="6"/>
  <c r="G59" i="6"/>
  <c r="F59" i="6"/>
  <c r="E59" i="6"/>
  <c r="P58" i="6"/>
  <c r="D58" i="6" s="1"/>
  <c r="G58" i="6"/>
  <c r="F58" i="6"/>
  <c r="P57" i="6"/>
  <c r="D57" i="6" s="1"/>
  <c r="G57" i="6"/>
  <c r="F57" i="6"/>
  <c r="P56" i="6"/>
  <c r="D56" i="6" s="1"/>
  <c r="G56" i="6"/>
  <c r="F56" i="6"/>
  <c r="P55" i="6"/>
  <c r="D55" i="6" s="1"/>
  <c r="G55" i="6"/>
  <c r="F55" i="6"/>
  <c r="P54" i="6"/>
  <c r="D54" i="6" s="1"/>
  <c r="G54" i="6"/>
  <c r="F54" i="6"/>
  <c r="P53" i="6"/>
  <c r="D53" i="6" s="1"/>
  <c r="G53" i="6"/>
  <c r="F53" i="6"/>
  <c r="P52" i="6"/>
  <c r="D52" i="6" s="1"/>
  <c r="I52" i="6"/>
  <c r="G52" i="6"/>
  <c r="F52" i="6"/>
  <c r="E52" i="6"/>
  <c r="P51" i="6"/>
  <c r="D51" i="6" s="1"/>
  <c r="G51" i="6"/>
  <c r="F51" i="6"/>
  <c r="P50" i="6"/>
  <c r="D50" i="6" s="1"/>
  <c r="G50" i="6"/>
  <c r="F50" i="6"/>
  <c r="P49" i="6"/>
  <c r="D49" i="6" s="1"/>
  <c r="I49" i="6"/>
  <c r="G49" i="6"/>
  <c r="F49" i="6"/>
  <c r="E49" i="6"/>
  <c r="P48" i="6"/>
  <c r="D48" i="6" s="1"/>
  <c r="G48" i="6"/>
  <c r="F48" i="6"/>
  <c r="P47" i="6"/>
  <c r="D47" i="6" s="1"/>
  <c r="I47" i="6"/>
  <c r="G47" i="6"/>
  <c r="F47" i="6"/>
  <c r="E47" i="6"/>
  <c r="P46" i="6"/>
  <c r="D46" i="6" s="1"/>
  <c r="G46" i="6"/>
  <c r="F46" i="6"/>
  <c r="P45" i="6"/>
  <c r="D45" i="6" s="1"/>
  <c r="I45" i="6"/>
  <c r="G45" i="6"/>
  <c r="F45" i="6"/>
  <c r="E45" i="6"/>
  <c r="P44" i="6"/>
  <c r="D44" i="6" s="1"/>
  <c r="G44" i="6"/>
  <c r="F44" i="6"/>
  <c r="P43" i="6"/>
  <c r="D43" i="6" s="1"/>
  <c r="G43" i="6"/>
  <c r="F43" i="6"/>
  <c r="P42" i="6"/>
  <c r="D42" i="6" s="1"/>
  <c r="G42" i="6"/>
  <c r="F42" i="6"/>
  <c r="P41" i="6"/>
  <c r="D41" i="6" s="1"/>
  <c r="G41" i="6"/>
  <c r="F41" i="6"/>
  <c r="P40" i="6"/>
  <c r="D40" i="6" s="1"/>
  <c r="G40" i="6"/>
  <c r="F40" i="6"/>
  <c r="P39" i="6"/>
  <c r="D39" i="6" s="1"/>
  <c r="G39" i="6"/>
  <c r="F39" i="6"/>
  <c r="P38" i="6"/>
  <c r="D38" i="6" s="1"/>
  <c r="G38" i="6"/>
  <c r="F38" i="6"/>
  <c r="P37" i="6"/>
  <c r="D37" i="6" s="1"/>
  <c r="I37" i="6"/>
  <c r="G37" i="6"/>
  <c r="F37" i="6"/>
  <c r="E37" i="6"/>
  <c r="P36" i="6"/>
  <c r="D36" i="6" s="1"/>
  <c r="G36" i="6"/>
  <c r="F36" i="6"/>
  <c r="P35" i="6"/>
  <c r="D35" i="6" s="1"/>
  <c r="G35" i="6"/>
  <c r="F35" i="6"/>
  <c r="P34" i="6"/>
  <c r="D34" i="6" s="1"/>
  <c r="G34" i="6"/>
  <c r="F34" i="6"/>
  <c r="P33" i="6"/>
  <c r="D33" i="6" s="1"/>
  <c r="G33" i="6"/>
  <c r="F33" i="6"/>
  <c r="P32" i="6"/>
  <c r="D32" i="6" s="1"/>
  <c r="G32" i="6"/>
  <c r="F32" i="6"/>
  <c r="P31" i="6"/>
  <c r="D31" i="6" s="1"/>
  <c r="G31" i="6"/>
  <c r="F31" i="6"/>
  <c r="P30" i="6"/>
  <c r="D30" i="6" s="1"/>
  <c r="G30" i="6"/>
  <c r="F30" i="6"/>
  <c r="P29" i="6"/>
  <c r="D29" i="6" s="1"/>
  <c r="G29" i="6"/>
  <c r="F29" i="6"/>
  <c r="P28" i="6"/>
  <c r="D28" i="6" s="1"/>
  <c r="G28" i="6"/>
  <c r="F28" i="6"/>
  <c r="P27" i="6"/>
  <c r="D27" i="6" s="1"/>
  <c r="G27" i="6"/>
  <c r="F27" i="6"/>
  <c r="E27" i="6"/>
  <c r="P26" i="6"/>
  <c r="D26" i="6" s="1"/>
  <c r="G26" i="6"/>
  <c r="F26" i="6"/>
  <c r="P22" i="6"/>
  <c r="D22" i="6" s="1"/>
  <c r="I22" i="6"/>
  <c r="G22" i="6"/>
  <c r="F22" i="6"/>
  <c r="E22" i="6"/>
  <c r="P21" i="6"/>
  <c r="D21" i="6" s="1"/>
  <c r="G21" i="6"/>
  <c r="F21" i="6"/>
  <c r="P11" i="6"/>
  <c r="D11" i="6" s="1"/>
  <c r="G11" i="6"/>
  <c r="F11" i="6"/>
  <c r="P10" i="6"/>
  <c r="D10" i="6" s="1"/>
  <c r="G10" i="6"/>
  <c r="F10" i="6"/>
  <c r="P8" i="6"/>
  <c r="D8" i="6" s="1"/>
  <c r="I8" i="6"/>
  <c r="G8" i="6"/>
  <c r="F8" i="6"/>
  <c r="E8" i="6"/>
  <c r="P7" i="6"/>
  <c r="D7" i="6" s="1"/>
  <c r="G7" i="6"/>
  <c r="F7" i="6"/>
  <c r="P6" i="6"/>
  <c r="D6" i="6" s="1"/>
  <c r="G6" i="6"/>
  <c r="F6" i="6"/>
  <c r="P5" i="6"/>
  <c r="G5" i="6"/>
  <c r="F5" i="6"/>
  <c r="P4" i="6"/>
  <c r="G4" i="6"/>
  <c r="F4" i="6"/>
  <c r="E127" i="6" l="1"/>
  <c r="E72" i="6"/>
  <c r="E111" i="6"/>
  <c r="E238" i="6"/>
  <c r="E246" i="6"/>
  <c r="E262" i="6"/>
  <c r="E175" i="6"/>
  <c r="E191" i="6"/>
  <c r="E7" i="6"/>
  <c r="E34" i="6"/>
  <c r="E56" i="6"/>
  <c r="E5" i="6"/>
  <c r="E11" i="6"/>
  <c r="E32" i="6"/>
  <c r="E159" i="6"/>
  <c r="E173" i="6"/>
  <c r="E181" i="6"/>
  <c r="E189" i="6"/>
  <c r="E197" i="6"/>
  <c r="E28" i="6"/>
  <c r="E42" i="6"/>
  <c r="E26" i="6"/>
  <c r="E40" i="6"/>
  <c r="E54" i="6"/>
  <c r="E62" i="6"/>
  <c r="E70" i="6"/>
  <c r="E86" i="6"/>
  <c r="E101" i="6"/>
  <c r="E109" i="6"/>
  <c r="E117" i="6"/>
  <c r="E164" i="6"/>
  <c r="E172" i="6"/>
  <c r="E180" i="6"/>
  <c r="E167" i="6"/>
  <c r="E260" i="6"/>
  <c r="E188" i="6"/>
  <c r="E196" i="6"/>
  <c r="E64" i="6"/>
  <c r="E80" i="6"/>
  <c r="E103" i="6"/>
  <c r="E119" i="6"/>
  <c r="E61" i="6"/>
  <c r="E187" i="6"/>
  <c r="E241" i="6"/>
  <c r="E249" i="6"/>
  <c r="E51" i="6"/>
  <c r="E67" i="6"/>
  <c r="E75" i="6"/>
  <c r="E83" i="6"/>
  <c r="E98" i="6"/>
  <c r="E106" i="6"/>
  <c r="E114" i="6"/>
  <c r="E122" i="6"/>
  <c r="E148" i="6"/>
  <c r="E156" i="6"/>
  <c r="E162" i="6"/>
  <c r="E170" i="6"/>
  <c r="E178" i="6"/>
  <c r="E186" i="6"/>
  <c r="E194" i="6"/>
  <c r="E4" i="6"/>
  <c r="E10" i="6"/>
  <c r="E31" i="6"/>
  <c r="E39" i="6"/>
  <c r="E41" i="6"/>
  <c r="E46" i="6"/>
  <c r="E53" i="6"/>
  <c r="E69" i="6"/>
  <c r="E77" i="6"/>
  <c r="E85" i="6"/>
  <c r="E100" i="6"/>
  <c r="E108" i="6"/>
  <c r="E116" i="6"/>
  <c r="E124" i="6"/>
  <c r="E140" i="6"/>
  <c r="E146" i="6"/>
  <c r="E252" i="6"/>
  <c r="E154" i="6"/>
  <c r="E174" i="6"/>
  <c r="E182" i="6"/>
  <c r="E190" i="6"/>
  <c r="E135" i="6"/>
  <c r="E143" i="6"/>
  <c r="E183" i="6"/>
  <c r="E244" i="6"/>
  <c r="E138" i="6"/>
  <c r="E236" i="6"/>
  <c r="E247" i="6"/>
  <c r="E239" i="6"/>
  <c r="E38" i="6"/>
  <c r="E99" i="6"/>
  <c r="E125" i="6"/>
  <c r="E6" i="6"/>
  <c r="E33" i="6"/>
  <c r="E48" i="6"/>
  <c r="E55" i="6"/>
  <c r="E63" i="6"/>
  <c r="E71" i="6"/>
  <c r="E79" i="6"/>
  <c r="E87" i="6"/>
  <c r="E102" i="6"/>
  <c r="E110" i="6"/>
  <c r="E118" i="6"/>
  <c r="E126" i="6"/>
  <c r="E254" i="6"/>
  <c r="E257" i="6"/>
  <c r="E133" i="6"/>
  <c r="E141" i="6"/>
  <c r="E149" i="6"/>
  <c r="E157" i="6"/>
  <c r="E233" i="6"/>
  <c r="E248" i="6"/>
  <c r="E166" i="6"/>
  <c r="E151" i="6"/>
  <c r="E134" i="6"/>
  <c r="E142" i="6"/>
  <c r="E150" i="6"/>
  <c r="E158" i="6"/>
  <c r="E43" i="6"/>
  <c r="E73" i="6"/>
  <c r="E112" i="6"/>
  <c r="E144" i="6"/>
  <c r="E176" i="6"/>
  <c r="E255" i="6"/>
  <c r="E263" i="6"/>
  <c r="E65" i="6"/>
  <c r="E81" i="6"/>
  <c r="E96" i="6"/>
  <c r="E104" i="6"/>
  <c r="E120" i="6"/>
  <c r="E128" i="6"/>
  <c r="E136" i="6"/>
  <c r="E152" i="6"/>
  <c r="E160" i="6"/>
  <c r="E168" i="6"/>
  <c r="E184" i="6"/>
  <c r="E192" i="6"/>
  <c r="E234" i="6"/>
  <c r="E242" i="6"/>
  <c r="E29" i="6"/>
  <c r="E235" i="6"/>
  <c r="E57" i="6"/>
  <c r="E35" i="6"/>
  <c r="E256" i="6"/>
  <c r="E231" i="6"/>
  <c r="E76" i="6"/>
  <c r="E107" i="6"/>
  <c r="E115" i="6"/>
  <c r="E123" i="6"/>
  <c r="E131" i="6"/>
  <c r="E139" i="6"/>
  <c r="E147" i="6"/>
  <c r="E155" i="6"/>
  <c r="E163" i="6"/>
  <c r="E171" i="6"/>
  <c r="E179" i="6"/>
  <c r="E195" i="6"/>
  <c r="E237" i="6"/>
  <c r="E243" i="6"/>
  <c r="E245" i="6"/>
  <c r="E251" i="6"/>
  <c r="E253" i="6"/>
  <c r="E259" i="6"/>
  <c r="E261" i="6"/>
  <c r="E68" i="6"/>
  <c r="E60" i="6"/>
  <c r="E21" i="6"/>
  <c r="E30" i="6"/>
  <c r="E36" i="6"/>
  <c r="E44" i="6"/>
  <c r="E50" i="6"/>
  <c r="E58" i="6"/>
  <c r="E66" i="6"/>
  <c r="E82" i="6"/>
  <c r="E105" i="6"/>
  <c r="E113" i="6"/>
  <c r="E121" i="6"/>
  <c r="E129" i="6"/>
  <c r="E137" i="6"/>
  <c r="E145" i="6"/>
  <c r="E153" i="6"/>
  <c r="E161" i="6"/>
  <c r="E169" i="6"/>
  <c r="E177" i="6"/>
  <c r="E185" i="6"/>
  <c r="E193" i="6"/>
  <c r="E198" i="6"/>
  <c r="E240" i="6"/>
  <c r="E250" i="6"/>
  <c r="E258" i="6"/>
  <c r="G3" i="6" l="1"/>
  <c r="P3" i="6" l="1"/>
  <c r="AB3" i="6"/>
  <c r="I3" i="6" s="1"/>
  <c r="F3" i="6"/>
  <c r="AC3" i="6"/>
  <c r="AA3" i="6"/>
  <c r="B1" i="6"/>
  <c r="C1" i="6" s="1"/>
  <c r="D1" i="6" s="1"/>
  <c r="E1" i="6" s="1"/>
  <c r="F1" i="6" s="1"/>
  <c r="G1" i="6" s="1"/>
  <c r="H1" i="6" s="1"/>
  <c r="I1" i="6" s="1"/>
  <c r="J1" i="6" s="1"/>
  <c r="K1" i="6" s="1"/>
  <c r="L1" i="6" s="1"/>
  <c r="M1" i="6" s="1"/>
  <c r="N1" i="6" s="1"/>
  <c r="O1" i="6" s="1"/>
  <c r="P1" i="6" s="1"/>
  <c r="Q1" i="6" s="1"/>
  <c r="R1" i="6" s="1"/>
  <c r="S1" i="6" s="1"/>
  <c r="T1" i="6" s="1"/>
  <c r="U1" i="6" s="1"/>
  <c r="V1" i="6" s="1"/>
  <c r="W1" i="6" s="1"/>
  <c r="X1" i="6" s="1"/>
  <c r="Y1" i="6" s="1"/>
  <c r="Z1" i="6" s="1"/>
  <c r="AA1" i="6" s="1"/>
  <c r="AB1" i="6" s="1"/>
  <c r="AC1" i="6" s="1"/>
  <c r="E3" i="6" l="1"/>
  <c r="I4" i="8" l="1"/>
  <c r="I3" i="8" l="1"/>
  <c r="I30" i="8"/>
  <c r="I29" i="8"/>
  <c r="I28" i="8"/>
  <c r="I37" i="8"/>
  <c r="I41" i="8"/>
  <c r="I40" i="8"/>
  <c r="I39" i="8"/>
  <c r="I38" i="8"/>
  <c r="I27" i="8"/>
  <c r="I26" i="8"/>
  <c r="I25" i="8"/>
  <c r="I32" i="8"/>
  <c r="I31" i="8"/>
  <c r="I233" i="8"/>
  <c r="I232" i="8"/>
  <c r="I231" i="8"/>
  <c r="I43" i="8"/>
  <c r="I42" i="8"/>
  <c r="I64" i="8"/>
  <c r="I63" i="8"/>
  <c r="I62" i="8"/>
  <c r="I13" i="8"/>
  <c r="I144" i="8"/>
  <c r="I143" i="8"/>
  <c r="I142" i="8"/>
  <c r="I141" i="8"/>
  <c r="I140" i="8"/>
  <c r="I167" i="8"/>
  <c r="I166" i="8"/>
  <c r="I139" i="8"/>
  <c r="I165" i="8"/>
  <c r="I164" i="8"/>
  <c r="I163" i="8"/>
  <c r="I162" i="8"/>
  <c r="I161" i="8"/>
  <c r="I160" i="8"/>
  <c r="I159" i="8"/>
  <c r="I158" i="8"/>
  <c r="I157" i="8"/>
  <c r="I156" i="8"/>
  <c r="I138" i="8"/>
  <c r="I155" i="8"/>
  <c r="I154" i="8"/>
  <c r="I153" i="8"/>
  <c r="I152" i="8"/>
  <c r="I151" i="8"/>
  <c r="I150" i="8"/>
  <c r="I149" i="8"/>
  <c r="I148" i="8"/>
  <c r="I147" i="8"/>
  <c r="I146" i="8"/>
  <c r="I137" i="8"/>
  <c r="I145" i="8"/>
  <c r="I136" i="8"/>
  <c r="I16" i="8"/>
  <c r="I79" i="8"/>
  <c r="I78" i="8"/>
  <c r="I77" i="8"/>
  <c r="I76" i="8"/>
  <c r="I75" i="8"/>
  <c r="I101" i="8"/>
  <c r="I74" i="8"/>
  <c r="I100" i="8"/>
  <c r="I99" i="8"/>
  <c r="I98" i="8"/>
  <c r="I97" i="8"/>
  <c r="I96" i="8"/>
  <c r="I95" i="8"/>
  <c r="I94" i="8"/>
  <c r="I93" i="8"/>
  <c r="I92" i="8"/>
  <c r="I91" i="8"/>
  <c r="I73" i="8"/>
  <c r="I90" i="8"/>
  <c r="I89" i="8"/>
  <c r="I88" i="8"/>
  <c r="I87" i="8"/>
  <c r="I86" i="8"/>
  <c r="I85" i="8"/>
  <c r="I84" i="8"/>
  <c r="I83" i="8"/>
  <c r="I82" i="8"/>
  <c r="I81" i="8"/>
  <c r="I80" i="8"/>
  <c r="I72" i="8"/>
  <c r="I71" i="8"/>
  <c r="I65" i="8"/>
  <c r="I112" i="8"/>
  <c r="I111" i="8"/>
  <c r="I110" i="8"/>
  <c r="I109" i="8"/>
  <c r="I108" i="8"/>
  <c r="I135" i="8"/>
  <c r="I134" i="8"/>
  <c r="I107" i="8"/>
  <c r="I133" i="8"/>
  <c r="I132" i="8"/>
  <c r="I131" i="8"/>
  <c r="I130" i="8"/>
  <c r="I129" i="8"/>
  <c r="I128" i="8"/>
  <c r="I127" i="8"/>
  <c r="I126" i="8"/>
  <c r="I125" i="8"/>
  <c r="I124" i="8"/>
  <c r="I106" i="8"/>
  <c r="I123" i="8"/>
  <c r="I122" i="8"/>
  <c r="I121" i="8"/>
  <c r="I120" i="8"/>
  <c r="I119" i="8"/>
  <c r="I118" i="8"/>
  <c r="I117" i="8"/>
  <c r="I116" i="8"/>
  <c r="I115" i="8"/>
  <c r="I114" i="8"/>
  <c r="I105" i="8"/>
  <c r="I113" i="8"/>
  <c r="I104" i="8"/>
  <c r="I176" i="8"/>
  <c r="I175" i="8"/>
  <c r="I174" i="8"/>
  <c r="I173" i="8"/>
  <c r="I172" i="8"/>
  <c r="I198" i="8"/>
  <c r="I171" i="8"/>
  <c r="I197" i="8"/>
  <c r="I196" i="8"/>
  <c r="I195" i="8"/>
  <c r="I194" i="8"/>
  <c r="I193" i="8"/>
  <c r="I192" i="8"/>
  <c r="I191" i="8"/>
  <c r="I190" i="8"/>
  <c r="I189" i="8"/>
  <c r="I188" i="8"/>
  <c r="I170" i="8"/>
  <c r="I187" i="8"/>
  <c r="I186" i="8"/>
  <c r="I185" i="8"/>
  <c r="I184" i="8"/>
  <c r="I183" i="8"/>
  <c r="I182" i="8"/>
  <c r="I181" i="8"/>
  <c r="I180" i="8"/>
  <c r="I179" i="8"/>
  <c r="I178" i="8"/>
  <c r="I177" i="8"/>
  <c r="I169" i="8"/>
  <c r="I168" i="8"/>
  <c r="I33" i="8"/>
  <c r="I53" i="8"/>
  <c r="I52" i="8"/>
  <c r="I51" i="8"/>
  <c r="I50" i="8"/>
  <c r="I49" i="8"/>
  <c r="I48" i="8"/>
  <c r="I47" i="8"/>
  <c r="I57" i="8"/>
  <c r="I56" i="8"/>
  <c r="I55" i="8"/>
  <c r="I46" i="8"/>
  <c r="I54" i="8"/>
  <c r="I45" i="8"/>
  <c r="I44" i="8"/>
  <c r="I207" i="8"/>
  <c r="I206" i="8"/>
  <c r="I205" i="8"/>
  <c r="I204" i="8"/>
  <c r="I203" i="8"/>
  <c r="I230" i="8"/>
  <c r="I229" i="8"/>
  <c r="I202" i="8"/>
  <c r="I228" i="8"/>
  <c r="I227" i="8"/>
  <c r="I226" i="8"/>
  <c r="I225" i="8"/>
  <c r="I224" i="8"/>
  <c r="I223" i="8"/>
  <c r="I222" i="8"/>
  <c r="I221" i="8"/>
  <c r="I220" i="8"/>
  <c r="I219" i="8"/>
  <c r="I201" i="8"/>
  <c r="I218" i="8"/>
  <c r="I217" i="8"/>
  <c r="I216" i="8"/>
  <c r="I215" i="8"/>
  <c r="I214" i="8"/>
  <c r="I213" i="8"/>
  <c r="I212" i="8"/>
  <c r="I211" i="8"/>
  <c r="I210" i="8"/>
  <c r="I209" i="8"/>
  <c r="I200" i="8"/>
  <c r="I208" i="8"/>
  <c r="I199" i="8"/>
  <c r="I235" i="8"/>
  <c r="I234" i="8"/>
  <c r="I24" i="8"/>
  <c r="I21" i="8"/>
  <c r="I23" i="8"/>
  <c r="I20" i="8"/>
  <c r="I22" i="8"/>
  <c r="I10" i="8"/>
  <c r="I9" i="8"/>
  <c r="I66" i="8"/>
  <c r="I36" i="8"/>
  <c r="I34" i="8"/>
  <c r="I35" i="8"/>
  <c r="I61" i="8"/>
  <c r="I58" i="8"/>
  <c r="I68" i="8"/>
  <c r="I67" i="8"/>
  <c r="I60" i="8"/>
  <c r="I248" i="8"/>
  <c r="I247" i="8"/>
  <c r="I59" i="8"/>
  <c r="I70" i="8"/>
  <c r="I246" i="8"/>
  <c r="I19" i="8"/>
  <c r="I6" i="8"/>
  <c r="I69" i="8"/>
  <c r="I12" i="8"/>
  <c r="I18" i="8"/>
  <c r="I250" i="8"/>
  <c r="I5" i="8"/>
  <c r="I249" i="8"/>
  <c r="I11" i="8"/>
  <c r="I17" i="8"/>
  <c r="I15" i="8"/>
  <c r="I102" i="8"/>
  <c r="I103" i="8"/>
  <c r="I14" i="8"/>
  <c r="I8" i="8"/>
  <c r="I7" i="8"/>
</calcChain>
</file>

<file path=xl/sharedStrings.xml><?xml version="1.0" encoding="utf-8"?>
<sst xmlns="http://schemas.openxmlformats.org/spreadsheetml/2006/main" count="6712" uniqueCount="789">
  <si>
    <t>##ALIAS Name##</t>
    <phoneticPr fontId="1" type="noConversion"/>
  </si>
  <si>
    <t>##H/W Address##</t>
    <phoneticPr fontId="1" type="noConversion"/>
  </si>
  <si>
    <t>##AsynParameter Type##</t>
    <phoneticPr fontId="1" type="noConversion"/>
  </si>
  <si>
    <t>IOCSTARTTIME,</t>
  </si>
  <si>
    <t>0xA0,</t>
  </si>
  <si>
    <t>asynParamOctet</t>
  </si>
  <si>
    <t>EVG_EV_DBUS_EN,</t>
  </si>
  <si>
    <t>asynParamInt32</t>
  </si>
  <si>
    <t>EVG_EV_CODEA_EN,</t>
  </si>
  <si>
    <t>EVG_EV_CODEB_EN,</t>
  </si>
  <si>
    <t>EVG_EV_MCODE_EN,</t>
  </si>
  <si>
    <t>EVG_EV_SEQA_EN,</t>
  </si>
  <si>
    <t>EVG_EV_SEQB_EN,</t>
  </si>
  <si>
    <t>EVG_EV_MXC_EN,</t>
  </si>
  <si>
    <t>BUILD_TIME,</t>
  </si>
  <si>
    <t>0x008,</t>
  </si>
  <si>
    <t>EVS_TIME,</t>
  </si>
  <si>
    <t>0x050,</t>
  </si>
  <si>
    <t>EVS_DAY,</t>
  </si>
  <si>
    <t>0x054,</t>
  </si>
  <si>
    <t>EVS_SET,</t>
  </si>
  <si>
    <t>0x040,</t>
  </si>
  <si>
    <t>FAN_FRONT_A,</t>
  </si>
  <si>
    <t>0x010,</t>
  </si>
  <si>
    <t>FAN_FRONT_B,</t>
  </si>
  <si>
    <t>FAN_REAR_A,</t>
  </si>
  <si>
    <t>0x014,</t>
  </si>
  <si>
    <t>FAN_REAR_B,</t>
  </si>
  <si>
    <t>MULTIPLEXED_COUNTER_A,</t>
  </si>
  <si>
    <t>0x080,</t>
  </si>
  <si>
    <t>asynParamFloat64</t>
  </si>
  <si>
    <t>MULTIPLEXED_COUNTER_B,</t>
  </si>
  <si>
    <t>0x084,</t>
  </si>
  <si>
    <t>MULTIPLEXED_COUNTER_C,</t>
  </si>
  <si>
    <t>0x088,</t>
  </si>
  <si>
    <t>MULTIPLEXED_COUNTER_D,</t>
  </si>
  <si>
    <t>0x08C,</t>
  </si>
  <si>
    <t>MULTIPLEXED_COUNTER_E,</t>
  </si>
  <si>
    <t>0x090,</t>
  </si>
  <si>
    <t>MULTIPLEXED_COUNTER_F,</t>
  </si>
  <si>
    <t>0x094,</t>
  </si>
  <si>
    <t>MULTIPLEXED_COUNTER_G,</t>
  </si>
  <si>
    <t>0x098,</t>
  </si>
  <si>
    <t>MULTIPLEXED_COUNTER_H,</t>
  </si>
  <si>
    <t>0x09C,</t>
  </si>
  <si>
    <t>MULTIPLEXED_COUNTER_I,</t>
  </si>
  <si>
    <t>0x0A0,</t>
  </si>
  <si>
    <t>MULTIPLEXED_COUNTER_J,</t>
  </si>
  <si>
    <t>0x0A4,</t>
  </si>
  <si>
    <t>MULTIPLEXED_COUNTER_K,</t>
  </si>
  <si>
    <t>0x0A8,</t>
  </si>
  <si>
    <t>MULTIPLEXED_COUNTER_L,</t>
  </si>
  <si>
    <t>0x0AC,</t>
  </si>
  <si>
    <t>MULTIPLEXED_COUNTER_M,</t>
  </si>
  <si>
    <t>0x0B0,</t>
  </si>
  <si>
    <t>MULTIPLEXED_COUNTER_N,</t>
  </si>
  <si>
    <t>0x0B4,</t>
  </si>
  <si>
    <t>SEQUENCE_USER_TRIGGER,</t>
  </si>
  <si>
    <t>0x078,</t>
  </si>
  <si>
    <t>PULSE_GEN_UPDATE,</t>
  </si>
  <si>
    <t>0x100,</t>
  </si>
  <si>
    <t>EVR_PG_WIDTH_1,</t>
  </si>
  <si>
    <t>0xC480,</t>
  </si>
  <si>
    <t>EVR_PG_WIDTH_2,</t>
  </si>
  <si>
    <t>0xC484,</t>
  </si>
  <si>
    <t>EVR_PG_WIDTH_3,</t>
  </si>
  <si>
    <t>0xC488,</t>
  </si>
  <si>
    <t>EVR_PG_WIDTH_4,</t>
  </si>
  <si>
    <t>0xC48C,</t>
  </si>
  <si>
    <t>EVR_PG_WIDTH_5,</t>
  </si>
  <si>
    <t>0xC490,</t>
  </si>
  <si>
    <t>EVR_PG_WIDTH_6,</t>
  </si>
  <si>
    <t>0xC494,</t>
  </si>
  <si>
    <t>EVR_PG_WIDTH_7,</t>
  </si>
  <si>
    <t>0xC498,</t>
  </si>
  <si>
    <t>EVR_PG_WIDTH_8,</t>
  </si>
  <si>
    <t>0xC49C,</t>
  </si>
  <si>
    <t>EVR_PG_WIDTH_9,</t>
  </si>
  <si>
    <t>0xC4A0,</t>
  </si>
  <si>
    <t>EVR_PG_WIDTH_10,</t>
  </si>
  <si>
    <t>0xC4A4,</t>
  </si>
  <si>
    <t>EVR_PG_WIDTH_11,</t>
  </si>
  <si>
    <t>0xC4A8,</t>
  </si>
  <si>
    <t>EVR_PG_WIDTH_12,</t>
  </si>
  <si>
    <t>0xC4AC,</t>
  </si>
  <si>
    <t>EVR_PG_WIDTH_13,</t>
  </si>
  <si>
    <t>0xC4B0,</t>
  </si>
  <si>
    <t>EVR_PG_WIDTH_14,</t>
  </si>
  <si>
    <t>0xC4B4,</t>
  </si>
  <si>
    <t>EVR_PG_WIDTH_15,</t>
  </si>
  <si>
    <t>0xC4B8,</t>
  </si>
  <si>
    <t>EVR_PG_WIDTH_16,</t>
  </si>
  <si>
    <t>0xC4BC,</t>
  </si>
  <si>
    <t>EVR_PG_WIDTH_17,</t>
  </si>
  <si>
    <t>0xC4C0,</t>
  </si>
  <si>
    <t>EVR_PG_WIDTH_18,</t>
  </si>
  <si>
    <t>0xC4C4,</t>
  </si>
  <si>
    <t>EVR_PG_WIDTH_19,</t>
  </si>
  <si>
    <t>0xC4C8,</t>
  </si>
  <si>
    <t>EVR_PG_WIDTH_20,</t>
  </si>
  <si>
    <t>0xC4CC,</t>
  </si>
  <si>
    <t>EVR_PG_WIDTH_21,</t>
  </si>
  <si>
    <t>0xC4D0,</t>
  </si>
  <si>
    <t>EVR_PG_WIDTH_22,</t>
  </si>
  <si>
    <t>0xC4D4,</t>
  </si>
  <si>
    <t>EVR_PG_WIDTH_23,</t>
  </si>
  <si>
    <t>0xC4D8,</t>
  </si>
  <si>
    <t>EVR_PG_WIDTH_24,</t>
  </si>
  <si>
    <t>0xC4DC,</t>
  </si>
  <si>
    <t>EVR_PG_WIDTH_25,</t>
  </si>
  <si>
    <t>0xC4E0,</t>
  </si>
  <si>
    <t>EVR_PG_WIDTH_26,</t>
  </si>
  <si>
    <t>0xC4E4,</t>
  </si>
  <si>
    <t>EVR_PG_WIDTH_27,</t>
  </si>
  <si>
    <t>0xC4E8,</t>
  </si>
  <si>
    <t>EVR_PG_WIDTH_28,</t>
  </si>
  <si>
    <t>0xC4EC,</t>
  </si>
  <si>
    <t>EVR_PG_WIDTH_29,</t>
  </si>
  <si>
    <t>0xC500,</t>
  </si>
  <si>
    <t>EVR_PG_WIDTH_30,</t>
  </si>
  <si>
    <t>0xC504,</t>
  </si>
  <si>
    <t>EVR_PG_WIDTH_31,</t>
  </si>
  <si>
    <t>0xC508,</t>
  </si>
  <si>
    <t>EVR_PG_WIDTH_32,</t>
  </si>
  <si>
    <t>0xC50C,</t>
  </si>
  <si>
    <t>EVR_PG_DELAY_1,</t>
  </si>
  <si>
    <t>0xC400,</t>
  </si>
  <si>
    <t>EVR_PG_DELAY_2,</t>
  </si>
  <si>
    <t>0xC404,</t>
  </si>
  <si>
    <t>EVR_PG_DELAY_3,</t>
  </si>
  <si>
    <t>0xC408,</t>
  </si>
  <si>
    <t>EVR_PG_DELAY_4,</t>
  </si>
  <si>
    <t>0xC40C,</t>
  </si>
  <si>
    <t>EVR_PG_DELAY_5,</t>
  </si>
  <si>
    <t>0xC410,</t>
  </si>
  <si>
    <t>EVR_PG_DELAY_6,</t>
  </si>
  <si>
    <t>0xC414,</t>
  </si>
  <si>
    <t>EVR_PG_DELAY_7,</t>
  </si>
  <si>
    <t>0xC418,</t>
  </si>
  <si>
    <t>EVR_PG_DELAY_8,</t>
  </si>
  <si>
    <t>0xC41C,</t>
  </si>
  <si>
    <t>EVR_PG_DELAY_9,</t>
  </si>
  <si>
    <t>0xC420,</t>
  </si>
  <si>
    <t>EVR_PG_DELAY_10,</t>
  </si>
  <si>
    <t>0xC424,</t>
  </si>
  <si>
    <t>EVR_PG_DELAY_11,</t>
  </si>
  <si>
    <t>0xC428,</t>
  </si>
  <si>
    <t>EVR_PG_DELAY_12,</t>
  </si>
  <si>
    <t>0xC42C,</t>
  </si>
  <si>
    <t>EVR_PG_DELAY_13,</t>
  </si>
  <si>
    <t>0xC430,</t>
  </si>
  <si>
    <t>EVR_PG_DELAY_14,</t>
  </si>
  <si>
    <t>0xC434,</t>
  </si>
  <si>
    <t>EVR_PG_DELAY_15,</t>
  </si>
  <si>
    <t>0xC438,</t>
  </si>
  <si>
    <t>EVR_PG_DELAY_16,</t>
  </si>
  <si>
    <t>0xC43C,</t>
  </si>
  <si>
    <t>EVR_PG_DELAY_17,</t>
  </si>
  <si>
    <t>0xC440,</t>
  </si>
  <si>
    <t>EVR_PG_DELAY_18,</t>
  </si>
  <si>
    <t>0xC444,</t>
  </si>
  <si>
    <t>EVR_PG_DELAY_19,</t>
  </si>
  <si>
    <t>0xC448,</t>
  </si>
  <si>
    <t>EVR_PG_DELAY_20,</t>
  </si>
  <si>
    <t>0xC44C,</t>
  </si>
  <si>
    <t>EVR_PG_DELAY_21,</t>
  </si>
  <si>
    <t>0xC450,</t>
  </si>
  <si>
    <t>EVR_PG_DELAY_22,</t>
  </si>
  <si>
    <t>0xC454,</t>
  </si>
  <si>
    <t>EVR_PG_DELAY_23,</t>
  </si>
  <si>
    <t>0xC458,</t>
  </si>
  <si>
    <t>EVR_PG_DELAY_24,</t>
  </si>
  <si>
    <t>0xC45C,</t>
  </si>
  <si>
    <t>EVR_PG_DELAY_25,</t>
  </si>
  <si>
    <t>0xC460,</t>
  </si>
  <si>
    <t>EVR_PG_DELAY_26,</t>
  </si>
  <si>
    <t>0xC464,</t>
  </si>
  <si>
    <t>EVR_PG_DELAY_27,</t>
  </si>
  <si>
    <t>0xC468,</t>
  </si>
  <si>
    <t>EVR_PG_DELAY_28,</t>
  </si>
  <si>
    <t>0xC46C,</t>
  </si>
  <si>
    <t>EVR_PG_DELAY_29,</t>
  </si>
  <si>
    <t>0xC470,</t>
  </si>
  <si>
    <t>EVR_PG_DELAY_30,</t>
  </si>
  <si>
    <t>0xC474,</t>
  </si>
  <si>
    <t>EVR_PG_DELAY_31,</t>
  </si>
  <si>
    <t>0xC478,</t>
  </si>
  <si>
    <t>EVR_PG_DELAY_32,</t>
  </si>
  <si>
    <t>0xC47C,</t>
  </si>
  <si>
    <t>EVR_PG_POL_1,</t>
  </si>
  <si>
    <t>0x104,</t>
  </si>
  <si>
    <t>EVR_PG_POL_2,</t>
  </si>
  <si>
    <t>EVR_PG_POL_3,</t>
  </si>
  <si>
    <t>EVR_PG_POL_4,</t>
  </si>
  <si>
    <t>EVR_PG_POL_5,</t>
  </si>
  <si>
    <t>EVR_PG_POL_6,</t>
  </si>
  <si>
    <t>EVR_PG_POL_7,</t>
  </si>
  <si>
    <t>EVR_PG_POL_8,</t>
  </si>
  <si>
    <t>EVR_PG_POL_9,</t>
  </si>
  <si>
    <t>EVR_PG_POL_10,</t>
  </si>
  <si>
    <t>EVR_PG_POL_11,</t>
  </si>
  <si>
    <t>EVR_PG_POL_12,</t>
  </si>
  <si>
    <t>EVR_PG_POL_13,</t>
  </si>
  <si>
    <t>EVR_PG_POL_14,</t>
  </si>
  <si>
    <t>EVR_PG_POL_15,</t>
  </si>
  <si>
    <t>EVR_PG_POL_16,</t>
  </si>
  <si>
    <t>EVR_PG_POL_17,</t>
  </si>
  <si>
    <t>EVR_PG_POL_18,</t>
  </si>
  <si>
    <t>EVR_PG_POL_19,</t>
  </si>
  <si>
    <t>EVR_PG_POL_20,</t>
  </si>
  <si>
    <t>EVR_PG_POL_21,</t>
  </si>
  <si>
    <t>EVR_PG_POL_22,</t>
  </si>
  <si>
    <t>EVR_PG_POL_23,</t>
  </si>
  <si>
    <t>EVR_PG_POL_24,</t>
  </si>
  <si>
    <t>EVR_PG_POL_25,</t>
  </si>
  <si>
    <t>EVR_PG_POL_26,</t>
  </si>
  <si>
    <t>EVR_PG_POL_27,</t>
  </si>
  <si>
    <t>EVR_PG_POL_28,</t>
  </si>
  <si>
    <t>EVR_PG_POL_29,</t>
  </si>
  <si>
    <t>EVR_PG_POL_30,</t>
  </si>
  <si>
    <t>EVR_PG_POL_31,</t>
  </si>
  <si>
    <t>EVR_PG_POL_32,</t>
  </si>
  <si>
    <t>asynParamUInt32Digital</t>
  </si>
  <si>
    <t>asynParamInt8Array</t>
  </si>
  <si>
    <t>asynParamInt16Array</t>
  </si>
  <si>
    <t>asynParamInt32Array</t>
  </si>
  <si>
    <t>asynParamFloat32Array</t>
  </si>
  <si>
    <t>asynParamFloat64Array</t>
  </si>
  <si>
    <t>SIGNAL</t>
    <phoneticPr fontId="1" type="noConversion"/>
  </si>
  <si>
    <t>template</t>
    <phoneticPr fontId="1" type="noConversion"/>
  </si>
  <si>
    <t>bi</t>
  </si>
  <si>
    <t>bo</t>
  </si>
  <si>
    <t>ao</t>
  </si>
  <si>
    <t>longout</t>
  </si>
  <si>
    <t>stringout</t>
  </si>
  <si>
    <t>mbbi</t>
  </si>
  <si>
    <t>ai</t>
  </si>
  <si>
    <t>stringin</t>
  </si>
  <si>
    <t>Index</t>
    <phoneticPr fontId="1" type="noConversion"/>
  </si>
  <si>
    <t>비고</t>
    <phoneticPr fontId="1" type="noConversion"/>
  </si>
  <si>
    <t>longin</t>
    <phoneticPr fontId="1" type="noConversion"/>
  </si>
  <si>
    <t>template name</t>
    <phoneticPr fontId="1" type="noConversion"/>
  </si>
  <si>
    <t>value type</t>
    <phoneticPr fontId="1" type="noConversion"/>
  </si>
  <si>
    <t>2</t>
  </si>
  <si>
    <t>3</t>
  </si>
  <si>
    <t>4</t>
  </si>
  <si>
    <t>5</t>
  </si>
  <si>
    <t>6</t>
  </si>
  <si>
    <t>7</t>
  </si>
  <si>
    <t>8</t>
  </si>
  <si>
    <t>9</t>
  </si>
  <si>
    <t>sys</t>
    <phoneticPr fontId="1" type="noConversion"/>
  </si>
  <si>
    <t>asynParamInt32</t>
    <phoneticPr fontId="1" type="noConversion"/>
  </si>
  <si>
    <t>asynInt32</t>
    <phoneticPr fontId="1" type="noConversion"/>
  </si>
  <si>
    <t>32bit</t>
  </si>
  <si>
    <t>Data offset</t>
    <phoneticPr fontId="1" type="noConversion"/>
  </si>
  <si>
    <t>0~31</t>
    <phoneticPr fontId="1" type="noConversion"/>
  </si>
  <si>
    <t>IP_NAME</t>
    <phoneticPr fontId="1" type="noConversion"/>
  </si>
  <si>
    <t>PARAM_NAME</t>
    <phoneticPr fontId="1" type="noConversion"/>
  </si>
  <si>
    <t>PARAM_SUB</t>
    <phoneticPr fontId="1" type="noConversion"/>
  </si>
  <si>
    <t>IOCSTARTTIME</t>
  </si>
  <si>
    <t>gt</t>
  </si>
  <si>
    <t>ev</t>
  </si>
  <si>
    <t>sys</t>
  </si>
  <si>
    <t>Addr_Dec</t>
    <phoneticPr fontId="1" type="noConversion"/>
  </si>
  <si>
    <t>Addr_Hex</t>
    <phoneticPr fontId="1" type="noConversion"/>
  </si>
  <si>
    <t>IP_Index</t>
    <phoneticPr fontId="1" type="noConversion"/>
  </si>
  <si>
    <t>"I/O Intr"</t>
    <phoneticPr fontId="1" type="noConversion"/>
  </si>
  <si>
    <t>IOCSTARTTIME</t>
    <phoneticPr fontId="1" type="noConversion"/>
  </si>
  <si>
    <t>FIRMWARE</t>
  </si>
  <si>
    <t>SOFTWARE</t>
  </si>
  <si>
    <t>1</t>
  </si>
  <si>
    <t>idec_status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</si>
  <si>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</si>
  <si>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</si>
  <si>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</si>
  <si>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</si>
  <si>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</si>
  <si>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</si>
  <si>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</si>
  <si>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</si>
  <si>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</si>
  <si>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</si>
  <si>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</si>
  <si>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</si>
  <si>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</si>
  <si>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</si>
  <si>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</si>
  <si>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</si>
  <si>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</si>
  <si>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</si>
  <si>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</si>
  <si>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</si>
  <si>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</si>
  <si>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</si>
  <si>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No Addr</t>
    <phoneticPr fontId="1" type="noConversion"/>
  </si>
  <si>
    <t>file "db/bi.template" { pattern</t>
    <phoneticPr fontId="1" type="noConversion"/>
  </si>
  <si>
    <t>file "db/bo.template" { pattern</t>
    <phoneticPr fontId="1" type="noConversion"/>
  </si>
  <si>
    <t>file "db/mbbi.template" { pattern</t>
    <phoneticPr fontId="1" type="noConversion"/>
  </si>
  <si>
    <t>file "db/mbbo.template" { pattern</t>
    <phoneticPr fontId="1" type="noConversion"/>
  </si>
  <si>
    <t>file "db/longin.template" { pattern</t>
    <phoneticPr fontId="1" type="noConversion"/>
  </si>
  <si>
    <t>file "db/longout.template" { pattern</t>
    <phoneticPr fontId="1" type="noConversion"/>
  </si>
  <si>
    <t>file "db/ai.template" { pattern</t>
    <phoneticPr fontId="1" type="noConversion"/>
  </si>
  <si>
    <t>file "db/ao.template" { pattern</t>
    <phoneticPr fontId="1" type="noConversion"/>
  </si>
  <si>
    <t>file "db/stringin.template" { pattern</t>
    <phoneticPr fontId="1" type="noConversion"/>
  </si>
  <si>
    <t>file "db/stringout.template" { pattern</t>
    <phoneticPr fontId="1" type="noConversion"/>
  </si>
  <si>
    <t>TIMEOUT</t>
    <phoneticPr fontId="1" type="noConversion"/>
  </si>
  <si>
    <t>SCAN</t>
    <phoneticPr fontId="1" type="noConversion"/>
  </si>
  <si>
    <t>Column1</t>
    <phoneticPr fontId="1" type="noConversion"/>
  </si>
  <si>
    <t>D_Index</t>
    <phoneticPr fontId="1" type="noConversion"/>
  </si>
  <si>
    <t>No Addr</t>
  </si>
  <si>
    <t>16bit</t>
  </si>
  <si>
    <t>8bit</t>
  </si>
  <si>
    <t>4bit</t>
  </si>
  <si>
    <t>2bit</t>
  </si>
  <si>
    <t>1bit</t>
  </si>
  <si>
    <t>Nomal</t>
    <phoneticPr fontId="1" type="noConversion"/>
  </si>
  <si>
    <t>Init Val</t>
    <phoneticPr fontId="1" type="noConversion"/>
  </si>
  <si>
    <t>D1-Type</t>
    <phoneticPr fontId="1" type="noConversion"/>
  </si>
  <si>
    <t>D2-Type</t>
    <phoneticPr fontId="1" type="noConversion"/>
  </si>
  <si>
    <t>D-Index</t>
    <phoneticPr fontId="1" type="noConversion"/>
  </si>
  <si>
    <t>{SYS, SUBSYS, DEV, PORT, ADDR, TIMEOUT, SIGNAL, ALIAS }</t>
    <phoneticPr fontId="1" type="noConversion"/>
  </si>
  <si>
    <t>{SYS, SUBSYS, DEV, PORT, ADDR, TIMEOUT, SIGNAL, ALIAS, SCAN }</t>
    <phoneticPr fontId="1" type="noConversion"/>
  </si>
  <si>
    <t>D3-Type</t>
  </si>
  <si>
    <t>D3-Type</t>
    <phoneticPr fontId="1" type="noConversion"/>
  </si>
  <si>
    <t>Pulse</t>
    <phoneticPr fontId="1" type="noConversion"/>
  </si>
  <si>
    <t>D2-Offset</t>
    <phoneticPr fontId="1" type="noConversion"/>
  </si>
  <si>
    <t>evgW_rst</t>
  </si>
  <si>
    <t>igen_rst</t>
  </si>
  <si>
    <t>idec_rst</t>
  </si>
  <si>
    <t>tx_DBusSel_set</t>
  </si>
  <si>
    <t>evSrc_set</t>
  </si>
  <si>
    <t>usrTrg</t>
  </si>
  <si>
    <t>getTime</t>
  </si>
  <si>
    <t>igen_set_time</t>
  </si>
  <si>
    <t>sw_evgW_set_time</t>
  </si>
  <si>
    <t>Pulse</t>
  </si>
  <si>
    <t>##Option2##</t>
    <phoneticPr fontId="1" type="noConversion"/>
  </si>
  <si>
    <t>##Option1##</t>
    <phoneticPr fontId="1" type="noConversion"/>
  </si>
  <si>
    <t>D_Index : INIT[1], Bit Num[1], Bit Offset[2], Pulse[1]</t>
    <phoneticPr fontId="1" type="noConversion"/>
  </si>
  <si>
    <t>-</t>
    <phoneticPr fontId="1" type="noConversion"/>
  </si>
  <si>
    <t>0x00000000</t>
  </si>
  <si>
    <t>0x00000000</t>
    <phoneticPr fontId="1" type="noConversion"/>
  </si>
  <si>
    <t>0x00000100</t>
  </si>
  <si>
    <t>0x00000200</t>
  </si>
  <si>
    <t>0x00000300</t>
  </si>
  <si>
    <t>0x00000400</t>
  </si>
  <si>
    <t>0x00000500</t>
  </si>
  <si>
    <t>0x00000600</t>
  </si>
  <si>
    <t>0x00000700</t>
  </si>
  <si>
    <t>##GETSET##</t>
    <phoneticPr fontId="1" type="noConversion"/>
  </si>
  <si>
    <t>EV_TX_DBUSSEL_SET</t>
  </si>
  <si>
    <t>EV_GETTIME</t>
  </si>
  <si>
    <t>GetSet</t>
    <phoneticPr fontId="1" type="noConversion"/>
  </si>
  <si>
    <t>##Param Type##</t>
    <phoneticPr fontId="1" type="noConversion"/>
  </si>
  <si>
    <t>TimeType0</t>
    <phoneticPr fontId="1" type="noConversion"/>
  </si>
  <si>
    <t>TimeType1</t>
  </si>
  <si>
    <t>TimeType1</t>
    <phoneticPr fontId="1" type="noConversion"/>
  </si>
  <si>
    <t>TimeType2</t>
  </si>
  <si>
    <t>TimeType2</t>
    <phoneticPr fontId="1" type="noConversion"/>
  </si>
  <si>
    <t>aaaaaaaaaaa</t>
    <phoneticPr fontId="1" type="noConversion"/>
  </si>
  <si>
    <t>END</t>
    <phoneticPr fontId="1" type="noConversion"/>
  </si>
  <si>
    <t>Init Val</t>
  </si>
  <si>
    <t>Nomal</t>
  </si>
  <si>
    <t>evName</t>
  </si>
  <si>
    <t>opMode</t>
  </si>
  <si>
    <t>trackOK</t>
  </si>
  <si>
    <t>0</t>
  </si>
  <si>
    <t>buildTime</t>
  </si>
  <si>
    <t>isMaster</t>
  </si>
  <si>
    <t>fan</t>
  </si>
  <si>
    <t>seqTrg_runState</t>
  </si>
  <si>
    <t>tx_evCodeA_cntr</t>
  </si>
  <si>
    <t>1C</t>
  </si>
  <si>
    <t>tx_evCodeB_cntr</t>
  </si>
  <si>
    <t>rx_evCodeA_cntr</t>
  </si>
  <si>
    <t>rx_evCodeB_cntr</t>
  </si>
  <si>
    <t>emergencyStopCntr</t>
  </si>
  <si>
    <t>pdpRunStt</t>
  </si>
  <si>
    <t>evg_CurrTime</t>
  </si>
  <si>
    <t>1e</t>
  </si>
  <si>
    <t>evr_CurrTime</t>
  </si>
  <si>
    <t>seqTrg_resume</t>
  </si>
  <si>
    <t>txEnable_Dbus</t>
  </si>
  <si>
    <t>txEnable_evCodeA</t>
  </si>
  <si>
    <t>txEnable_evCodeB</t>
  </si>
  <si>
    <t>txEnable_mevCodeA</t>
  </si>
  <si>
    <t>seqTrg_en</t>
  </si>
  <si>
    <t>mxc14Enable</t>
  </si>
  <si>
    <t>tx_Dbus</t>
  </si>
  <si>
    <t>GetSet</t>
  </si>
  <si>
    <t>evUser</t>
  </si>
  <si>
    <t>evTrgMsk</t>
  </si>
  <si>
    <t>evTrgSelReg</t>
  </si>
  <si>
    <t>seqTrgSel</t>
  </si>
  <si>
    <t>seqTrgMskA</t>
  </si>
  <si>
    <t>seqTrgMskB</t>
  </si>
  <si>
    <t>seq_repeatReg</t>
  </si>
  <si>
    <t>mxc14_prescalerReg</t>
  </si>
  <si>
    <t>5A</t>
  </si>
  <si>
    <t>5B</t>
  </si>
  <si>
    <t>5C</t>
  </si>
  <si>
    <t>5D</t>
  </si>
  <si>
    <t>evrW_rst</t>
  </si>
  <si>
    <t>evr_getStatReg</t>
  </si>
  <si>
    <t>evr_setCtrlReg</t>
  </si>
  <si>
    <t>rxEnable_Dbus</t>
  </si>
  <si>
    <t>rxEnable_evCodeA</t>
  </si>
  <si>
    <t>rxEnable_evCodeB</t>
  </si>
  <si>
    <t>rxEnable_streamData</t>
  </si>
  <si>
    <t>pdpEnable</t>
  </si>
  <si>
    <t>extOutSel_1pps</t>
  </si>
  <si>
    <t>evr_pdpTrgSrcSel</t>
  </si>
  <si>
    <t>rx_DBusSel8</t>
  </si>
  <si>
    <t>evLogFifo_Enable_user</t>
  </si>
  <si>
    <t>pdpPolarity</t>
  </si>
  <si>
    <t>bist</t>
  </si>
  <si>
    <t>pdpDelay</t>
  </si>
  <si>
    <t>pdpWidth</t>
  </si>
  <si>
    <t>3121</t>
  </si>
  <si>
    <t>3122</t>
  </si>
  <si>
    <t>3123</t>
  </si>
  <si>
    <t>3124</t>
  </si>
  <si>
    <t>3125</t>
  </si>
  <si>
    <t>3126</t>
  </si>
  <si>
    <t>3127</t>
  </si>
  <si>
    <t>3128</t>
  </si>
  <si>
    <t>3129</t>
  </si>
  <si>
    <t>312A</t>
  </si>
  <si>
    <t>312B</t>
  </si>
  <si>
    <t>312C</t>
  </si>
  <si>
    <t>312D</t>
  </si>
  <si>
    <t>312E</t>
  </si>
  <si>
    <t>312F</t>
  </si>
  <si>
    <t>3130</t>
  </si>
  <si>
    <t>3131</t>
  </si>
  <si>
    <t>3132</t>
  </si>
  <si>
    <t>3133</t>
  </si>
  <si>
    <t>3134</t>
  </si>
  <si>
    <t>3135</t>
  </si>
  <si>
    <t>3136</t>
  </si>
  <si>
    <t>3137</t>
  </si>
  <si>
    <t>3138</t>
  </si>
  <si>
    <t>3139</t>
  </si>
  <si>
    <t>313A</t>
  </si>
  <si>
    <t>313B</t>
  </si>
  <si>
    <t>313C</t>
  </si>
  <si>
    <t>313D</t>
  </si>
  <si>
    <t>313E</t>
  </si>
  <si>
    <t>313F</t>
  </si>
  <si>
    <t>pdpRunCntr</t>
  </si>
  <si>
    <t>pdpErrCntr</t>
  </si>
  <si>
    <t>mevCodeA</t>
  </si>
  <si>
    <t>"I/O Intr"</t>
  </si>
  <si>
    <t>"1 second"</t>
  </si>
  <si>
    <t>".5 second"</t>
  </si>
  <si>
    <t>longin</t>
  </si>
  <si>
    <t>END</t>
  </si>
  <si>
    <t>END</t>
    <phoneticPr fontId="1" type="noConversion"/>
  </si>
  <si>
    <t>IOCSTARTTIME</t>
    <phoneticPr fontId="1" type="noConversion"/>
  </si>
  <si>
    <t>0x0000001f</t>
  </si>
  <si>
    <t>0x00000025</t>
  </si>
  <si>
    <t>strTest</t>
    <phoneticPr fontId="1" type="noConversion"/>
  </si>
  <si>
    <t>C400</t>
    <phoneticPr fontId="1" type="noConversion"/>
  </si>
  <si>
    <t>C480</t>
    <phoneticPr fontId="1" type="noConversion"/>
  </si>
  <si>
    <t>C500</t>
    <phoneticPr fontId="1" type="noConversion"/>
  </si>
  <si>
    <t>rx_evCode_cntr</t>
    <phoneticPr fontId="1" type="noConversion"/>
  </si>
  <si>
    <t>tx_evCode_cntr</t>
    <phoneticPr fontId="1" type="noConversion"/>
  </si>
  <si>
    <t>evg_status</t>
    <phoneticPr fontId="1" type="noConversion"/>
  </si>
  <si>
    <t>trackOK</t>
    <phoneticPr fontId="1" type="noConversion"/>
  </si>
  <si>
    <t>fan_A</t>
    <phoneticPr fontId="1" type="noConversion"/>
  </si>
  <si>
    <t>fan_B</t>
    <phoneticPr fontId="1" type="noConversion"/>
  </si>
  <si>
    <t>seqA_Cfg</t>
  </si>
  <si>
    <t>0800</t>
  </si>
  <si>
    <t>seqA_TStamp</t>
  </si>
  <si>
    <t>1000</t>
  </si>
  <si>
    <t>seqB_Cfg</t>
  </si>
  <si>
    <t>1800</t>
  </si>
  <si>
    <t>seqB_TStamp</t>
  </si>
  <si>
    <t>2000</t>
  </si>
  <si>
    <t>2800</t>
  </si>
  <si>
    <t>map_Ram</t>
    <phoneticPr fontId="1" type="noConversion"/>
  </si>
  <si>
    <t>pdpCntr</t>
    <phoneticPr fontId="1" type="noConversion"/>
  </si>
  <si>
    <t>##FLNK##</t>
    <phoneticPr fontId="1" type="noConversion"/>
  </si>
  <si>
    <t>longout</t>
    <phoneticPr fontId="1" type="noConversion"/>
  </si>
  <si>
    <t>waveform</t>
  </si>
  <si>
    <t>waveform</t>
    <phoneticPr fontId="1" type="noConversion"/>
  </si>
  <si>
    <t>asynInt32ArrayOut</t>
    <phoneticPr fontId="1" type="noConversion"/>
  </si>
  <si>
    <t>열1</t>
  </si>
  <si>
    <t>##DTYP##</t>
    <phoneticPr fontId="1" type="noConversion"/>
  </si>
  <si>
    <t>##NELM##</t>
    <phoneticPr fontId="1" type="noConversion"/>
  </si>
  <si>
    <t>""</t>
    <phoneticPr fontId="1" type="noConversion"/>
  </si>
  <si>
    <t xml:space="preserve"> </t>
    <phoneticPr fontId="1" type="noConversion"/>
  </si>
  <si>
    <t>TX_DBUS_SEL</t>
  </si>
  <si>
    <t>TRIG_SEL</t>
    <phoneticPr fontId="1" type="noConversion"/>
  </si>
  <si>
    <t>6a</t>
    <phoneticPr fontId="1" type="noConversion"/>
  </si>
  <si>
    <t>6b</t>
    <phoneticPr fontId="1" type="noConversion"/>
  </si>
  <si>
    <t>6c</t>
    <phoneticPr fontId="1" type="noConversion"/>
  </si>
  <si>
    <t>6d</t>
    <phoneticPr fontId="1" type="noConversion"/>
  </si>
  <si>
    <t>6e</t>
    <phoneticPr fontId="1" type="noConversion"/>
  </si>
  <si>
    <t>c400</t>
    <phoneticPr fontId="1" type="noConversion"/>
  </si>
  <si>
    <t>c480</t>
    <phoneticPr fontId="1" type="noConversion"/>
  </si>
  <si>
    <t>c500</t>
    <phoneticPr fontId="1" type="noConversion"/>
  </si>
  <si>
    <t>IP</t>
    <phoneticPr fontId="1" type="noConversion"/>
  </si>
  <si>
    <t>SUB</t>
    <phoneticPr fontId="1" type="noConversion"/>
  </si>
  <si>
    <t>##drvLink##</t>
    <phoneticPr fontId="1" type="noConversion"/>
  </si>
  <si>
    <t>sys</t>
    <phoneticPr fontId="1" type="noConversion"/>
  </si>
  <si>
    <t>set</t>
    <phoneticPr fontId="1" type="noConversion"/>
  </si>
  <si>
    <t>EV_SEQA_CFG</t>
  </si>
  <si>
    <t>EV_SEQA_TSTAMP</t>
    <phoneticPr fontId="1" type="noConversion"/>
  </si>
  <si>
    <t>EV_SEQB_CFG</t>
    <phoneticPr fontId="1" type="noConversion"/>
  </si>
  <si>
    <t>EV_SEQB_TSTAMP</t>
    <phoneticPr fontId="1" type="noConversion"/>
  </si>
  <si>
    <t>EV_MAP_RAM</t>
    <phoneticPr fontId="1" type="noConversion"/>
  </si>
  <si>
    <t>SYS_FANA</t>
    <phoneticPr fontId="1" type="noConversion"/>
  </si>
  <si>
    <t>SYS_FANB</t>
    <phoneticPr fontId="1" type="noConversion"/>
  </si>
  <si>
    <t>PDPRunSTTLong</t>
    <phoneticPr fontId="1" type="noConversion"/>
  </si>
  <si>
    <t>64bit time</t>
    <phoneticPr fontId="1" type="noConversion"/>
  </si>
  <si>
    <t>비고</t>
    <phoneticPr fontId="1" type="noConversion"/>
  </si>
  <si>
    <t>SYS_EVNAME</t>
  </si>
  <si>
    <t>SYS_OPMODE</t>
  </si>
  <si>
    <t>GT_TRACKOK</t>
  </si>
  <si>
    <t>EV_BUILDTIME</t>
  </si>
  <si>
    <t>EV_ISMASTER</t>
  </si>
  <si>
    <t>EV_FAN_A</t>
  </si>
  <si>
    <t>EV_FAN_B</t>
  </si>
  <si>
    <t>EV_EVG_STATUS</t>
  </si>
  <si>
    <t>EV_TX_EVCODE_CNTR</t>
  </si>
  <si>
    <t>EV_RX_EVCODE_CNTR</t>
  </si>
  <si>
    <t>EV_EMERGENCYSTOPCNTR</t>
  </si>
  <si>
    <t>EV_PDPRUNSTT</t>
  </si>
  <si>
    <t>EV_EVG_CURRTIME</t>
  </si>
  <si>
    <t>EV_EVR_CURRTIME</t>
  </si>
  <si>
    <t>EV_EVGW_RST</t>
  </si>
  <si>
    <t>EV_IGEN_RST</t>
  </si>
  <si>
    <t>EV_IDEC_RST</t>
  </si>
  <si>
    <t>EV_USRTRG</t>
  </si>
  <si>
    <t>EV_IGEN_SET_TIME</t>
  </si>
  <si>
    <t>EV_SW_EVGW_SET_TIME</t>
  </si>
  <si>
    <t>EV_SEQTRG_RESUME_0</t>
  </si>
  <si>
    <t>EV_SEQTRG_RESUME_1</t>
  </si>
  <si>
    <t>EV_TXENABLE_DBUS</t>
  </si>
  <si>
    <t>EV_TXENABLE_EVCODEA</t>
  </si>
  <si>
    <t>EV_TXENABLE_EVCODEB</t>
  </si>
  <si>
    <t>EV_TXENABLE_MEVCODEA</t>
  </si>
  <si>
    <t>EV_SEQTRG_EN_0</t>
  </si>
  <si>
    <t>EV_SEQTRG_EN_1</t>
  </si>
  <si>
    <t>EV_MXC14ENABLE</t>
  </si>
  <si>
    <t>EV_EVUSER</t>
  </si>
  <si>
    <t>EV_EVTRGMSK</t>
  </si>
  <si>
    <t>EV_SEQTRGSEL_0</t>
  </si>
  <si>
    <t>EV_SEQTRGSEL_1</t>
  </si>
  <si>
    <t>EV_SEQTRGMSKA_0</t>
  </si>
  <si>
    <t>EV_SEQTRGMSKA_1</t>
  </si>
  <si>
    <t>EV_SEQTRGMSKB_0</t>
  </si>
  <si>
    <t>EV_SEQTRGMSKB_1</t>
  </si>
  <si>
    <t>EV_SEQ_REPEATREG_0</t>
  </si>
  <si>
    <t>EV_SEQ_REPEATREG_1</t>
  </si>
  <si>
    <t>EV_MXC14_PRESCALERREG_0</t>
  </si>
  <si>
    <t>EV_MXC14_PRESCALERREG_1</t>
  </si>
  <si>
    <t>EV_MXC14_PRESCALERREG_2</t>
  </si>
  <si>
    <t>EV_MXC14_PRESCALERREG_3</t>
  </si>
  <si>
    <t>EV_MXC14_PRESCALERREG_4</t>
  </si>
  <si>
    <t>EV_MXC14_PRESCALERREG_5</t>
  </si>
  <si>
    <t>EV_MXC14_PRESCALERREG_6</t>
  </si>
  <si>
    <t>EV_MXC14_PRESCALERREG_7</t>
  </si>
  <si>
    <t>EV_MXC14_PRESCALERREG_8</t>
  </si>
  <si>
    <t>EV_MXC14_PRESCALERREG_9</t>
  </si>
  <si>
    <t>EV_MXC14_PRESCALERREG_10</t>
  </si>
  <si>
    <t>EV_MXC14_PRESCALERREG_11</t>
  </si>
  <si>
    <t>EV_MXC14_PRESCALERREG_12</t>
  </si>
  <si>
    <t>EV_MXC14_PRESCALERREG_13</t>
  </si>
  <si>
    <t>EV_EVRW_RST</t>
  </si>
  <si>
    <t>EV_EVR_GETSTATREG</t>
  </si>
  <si>
    <t>EV_EVR_SETCTRLREG</t>
  </si>
  <si>
    <t>EV_RXENABLE_DBUS</t>
  </si>
  <si>
    <t>EV_RXENABLE_EVCODEA</t>
  </si>
  <si>
    <t>EV_RXENABLE_EVCODEB</t>
  </si>
  <si>
    <t>EV_RXENABLE_STREAMDATA</t>
  </si>
  <si>
    <t>EV_PDPENABLE</t>
  </si>
  <si>
    <t>EV_EXTOUTSEL_1PPS</t>
  </si>
  <si>
    <t>EV_EVR_PDPTRGSRCSEL</t>
  </si>
  <si>
    <t>EV_RX_DBUSSEL8</t>
  </si>
  <si>
    <t>EV_EVLOGFIFO_ENABLE_USER</t>
  </si>
  <si>
    <t>EV_PDPPOLARITY_0</t>
  </si>
  <si>
    <t>EV_PDPPOLARITY_1</t>
  </si>
  <si>
    <t>EV_PDPPOLARITY_2</t>
  </si>
  <si>
    <t>EV_PDPPOLARITY_3</t>
  </si>
  <si>
    <t>EV_PDPPOLARITY_4</t>
  </si>
  <si>
    <t>EV_PDPPOLARITY_5</t>
  </si>
  <si>
    <t>EV_PDPPOLARITY_6</t>
  </si>
  <si>
    <t>EV_PDPPOLARITY_7</t>
  </si>
  <si>
    <t>EV_PDPPOLARITY_8</t>
  </si>
  <si>
    <t>EV_PDPPOLARITY_9</t>
  </si>
  <si>
    <t>EV_PDPPOLARITY_10</t>
  </si>
  <si>
    <t>EV_PDPPOLARITY_11</t>
  </si>
  <si>
    <t>EV_PDPPOLARITY_12</t>
  </si>
  <si>
    <t>EV_PDPPOLARITY_13</t>
  </si>
  <si>
    <t>EV_PDPPOLARITY_14</t>
  </si>
  <si>
    <t>EV_PDPPOLARITY_15</t>
  </si>
  <si>
    <t>EV_PDPPOLARITY_16</t>
  </si>
  <si>
    <t>EV_PDPPOLARITY_17</t>
  </si>
  <si>
    <t>EV_PDPPOLARITY_18</t>
  </si>
  <si>
    <t>EV_PDPPOLARITY_19</t>
  </si>
  <si>
    <t>EV_PDPPOLARITY_20</t>
  </si>
  <si>
    <t>EV_PDPPOLARITY_21</t>
  </si>
  <si>
    <t>EV_PDPPOLARITY_22</t>
  </si>
  <si>
    <t>EV_PDPPOLARITY_23</t>
  </si>
  <si>
    <t>EV_PDPPOLARITY_24</t>
  </si>
  <si>
    <t>EV_PDPPOLARITY_25</t>
  </si>
  <si>
    <t>EV_PDPPOLARITY_26</t>
  </si>
  <si>
    <t>EV_PDPPOLARITY_27</t>
  </si>
  <si>
    <t>EV_PDPPOLARITY_28</t>
  </si>
  <si>
    <t>EV_PDPPOLARITY_29</t>
  </si>
  <si>
    <t>EV_PDPPOLARITY_30</t>
  </si>
  <si>
    <t>EV_PDPPOLARITY_31</t>
  </si>
  <si>
    <t>SYS_BIST</t>
  </si>
  <si>
    <t>EV_PDPDELAY_0</t>
  </si>
  <si>
    <t>EV_PDPDELAY_1</t>
  </si>
  <si>
    <t>EV_PDPDELAY_2</t>
  </si>
  <si>
    <t>EV_PDPDELAY_3</t>
  </si>
  <si>
    <t>EV_PDPDELAY_4</t>
  </si>
  <si>
    <t>EV_PDPDELAY_5</t>
  </si>
  <si>
    <t>EV_PDPDELAY_6</t>
  </si>
  <si>
    <t>EV_PDPDELAY_7</t>
  </si>
  <si>
    <t>EV_PDPDELAY_8</t>
  </si>
  <si>
    <t>EV_PDPDELAY_9</t>
  </si>
  <si>
    <t>EV_PDPDELAY_10</t>
  </si>
  <si>
    <t>EV_PDPDELAY_11</t>
  </si>
  <si>
    <t>EV_PDPDELAY_12</t>
  </si>
  <si>
    <t>EV_PDPDELAY_13</t>
  </si>
  <si>
    <t>EV_PDPDELAY_14</t>
  </si>
  <si>
    <t>EV_PDPDELAY_15</t>
  </si>
  <si>
    <t>EV_PDPDELAY_16</t>
  </si>
  <si>
    <t>EV_PDPDELAY_17</t>
  </si>
  <si>
    <t>EV_PDPDELAY_18</t>
  </si>
  <si>
    <t>EV_PDPDELAY_19</t>
  </si>
  <si>
    <t>EV_PDPDELAY_20</t>
  </si>
  <si>
    <t>EV_PDPDELAY_21</t>
  </si>
  <si>
    <t>EV_PDPDELAY_22</t>
  </si>
  <si>
    <t>EV_PDPDELAY_23</t>
  </si>
  <si>
    <t>EV_PDPDELAY_24</t>
  </si>
  <si>
    <t>EV_PDPDELAY_25</t>
  </si>
  <si>
    <t>EV_PDPDELAY_26</t>
  </si>
  <si>
    <t>EV_PDPDELAY_27</t>
  </si>
  <si>
    <t>EV_PDPDELAY_28</t>
  </si>
  <si>
    <t>EV_PDPDELAY_29</t>
  </si>
  <si>
    <t>EV_PDPDELAY_30</t>
  </si>
  <si>
    <t>EV_PDPDELAY_31</t>
  </si>
  <si>
    <t>EV_PDPWIDTH_0</t>
  </si>
  <si>
    <t>EV_PDPWIDTH_1</t>
  </si>
  <si>
    <t>EV_PDPWIDTH_2</t>
  </si>
  <si>
    <t>EV_PDPWIDTH_3</t>
  </si>
  <si>
    <t>EV_PDPWIDTH_4</t>
  </si>
  <si>
    <t>EV_PDPWIDTH_5</t>
  </si>
  <si>
    <t>EV_PDPWIDTH_6</t>
  </si>
  <si>
    <t>EV_PDPWIDTH_7</t>
  </si>
  <si>
    <t>EV_PDPWIDTH_8</t>
  </si>
  <si>
    <t>EV_PDPWIDTH_9</t>
  </si>
  <si>
    <t>EV_PDPWIDTH_10</t>
  </si>
  <si>
    <t>EV_PDPWIDTH_11</t>
  </si>
  <si>
    <t>EV_PDPWIDTH_12</t>
  </si>
  <si>
    <t>EV_PDPWIDTH_13</t>
  </si>
  <si>
    <t>EV_PDPWIDTH_14</t>
  </si>
  <si>
    <t>EV_PDPWIDTH_15</t>
  </si>
  <si>
    <t>EV_PDPWIDTH_16</t>
  </si>
  <si>
    <t>EV_PDPWIDTH_17</t>
  </si>
  <si>
    <t>EV_PDPWIDTH_18</t>
  </si>
  <si>
    <t>EV_PDPWIDTH_19</t>
  </si>
  <si>
    <t>EV_PDPWIDTH_20</t>
  </si>
  <si>
    <t>EV_PDPWIDTH_21</t>
  </si>
  <si>
    <t>EV_PDPWIDTH_22</t>
  </si>
  <si>
    <t>EV_PDPWIDTH_23</t>
  </si>
  <si>
    <t>EV_PDPWIDTH_24</t>
  </si>
  <si>
    <t>EV_PDPWIDTH_25</t>
  </si>
  <si>
    <t>EV_PDPWIDTH_26</t>
  </si>
  <si>
    <t>EV_PDPWIDTH_27</t>
  </si>
  <si>
    <t>EV_PDPWIDTH_28</t>
  </si>
  <si>
    <t>EV_PDPWIDTH_29</t>
  </si>
  <si>
    <t>EV_PDPWIDTH_30</t>
  </si>
  <si>
    <t>EV_PDPWIDTH_31</t>
  </si>
  <si>
    <t>EV_PDPCNTR_0</t>
  </si>
  <si>
    <t>EV_PDPCNTR_1</t>
  </si>
  <si>
    <t>EV_PDPCNTR_2</t>
  </si>
  <si>
    <t>EV_PDPCNTR_3</t>
  </si>
  <si>
    <t>EV_PDPCNTR_4</t>
  </si>
  <si>
    <t>EV_PDPCNTR_5</t>
  </si>
  <si>
    <t>EV_PDPCNTR_6</t>
  </si>
  <si>
    <t>EV_PDPCNTR_7</t>
  </si>
  <si>
    <t>EV_PDPCNTR_8</t>
  </si>
  <si>
    <t>EV_PDPCNTR_9</t>
  </si>
  <si>
    <t>EV_PDPCNTR_10</t>
  </si>
  <si>
    <t>EV_PDPCNTR_11</t>
  </si>
  <si>
    <t>EV_PDPCNTR_12</t>
  </si>
  <si>
    <t>EV_PDPCNTR_13</t>
  </si>
  <si>
    <t>EV_PDPCNTR_14</t>
  </si>
  <si>
    <t>EV_PDPCNTR_15</t>
  </si>
  <si>
    <t>EV_PDPCNTR_16</t>
  </si>
  <si>
    <t>EV_PDPCNTR_17</t>
  </si>
  <si>
    <t>EV_PDPCNTR_18</t>
  </si>
  <si>
    <t>EV_PDPCNTR_19</t>
  </si>
  <si>
    <t>EV_PDPCNTR_20</t>
  </si>
  <si>
    <t>EV_PDPCNTR_21</t>
  </si>
  <si>
    <t>EV_PDPCNTR_22</t>
  </si>
  <si>
    <t>EV_PDPCNTR_23</t>
  </si>
  <si>
    <t>EV_PDPCNTR_24</t>
  </si>
  <si>
    <t>EV_PDPCNTR_25</t>
  </si>
  <si>
    <t>EV_PDPCNTR_26</t>
  </si>
  <si>
    <t>EV_PDPCNTR_27</t>
  </si>
  <si>
    <t>EV_PDPCNTR_28</t>
  </si>
  <si>
    <t>EV_PDPCNTR_29</t>
  </si>
  <si>
    <t>EV_PDPCNTR_30</t>
  </si>
  <si>
    <t>EV_PDPCNTR_31</t>
  </si>
  <si>
    <t>EV_MEVCODEA_1</t>
  </si>
  <si>
    <t>EV_MEVCODEA_2</t>
  </si>
  <si>
    <t>EV_MEVCODEA_3</t>
  </si>
  <si>
    <t>EV_MEVCODEA_4</t>
  </si>
  <si>
    <t>EV_MEVCODEA_5</t>
  </si>
  <si>
    <t>EV_MEVCODEA_6</t>
  </si>
  <si>
    <t>EV_MEVCODEA_7</t>
  </si>
  <si>
    <t>EV_MEVCODEA_8</t>
  </si>
  <si>
    <t>EV_MEVCODEA_9</t>
  </si>
  <si>
    <t>EV_MEVCODEA_10</t>
  </si>
  <si>
    <t>EV_MEVCODEA_11</t>
  </si>
  <si>
    <t>EV_MEVCODEA_12</t>
  </si>
  <si>
    <t>EV_MEVCODEA_13</t>
  </si>
  <si>
    <t>EV_MEVCODEA_14</t>
  </si>
  <si>
    <t>EV_MEVCODEA_15</t>
  </si>
  <si>
    <t>EV_MEVCODEA_16</t>
  </si>
  <si>
    <t>EV_MEVCODEA_17</t>
  </si>
  <si>
    <t>EV_MEVCODEA_18</t>
  </si>
  <si>
    <t>EV_MEVCODEA_19</t>
  </si>
  <si>
    <t>EV_MEVCODEA_20</t>
  </si>
  <si>
    <t>EV_MEVCODEA_21</t>
  </si>
  <si>
    <t>EV_MEVCODEA_22</t>
  </si>
  <si>
    <t>EV_MEVCODEA_23</t>
  </si>
  <si>
    <t>EV_MEVCODEA_24</t>
  </si>
  <si>
    <t>EV_MEVCODEA_25</t>
  </si>
  <si>
    <t>EV_MEVCODEA_26</t>
  </si>
  <si>
    <t>EV_MEVCODEA_27</t>
  </si>
  <si>
    <t>EV_MEVCODEA_28</t>
  </si>
  <si>
    <t>EV_MEVCODEA_29</t>
  </si>
  <si>
    <t>EV_MEVCODEA_30</t>
  </si>
  <si>
    <t>EV_MEVCODEA_31</t>
  </si>
  <si>
    <t>""</t>
  </si>
  <si>
    <t>EV_SEQA_TSTAMP</t>
  </si>
  <si>
    <t>EV_SEQB_CFG</t>
  </si>
  <si>
    <t>EV_SEQB_TSTAMP</t>
  </si>
  <si>
    <t>EV_MAP_RAM</t>
  </si>
  <si>
    <t>EV_TRIG_SEL_A</t>
  </si>
  <si>
    <t>EV_TRIG_SEL_B</t>
  </si>
  <si>
    <t>EV_TRIG_SEL_C</t>
  </si>
  <si>
    <t>EV_TRIG_SEL_D</t>
  </si>
  <si>
    <t>EV_TRIG_SEL_E</t>
  </si>
  <si>
    <t>EV_TRIG_SEL_F</t>
  </si>
  <si>
    <t>EV_TRIG_SEL_G</t>
  </si>
  <si>
    <t>EV_TRIG_SEL_H</t>
  </si>
  <si>
    <t>EV_TX_DBUS_SEL_B</t>
  </si>
  <si>
    <t>SYS_SEQA_CFG_SET</t>
  </si>
  <si>
    <t>SYS_SEQA_TSTAMP_SET</t>
  </si>
  <si>
    <t>SYS_SEQB_CFG_SET</t>
  </si>
  <si>
    <t>SYS_SEQB_TSTAMP_SET</t>
  </si>
  <si>
    <t>SYS_MAP_RAM_SET</t>
  </si>
  <si>
    <t>$(SYS):$(SUBSYS):$(DEV):</t>
  </si>
  <si>
    <t>$(SYS):$(SUBSYS):$(DEV):</t>
    <phoneticPr fontId="1" type="noConversion"/>
  </si>
  <si>
    <t>SCL3:TS:EVS1:</t>
    <phoneticPr fontId="1" type="noConversion"/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</si>
  <si>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</si>
  <si>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</si>
  <si>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</si>
  <si>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</si>
  <si>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</si>
  <si>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</si>
  <si>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</si>
  <si>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</si>
  <si>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</si>
  <si>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  <phoneticPr fontId="1" type="noConversion"/>
  </si>
  <si>
    <t>UI 에서 제어 안함</t>
    <phoneticPr fontId="1" type="noConversion"/>
  </si>
  <si>
    <t>[Edit Box 임시]bit 나눠서 상태 표기 필요</t>
    <phoneticPr fontId="1" type="noConversion"/>
  </si>
  <si>
    <t>[Edit Box 임시]bit 나눠서 상태 표기 필요 LED Control</t>
    <phoneticPr fontId="1" type="noConversion"/>
  </si>
  <si>
    <t>[보류]비트 조합으로 write pv 해야 함. Check box 그룹?</t>
    <phoneticPr fontId="1" type="noConversion"/>
  </si>
  <si>
    <t>[보류]비트 조합으로 write pv 해야 함. Check box 그룹?</t>
    <phoneticPr fontId="1" type="noConversion"/>
  </si>
  <si>
    <r>
      <rPr>
        <sz val="11"/>
        <color theme="1"/>
        <rFont val="맑은 고딕"/>
        <family val="3"/>
        <charset val="129"/>
        <scheme val="minor"/>
      </rPr>
      <t>[</t>
    </r>
    <r>
      <rPr>
        <sz val="11"/>
        <color theme="1"/>
        <rFont val="맑은 고딕"/>
        <family val="2"/>
        <charset val="129"/>
        <scheme val="minor"/>
      </rPr>
      <t>보류</t>
    </r>
    <r>
      <rPr>
        <sz val="11"/>
        <color theme="1"/>
        <rFont val="맑은 고딕"/>
        <family val="3"/>
        <charset val="129"/>
        <scheme val="minor"/>
      </rPr>
      <t>]</t>
    </r>
    <r>
      <rPr>
        <sz val="11"/>
        <color theme="1"/>
        <rFont val="맑은 고딕"/>
        <family val="2"/>
        <charset val="129"/>
        <scheme val="minor"/>
      </rPr>
      <t>비트</t>
    </r>
    <r>
      <rPr>
        <sz val="11"/>
        <color theme="1"/>
        <rFont val="맑은 고딕"/>
        <family val="3"/>
        <charset val="129"/>
        <scheme val="minor"/>
      </rPr>
      <t xml:space="preserve"> </t>
    </r>
    <r>
      <rPr>
        <sz val="11"/>
        <color theme="1"/>
        <rFont val="맑은 고딕"/>
        <family val="2"/>
        <charset val="129"/>
        <scheme val="minor"/>
      </rPr>
      <t>조합으로</t>
    </r>
    <r>
      <rPr>
        <sz val="11"/>
        <color theme="1"/>
        <rFont val="맑은 고딕"/>
        <family val="3"/>
        <charset val="129"/>
        <scheme val="minor"/>
      </rPr>
      <t xml:space="preserve"> write pv </t>
    </r>
    <r>
      <rPr>
        <sz val="11"/>
        <color theme="1"/>
        <rFont val="맑은 고딕"/>
        <family val="2"/>
        <charset val="129"/>
        <scheme val="minor"/>
      </rPr>
      <t>해야</t>
    </r>
    <r>
      <rPr>
        <sz val="11"/>
        <color theme="1"/>
        <rFont val="맑은 고딕"/>
        <family val="3"/>
        <charset val="129"/>
        <scheme val="minor"/>
      </rPr>
      <t xml:space="preserve"> </t>
    </r>
    <r>
      <rPr>
        <sz val="11"/>
        <color theme="1"/>
        <rFont val="맑은 고딕"/>
        <family val="2"/>
        <charset val="129"/>
        <scheme val="minor"/>
      </rPr>
      <t>함</t>
    </r>
    <r>
      <rPr>
        <sz val="11"/>
        <color theme="1"/>
        <rFont val="맑은 고딕"/>
        <family val="3"/>
        <charset val="129"/>
        <scheme val="minor"/>
      </rPr>
      <t xml:space="preserve">. Check box </t>
    </r>
    <r>
      <rPr>
        <sz val="11"/>
        <color theme="1"/>
        <rFont val="맑은 고딕"/>
        <family val="2"/>
        <charset val="129"/>
        <scheme val="minor"/>
      </rPr>
      <t>그룹</t>
    </r>
    <r>
      <rPr>
        <sz val="11"/>
        <color theme="1"/>
        <rFont val="맑은 고딕"/>
        <family val="3"/>
        <charset val="129"/>
        <scheme val="minor"/>
      </rPr>
      <t>?</t>
    </r>
    <r>
      <rPr>
        <sz val="11"/>
        <color theme="1"/>
        <rFont val="맑은 고딕"/>
        <family val="2"/>
        <charset val="129"/>
        <scheme val="minor"/>
      </rPr>
      <t xml:space="preserve"> </t>
    </r>
    <r>
      <rPr>
        <sz val="11"/>
        <color rgb="FFFF0000"/>
        <rFont val="맑은 고딕"/>
        <family val="3"/>
        <charset val="129"/>
        <scheme val="minor"/>
      </rPr>
      <t>for tx_evCodeA</t>
    </r>
    <phoneticPr fontId="1" type="noConversion"/>
  </si>
  <si>
    <t>[?]버튼 클릭 시 에딧박스에서 값을 읽어서 보내야 함.</t>
    <phoneticPr fontId="1" type="noConversion"/>
  </si>
  <si>
    <t>[?]콤보박스 문자열-&gt;숫자로 보내야 함, 임시로 숫자 설정</t>
    <phoneticPr fontId="1" type="noConversion"/>
  </si>
  <si>
    <t>rx_DBusSel</t>
    <phoneticPr fontId="1" type="noConversion"/>
  </si>
  <si>
    <t>[보류]비트 조합으로 write pv 해야 함. Check box 그룹?</t>
    <phoneticPr fontId="1" type="noConversion"/>
  </si>
  <si>
    <t>[보류]</t>
  </si>
  <si>
    <t>0</t>
    <phoneticPr fontId="1" type="noConversion"/>
  </si>
  <si>
    <t>8bit</t>
    <phoneticPr fontId="1" type="noConversion"/>
  </si>
  <si>
    <t>EV_TX_DBUS_SEL_A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</si>
</sst>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2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theme="1"/>
      <name val="Bitstream Vera Sans Mono"/>
      <family val="3"/>
      <charset val="129"/>
    </font>
    <font>
      <sz val="9"/>
      <color rgb="FFD4D4D4"/>
      <name val="Bitstream Vera Sans Mono"/>
      <family val="3"/>
      <charset val="129"/>
    </font>
    <font>
      <sz val="9"/>
      <color rgb="FFFF0000"/>
      <name val="Bitstream Vera Sans Mono"/>
      <family val="3"/>
      <charset val="129"/>
    </font>
    <font>
      <sz val="9"/>
      <name val="Bitstream Vera Sans Mono"/>
      <family val="3"/>
      <charset val="129"/>
    </font>
    <font>
      <sz val="9"/>
      <color rgb="FF7030A0"/>
      <name val="Bitstream Vera Sans Mono"/>
      <family val="3"/>
      <charset val="129"/>
    </font>
    <font>
      <sz val="9"/>
      <color theme="1"/>
      <name val="Bitstream Vera Sans Mono"/>
      <family val="3"/>
    </font>
    <font>
      <sz val="11"/>
      <color rgb="FFFF0000"/>
      <name val="맑은 고딕"/>
      <family val="2"/>
      <charset val="129"/>
      <scheme val="minor"/>
    </font>
    <font>
      <sz val="11"/>
      <name val="맑은 고딕"/>
      <family val="2"/>
      <charset val="129"/>
      <scheme val="minor"/>
    </font>
    <font>
      <sz val="11"/>
      <color rgb="FFFF000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9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left" vertical="center"/>
    </xf>
    <xf numFmtId="49" fontId="2" fillId="0" borderId="0" xfId="0" applyNumberFormat="1" applyFont="1" applyAlignment="1">
      <alignment horizontal="center" vertical="center"/>
    </xf>
    <xf numFmtId="0" fontId="2" fillId="0" borderId="0" xfId="0" quotePrefix="1" applyFont="1">
      <alignment vertical="center"/>
    </xf>
    <xf numFmtId="0" fontId="2" fillId="0" borderId="0" xfId="0" applyNumberFormat="1" applyFont="1">
      <alignment vertical="center"/>
    </xf>
    <xf numFmtId="0" fontId="4" fillId="0" borderId="0" xfId="0" applyFont="1" applyAlignment="1">
      <alignment horizontal="left" vertical="center"/>
    </xf>
    <xf numFmtId="0" fontId="5" fillId="0" borderId="0" xfId="0" applyFont="1">
      <alignment vertical="center"/>
    </xf>
    <xf numFmtId="0" fontId="4" fillId="0" borderId="0" xfId="0" applyFont="1">
      <alignment vertical="center"/>
    </xf>
    <xf numFmtId="0" fontId="5" fillId="0" borderId="0" xfId="0" quotePrefix="1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quotePrefix="1" applyNumberFormat="1" applyFont="1" applyAlignment="1">
      <alignment horizontal="right" vertical="center"/>
    </xf>
    <xf numFmtId="49" fontId="2" fillId="0" borderId="0" xfId="0" applyNumberFormat="1" applyFont="1" applyAlignment="1">
      <alignment horizontal="left" vertical="center"/>
    </xf>
    <xf numFmtId="0" fontId="2" fillId="0" borderId="0" xfId="0" quotePrefix="1" applyFont="1" applyAlignment="1">
      <alignment horizontal="center" vertical="center"/>
    </xf>
    <xf numFmtId="0" fontId="2" fillId="0" borderId="0" xfId="0" quotePrefix="1" applyNumberFormat="1" applyFont="1" applyAlignment="1">
      <alignment horizontal="right" vertical="center"/>
    </xf>
    <xf numFmtId="0" fontId="5" fillId="0" borderId="0" xfId="0" applyFont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49" fontId="7" fillId="0" borderId="0" xfId="0" applyNumberFormat="1" applyFont="1" applyAlignment="1">
      <alignment horizontal="center" vertical="center"/>
    </xf>
    <xf numFmtId="49" fontId="7" fillId="0" borderId="0" xfId="0" applyNumberFormat="1" applyFont="1" applyAlignment="1">
      <alignment horizontal="left" vertical="center"/>
    </xf>
    <xf numFmtId="49" fontId="7" fillId="0" borderId="0" xfId="0" quotePrefix="1" applyNumberFormat="1" applyFont="1" applyAlignment="1">
      <alignment horizontal="center" vertical="center"/>
    </xf>
    <xf numFmtId="0" fontId="5" fillId="0" borderId="0" xfId="0" quotePrefix="1" applyFont="1">
      <alignment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8" fillId="0" borderId="0" xfId="0" applyFont="1">
      <alignment vertical="center"/>
    </xf>
    <xf numFmtId="0" fontId="9" fillId="0" borderId="0" xfId="0" applyFont="1">
      <alignment vertical="center"/>
    </xf>
    <xf numFmtId="0" fontId="0" fillId="2" borderId="0" xfId="0" applyFill="1">
      <alignment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  <xf numFmtId="0" fontId="9" fillId="3" borderId="0" xfId="0" applyFont="1" applyFill="1">
      <alignment vertical="center"/>
    </xf>
    <xf numFmtId="0" fontId="11" fillId="0" borderId="0" xfId="0" applyFont="1">
      <alignment vertical="center"/>
    </xf>
    <xf numFmtId="0" fontId="0" fillId="0" borderId="0" xfId="0" applyFill="1">
      <alignment vertical="center"/>
    </xf>
    <xf numFmtId="0" fontId="4" fillId="0" borderId="0" xfId="0" applyNumberFormat="1" applyFont="1">
      <alignment vertical="center"/>
    </xf>
  </cellXfs>
  <cellStyles count="1">
    <cellStyle name="Normal" xfId="0" builtinId="0"/>
  </cellStyles>
  <dxfs count="100"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7030A0"/>
        <name val="Bitstream Vera Sans Mono"/>
        <scheme val="none"/>
      </font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Bitstream Vera Sans Mon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numFmt numFmtId="30" formatCode="@"/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Bitstream Vera Sans Mon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Bitstream Vera Sans Mon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38101</xdr:colOff>
      <xdr:row>1</xdr:row>
      <xdr:rowOff>28576</xdr:rowOff>
    </xdr:from>
    <xdr:to>
      <xdr:col>0</xdr:col>
      <xdr:colOff>819151</xdr:colOff>
      <xdr:row>1</xdr:row>
      <xdr:rowOff>314326</xdr:rowOff>
    </xdr:to>
    <xdr:sp macro="[0]!fileWrite" textlink="">
      <xdr:nvSpPr>
        <xdr:cNvPr id="2" name="Rectangle 1"/>
        <xdr:cNvSpPr/>
      </xdr:nvSpPr>
      <xdr:spPr>
        <a:xfrm>
          <a:off x="38101" y="180976"/>
          <a:ext cx="781050" cy="285750"/>
        </a:xfrm>
        <a:prstGeom prst="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/>
            <a:t>Gen</a:t>
          </a:r>
          <a:r>
            <a:rPr lang="en-US" altLang="ko-KR" sz="1100" baseline="0"/>
            <a:t>erate</a:t>
          </a:r>
          <a:endParaRPr lang="ko-KR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38101</xdr:colOff>
      <xdr:row>39</xdr:row>
      <xdr:rowOff>28576</xdr:rowOff>
    </xdr:from>
    <xdr:to>
      <xdr:col>0</xdr:col>
      <xdr:colOff>819151</xdr:colOff>
      <xdr:row>39</xdr:row>
      <xdr:rowOff>314326</xdr:rowOff>
    </xdr:to>
    <xdr:sp macro="[0]!fileWrite" textlink="">
      <xdr:nvSpPr>
        <xdr:cNvPr id="2" name="Rectangle 1"/>
        <xdr:cNvSpPr/>
      </xdr:nvSpPr>
      <xdr:spPr>
        <a:xfrm>
          <a:off x="38101" y="180976"/>
          <a:ext cx="781050" cy="285750"/>
        </a:xfrm>
        <a:prstGeom prst="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/>
            <a:t>Gen</a:t>
          </a:r>
          <a:r>
            <a:rPr lang="en-US" altLang="ko-KR" sz="1100" baseline="0"/>
            <a:t>erate</a:t>
          </a:r>
          <a:endParaRPr lang="ko-KR" altLang="en-US" sz="1100"/>
        </a:p>
      </xdr:txBody>
    </xdr:sp>
    <xdr:clientData/>
  </xdr:twoCellAnchor>
</xdr:wsDr>
</file>

<file path=xl/tables/table1.xml><?xml version="1.0" encoding="utf-8"?>
<table xmlns="http://schemas.openxmlformats.org/spreadsheetml/2006/main" id="13" name="Table13" displayName="Table13" ref="B2:AC324" totalsRowShown="0" headerRowDxfId="99" dataDxfId="98">
  <autoFilter ref="B2:AC324"/>
  <tableColumns count="28">
    <tableColumn id="1" name="Index" dataDxfId="97"/>
    <tableColumn id="2" name="template" dataDxfId="96"/>
    <tableColumn id="3" name="##ALIAS Name##" dataDxfId="95"/>
    <tableColumn id="4" name="##H/W Address##" dataDxfId="94"/>
    <tableColumn id="5" name="##Param Type##" dataDxfId="93"/>
    <tableColumn id="6" name="TIMEOUT" dataDxfId="92"/>
    <tableColumn id="7" name="SCAN" dataDxfId="91"/>
    <tableColumn id="8" name="##Option1##" dataDxfId="90"/>
    <tableColumn id="9" name="##Option2##" dataDxfId="89"/>
    <tableColumn id="10" name="##drvLink##" dataDxfId="88"/>
    <tableColumn id="13" name="##FLNK##" dataDxfId="87"/>
    <tableColumn id="25" name="##DTYP##" dataDxfId="86">
      <calculatedColumnFormula>IF(Table13[[#This Row],[template]]="","",VLOOKUP(Table13[[#This Row],[template]],Table2915[],3,FALSE))</calculatedColumnFormula>
    </tableColumn>
    <tableColumn id="23" name="##NELM##" dataDxfId="85"/>
    <tableColumn id="11" name="Column1" dataDxfId="84"/>
    <tableColumn id="12" name="SIGNAL" dataDxfId="83"/>
    <tableColumn id="14" name="IP" dataDxfId="82"/>
    <tableColumn id="15" name="PARAM_NAME" dataDxfId="81"/>
    <tableColumn id="16" name="SUB" dataDxfId="80"/>
    <tableColumn id="17" name="Addr_Hex" dataDxfId="79"/>
    <tableColumn id="18" name="D1-Type" dataDxfId="78"/>
    <tableColumn id="19" name="D2-Type" dataDxfId="77"/>
    <tableColumn id="20" name="D2-Offset" dataDxfId="76"/>
    <tableColumn id="21" name="D3-Type" dataDxfId="75"/>
    <tableColumn id="22" name="-" dataDxfId="74"/>
    <tableColumn id="24" name="비고" dataDxfId="73"/>
    <tableColumn id="26" name="IP_Index" dataDxfId="72"/>
    <tableColumn id="27" name="D_Index" dataDxfId="71"/>
    <tableColumn id="28" name="Addr_Dec" dataDxfId="70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14" name="Table2915" displayName="Table2915" ref="B339:D349" totalsRowShown="0" headerRowDxfId="69" dataDxfId="68">
  <autoFilter ref="B339:D349"/>
  <tableColumns count="3">
    <tableColumn id="1" name="template name" dataDxfId="67"/>
    <tableColumn id="2" name="value type" dataDxfId="66"/>
    <tableColumn id="3" name="열1" dataDxfId="65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15" name="Table31016" displayName="Table31016" ref="B369:C385" totalsRowShown="0" headerRowDxfId="64" dataDxfId="63">
  <autoFilter ref="B369:C385"/>
  <tableColumns count="2">
    <tableColumn id="2" name="D2-Type" dataDxfId="62"/>
    <tableColumn id="1" name="D-Index" dataDxfId="61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16" name="Table51117" displayName="Table51117" ref="B334:C337" totalsRowShown="0" headerRowDxfId="60" dataDxfId="59">
  <autoFilter ref="B334:C337"/>
  <tableColumns count="2">
    <tableColumn id="1" name="IP_NAME" dataDxfId="58"/>
    <tableColumn id="2" name="IP_Index" dataDxfId="57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id="17" name="Table351218" displayName="Table351218" ref="B351:C367" totalsRowShown="0" headerRowDxfId="56" dataDxfId="55">
  <autoFilter ref="B351:C367"/>
  <tableColumns count="2">
    <tableColumn id="2" name="D1-Type" dataDxfId="54"/>
    <tableColumn id="1" name="D-Index" dataDxfId="53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id="18" name="Table371319" displayName="Table371319" ref="B388:D404" totalsRowShown="0" headerRowDxfId="52" dataDxfId="51">
  <autoFilter ref="B388:D404"/>
  <tableColumns count="3">
    <tableColumn id="2" name="D3-Type" dataDxfId="50"/>
    <tableColumn id="1" name="D-Index" dataDxfId="49"/>
    <tableColumn id="3" name="비고" dataDxfId="48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id="7" name="Table7" displayName="Table7" ref="A1:J250" totalsRowShown="0">
  <autoFilter ref="A1:J250"/>
  <sortState ref="A2:J251">
    <sortCondition ref="A1:A251"/>
  </sortState>
  <tableColumns count="10">
    <tableColumn id="1" name="Column1"/>
    <tableColumn id="2" name="Column2"/>
    <tableColumn id="3" name="Column3"/>
    <tableColumn id="4" name="Column4" dataDxfId="0"/>
    <tableColumn id="5" name="Column5"/>
    <tableColumn id="6" name="Column6"/>
    <tableColumn id="7" name="Column7">
      <calculatedColumnFormula>G1</calculatedColumnFormula>
    </tableColumn>
    <tableColumn id="8" name="Column8"/>
    <tableColumn id="9" name="Column9">
      <calculatedColumnFormula>G2&amp;C2</calculatedColumnFormula>
    </tableColumn>
    <tableColumn id="10" name="Column10"/>
  </tableColumns>
  <tableStyleInfo name="TableStyleMedium1" showFirstColumn="0" showLastColumn="0" showRowStripes="1" showColumnStripes="0"/>
</table>
</file>

<file path=xl/tables/table8.xml><?xml version="1.0" encoding="utf-8"?>
<table xmlns="http://schemas.openxmlformats.org/spreadsheetml/2006/main" id="1" name="Table132" displayName="Table132" ref="B40:Z525" totalsRowShown="0" headerRowDxfId="47" dataDxfId="46">
  <autoFilter ref="B40:Z525"/>
  <tableColumns count="25">
    <tableColumn id="1" name="Index" dataDxfId="45"/>
    <tableColumn id="2" name="template" dataDxfId="44"/>
    <tableColumn id="3" name="##ALIAS Name##" dataDxfId="43"/>
    <tableColumn id="4" name="##H/W Address##" dataDxfId="42"/>
    <tableColumn id="5" name="##Param Type##" dataDxfId="41"/>
    <tableColumn id="6" name="TIMEOUT" dataDxfId="40"/>
    <tableColumn id="7" name="SCAN" dataDxfId="39"/>
    <tableColumn id="8" name="##Option1##" dataDxfId="38"/>
    <tableColumn id="9" name="##Option2##" dataDxfId="37"/>
    <tableColumn id="10" name="##GETSET##" dataDxfId="36"/>
    <tableColumn id="11" name="Column1" dataDxfId="35"/>
    <tableColumn id="12" name="SIGNAL" dataDxfId="34"/>
    <tableColumn id="14" name="IP_NAME" dataDxfId="33"/>
    <tableColumn id="15" name="PARAM_NAME" dataDxfId="32"/>
    <tableColumn id="16" name="PARAM_SUB" dataDxfId="31"/>
    <tableColumn id="17" name="Addr_Hex" dataDxfId="30"/>
    <tableColumn id="18" name="D1-Type" dataDxfId="29"/>
    <tableColumn id="19" name="D2-Type" dataDxfId="28"/>
    <tableColumn id="20" name="D2-Offset" dataDxfId="27"/>
    <tableColumn id="21" name="D3-Type" dataDxfId="26"/>
    <tableColumn id="22" name="-" dataDxfId="25"/>
    <tableColumn id="24" name="비고" dataDxfId="24"/>
    <tableColumn id="26" name="IP_Index" dataDxfId="23"/>
    <tableColumn id="27" name="D_Index" dataDxfId="22"/>
    <tableColumn id="28" name="Addr_Dec" dataDxfId="21"/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id="2" name="Table29153" displayName="Table29153" ref="B540:C550" totalsRowShown="0" headerRowDxfId="20" dataDxfId="19">
  <autoFilter ref="B540:C550"/>
  <tableColumns count="2">
    <tableColumn id="1" name="template name" dataDxfId="18"/>
    <tableColumn id="2" name="value type" dataDxfId="17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id="3" name="Table310164" displayName="Table310164" ref="B570:C586" totalsRowShown="0" headerRowDxfId="16" dataDxfId="15">
  <autoFilter ref="B570:C586"/>
  <tableColumns count="2">
    <tableColumn id="2" name="D2-Type" dataDxfId="14"/>
    <tableColumn id="1" name="D-Index" dataDxfId="13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id="4" name="Table511175" displayName="Table511175" ref="B535:C538" totalsRowShown="0" headerRowDxfId="12" dataDxfId="11">
  <autoFilter ref="B535:C538"/>
  <tableColumns count="2">
    <tableColumn id="1" name="IP_NAME" dataDxfId="10"/>
    <tableColumn id="2" name="IP_Index" dataDxfId="9"/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id="5" name="Table3512186" displayName="Table3512186" ref="B552:C568" totalsRowShown="0" headerRowDxfId="8" dataDxfId="7">
  <autoFilter ref="B552:C568"/>
  <tableColumns count="2">
    <tableColumn id="2" name="D1-Type" dataDxfId="6"/>
    <tableColumn id="1" name="D-Index" dataDxfId="5"/>
  </tableColumns>
  <tableStyleInfo name="TableStyleMedium9" showFirstColumn="0" showLastColumn="0" showRowStripes="1" showColumnStripes="0"/>
</table>
</file>

<file path=xl/tables/table13.xml><?xml version="1.0" encoding="utf-8"?>
<table xmlns="http://schemas.openxmlformats.org/spreadsheetml/2006/main" id="6" name="Table3713197" displayName="Table3713197" ref="B589:C605" totalsRowShown="0" headerRowDxfId="4" dataDxfId="3">
  <autoFilter ref="B589:C605"/>
  <tableColumns count="2">
    <tableColumn id="2" name="D3-Type" dataDxfId="2"/>
    <tableColumn id="1" name="D-Index" dataDxfId="1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3" Type="http://schemas.openxmlformats.org/officeDocument/2006/relationships/table" Target="../tables/table1.xml"/><Relationship Id="rId7" Type="http://schemas.openxmlformats.org/officeDocument/2006/relationships/table" Target="../tables/table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3.xml"/><Relationship Id="rId3" Type="http://schemas.openxmlformats.org/officeDocument/2006/relationships/table" Target="../tables/table8.xml"/><Relationship Id="rId7" Type="http://schemas.openxmlformats.org/officeDocument/2006/relationships/table" Target="../tables/table1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11.xml"/><Relationship Id="rId5" Type="http://schemas.openxmlformats.org/officeDocument/2006/relationships/table" Target="../tables/table10.xml"/><Relationship Id="rId4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129"/>
  <sheetViews>
    <sheetView workbookViewId="0">
      <selection activeCell="G22" sqref="G22:G30"/>
    </sheetView>
  </sheetViews>
  <sheetFormatPr defaultRowHeight="16.5" x14ac:dyDescent="0.3"/>
  <cols>
    <col min="7" max="7" width="23.125" bestFit="1" customWidth="1"/>
  </cols>
  <sheetData>
    <row r="1" spans="1:3" x14ac:dyDescent="0.3">
      <c r="A1" t="s">
        <v>0</v>
      </c>
      <c r="B1" t="s">
        <v>1</v>
      </c>
      <c r="C1" t="s">
        <v>2</v>
      </c>
    </row>
    <row r="2" spans="1:3" x14ac:dyDescent="0.3">
      <c r="A2" t="s">
        <v>3</v>
      </c>
      <c r="B2" t="s">
        <v>4</v>
      </c>
      <c r="C2" t="s">
        <v>5</v>
      </c>
    </row>
    <row r="3" spans="1:3" x14ac:dyDescent="0.3">
      <c r="A3" t="s">
        <v>6</v>
      </c>
      <c r="B3" t="s">
        <v>4</v>
      </c>
      <c r="C3" t="s">
        <v>7</v>
      </c>
    </row>
    <row r="4" spans="1:3" x14ac:dyDescent="0.3">
      <c r="A4" t="s">
        <v>8</v>
      </c>
      <c r="B4" t="s">
        <v>4</v>
      </c>
      <c r="C4" t="s">
        <v>7</v>
      </c>
    </row>
    <row r="5" spans="1:3" x14ac:dyDescent="0.3">
      <c r="A5" t="s">
        <v>9</v>
      </c>
      <c r="B5" t="s">
        <v>4</v>
      </c>
      <c r="C5" t="s">
        <v>7</v>
      </c>
    </row>
    <row r="6" spans="1:3" x14ac:dyDescent="0.3">
      <c r="A6" t="s">
        <v>10</v>
      </c>
      <c r="B6" t="s">
        <v>4</v>
      </c>
      <c r="C6" t="s">
        <v>7</v>
      </c>
    </row>
    <row r="7" spans="1:3" x14ac:dyDescent="0.3">
      <c r="A7" t="s">
        <v>11</v>
      </c>
      <c r="B7" t="s">
        <v>4</v>
      </c>
      <c r="C7" t="s">
        <v>7</v>
      </c>
    </row>
    <row r="8" spans="1:3" x14ac:dyDescent="0.3">
      <c r="A8" t="s">
        <v>12</v>
      </c>
      <c r="B8" t="s">
        <v>4</v>
      </c>
      <c r="C8" t="s">
        <v>7</v>
      </c>
    </row>
    <row r="9" spans="1:3" x14ac:dyDescent="0.3">
      <c r="A9" t="s">
        <v>13</v>
      </c>
      <c r="B9" t="s">
        <v>4</v>
      </c>
      <c r="C9" t="s">
        <v>7</v>
      </c>
    </row>
    <row r="10" spans="1:3" x14ac:dyDescent="0.3">
      <c r="A10" t="s">
        <v>14</v>
      </c>
      <c r="B10" t="s">
        <v>15</v>
      </c>
      <c r="C10" t="s">
        <v>5</v>
      </c>
    </row>
    <row r="11" spans="1:3" x14ac:dyDescent="0.3">
      <c r="A11" t="s">
        <v>16</v>
      </c>
      <c r="B11" t="s">
        <v>17</v>
      </c>
      <c r="C11" t="s">
        <v>7</v>
      </c>
    </row>
    <row r="12" spans="1:3" x14ac:dyDescent="0.3">
      <c r="A12" t="s">
        <v>18</v>
      </c>
      <c r="B12" t="s">
        <v>19</v>
      </c>
      <c r="C12" t="s">
        <v>7</v>
      </c>
    </row>
    <row r="13" spans="1:3" x14ac:dyDescent="0.3">
      <c r="A13" t="s">
        <v>20</v>
      </c>
      <c r="B13" t="s">
        <v>21</v>
      </c>
      <c r="C13" t="s">
        <v>7</v>
      </c>
    </row>
    <row r="14" spans="1:3" x14ac:dyDescent="0.3">
      <c r="A14" t="s">
        <v>22</v>
      </c>
      <c r="B14" t="s">
        <v>23</v>
      </c>
      <c r="C14" t="s">
        <v>7</v>
      </c>
    </row>
    <row r="15" spans="1:3" x14ac:dyDescent="0.3">
      <c r="A15" t="s">
        <v>24</v>
      </c>
      <c r="B15" t="s">
        <v>23</v>
      </c>
      <c r="C15" t="s">
        <v>7</v>
      </c>
    </row>
    <row r="16" spans="1:3" x14ac:dyDescent="0.3">
      <c r="A16" t="s">
        <v>25</v>
      </c>
      <c r="B16" t="s">
        <v>26</v>
      </c>
      <c r="C16" t="s">
        <v>7</v>
      </c>
    </row>
    <row r="17" spans="1:7" x14ac:dyDescent="0.3">
      <c r="A17" t="s">
        <v>27</v>
      </c>
      <c r="B17" t="s">
        <v>26</v>
      </c>
      <c r="C17" t="s">
        <v>7</v>
      </c>
    </row>
    <row r="18" spans="1:7" x14ac:dyDescent="0.3">
      <c r="A18" t="s">
        <v>28</v>
      </c>
      <c r="B18" t="s">
        <v>29</v>
      </c>
      <c r="C18" t="s">
        <v>30</v>
      </c>
    </row>
    <row r="19" spans="1:7" x14ac:dyDescent="0.3">
      <c r="A19" t="s">
        <v>31</v>
      </c>
      <c r="B19" t="s">
        <v>32</v>
      </c>
      <c r="C19" t="s">
        <v>30</v>
      </c>
    </row>
    <row r="20" spans="1:7" x14ac:dyDescent="0.3">
      <c r="A20" t="s">
        <v>33</v>
      </c>
      <c r="B20" t="s">
        <v>34</v>
      </c>
      <c r="C20" t="s">
        <v>30</v>
      </c>
    </row>
    <row r="21" spans="1:7" x14ac:dyDescent="0.3">
      <c r="A21" t="s">
        <v>35</v>
      </c>
      <c r="B21" t="s">
        <v>36</v>
      </c>
      <c r="C21" t="s">
        <v>30</v>
      </c>
    </row>
    <row r="22" spans="1:7" x14ac:dyDescent="0.3">
      <c r="A22" t="s">
        <v>37</v>
      </c>
      <c r="B22" t="s">
        <v>38</v>
      </c>
      <c r="C22" t="s">
        <v>30</v>
      </c>
      <c r="G22" t="s">
        <v>7</v>
      </c>
    </row>
    <row r="23" spans="1:7" x14ac:dyDescent="0.3">
      <c r="A23" t="s">
        <v>39</v>
      </c>
      <c r="B23" t="s">
        <v>40</v>
      </c>
      <c r="C23" t="s">
        <v>30</v>
      </c>
      <c r="G23" t="s">
        <v>222</v>
      </c>
    </row>
    <row r="24" spans="1:7" x14ac:dyDescent="0.3">
      <c r="A24" t="s">
        <v>41</v>
      </c>
      <c r="B24" t="s">
        <v>42</v>
      </c>
      <c r="C24" t="s">
        <v>30</v>
      </c>
      <c r="G24" t="s">
        <v>30</v>
      </c>
    </row>
    <row r="25" spans="1:7" x14ac:dyDescent="0.3">
      <c r="A25" t="s">
        <v>43</v>
      </c>
      <c r="B25" t="s">
        <v>44</v>
      </c>
      <c r="C25" t="s">
        <v>30</v>
      </c>
      <c r="G25" t="s">
        <v>5</v>
      </c>
    </row>
    <row r="26" spans="1:7" x14ac:dyDescent="0.3">
      <c r="A26" t="s">
        <v>45</v>
      </c>
      <c r="B26" t="s">
        <v>46</v>
      </c>
      <c r="C26" t="s">
        <v>30</v>
      </c>
      <c r="G26" t="s">
        <v>223</v>
      </c>
    </row>
    <row r="27" spans="1:7" x14ac:dyDescent="0.3">
      <c r="A27" t="s">
        <v>47</v>
      </c>
      <c r="B27" t="s">
        <v>48</v>
      </c>
      <c r="C27" t="s">
        <v>30</v>
      </c>
      <c r="G27" t="s">
        <v>224</v>
      </c>
    </row>
    <row r="28" spans="1:7" x14ac:dyDescent="0.3">
      <c r="A28" t="s">
        <v>49</v>
      </c>
      <c r="B28" t="s">
        <v>50</v>
      </c>
      <c r="C28" t="s">
        <v>30</v>
      </c>
      <c r="G28" t="s">
        <v>225</v>
      </c>
    </row>
    <row r="29" spans="1:7" x14ac:dyDescent="0.3">
      <c r="A29" t="s">
        <v>51</v>
      </c>
      <c r="B29" t="s">
        <v>52</v>
      </c>
      <c r="C29" t="s">
        <v>30</v>
      </c>
      <c r="G29" t="s">
        <v>226</v>
      </c>
    </row>
    <row r="30" spans="1:7" x14ac:dyDescent="0.3">
      <c r="A30" t="s">
        <v>53</v>
      </c>
      <c r="B30" t="s">
        <v>54</v>
      </c>
      <c r="C30" t="s">
        <v>30</v>
      </c>
      <c r="G30" t="s">
        <v>227</v>
      </c>
    </row>
    <row r="31" spans="1:7" x14ac:dyDescent="0.3">
      <c r="A31" t="s">
        <v>55</v>
      </c>
      <c r="B31" t="s">
        <v>56</v>
      </c>
      <c r="C31" t="s">
        <v>30</v>
      </c>
    </row>
    <row r="32" spans="1:7" x14ac:dyDescent="0.3">
      <c r="A32" t="s">
        <v>57</v>
      </c>
      <c r="B32" t="s">
        <v>58</v>
      </c>
      <c r="C32" t="s">
        <v>7</v>
      </c>
    </row>
    <row r="33" spans="1:3" x14ac:dyDescent="0.3">
      <c r="A33" t="s">
        <v>59</v>
      </c>
      <c r="B33" t="s">
        <v>60</v>
      </c>
      <c r="C33" t="s">
        <v>7</v>
      </c>
    </row>
    <row r="34" spans="1:3" x14ac:dyDescent="0.3">
      <c r="A34" t="s">
        <v>61</v>
      </c>
      <c r="B34" t="s">
        <v>62</v>
      </c>
      <c r="C34" t="s">
        <v>7</v>
      </c>
    </row>
    <row r="35" spans="1:3" x14ac:dyDescent="0.3">
      <c r="A35" t="s">
        <v>63</v>
      </c>
      <c r="B35" t="s">
        <v>64</v>
      </c>
      <c r="C35" t="s">
        <v>7</v>
      </c>
    </row>
    <row r="36" spans="1:3" x14ac:dyDescent="0.3">
      <c r="A36" t="s">
        <v>65</v>
      </c>
      <c r="B36" t="s">
        <v>66</v>
      </c>
      <c r="C36" t="s">
        <v>7</v>
      </c>
    </row>
    <row r="37" spans="1:3" x14ac:dyDescent="0.3">
      <c r="A37" t="s">
        <v>67</v>
      </c>
      <c r="B37" t="s">
        <v>68</v>
      </c>
      <c r="C37" t="s">
        <v>7</v>
      </c>
    </row>
    <row r="38" spans="1:3" x14ac:dyDescent="0.3">
      <c r="A38" t="s">
        <v>69</v>
      </c>
      <c r="B38" t="s">
        <v>70</v>
      </c>
      <c r="C38" t="s">
        <v>7</v>
      </c>
    </row>
    <row r="39" spans="1:3" x14ac:dyDescent="0.3">
      <c r="A39" t="s">
        <v>71</v>
      </c>
      <c r="B39" t="s">
        <v>72</v>
      </c>
      <c r="C39" t="s">
        <v>7</v>
      </c>
    </row>
    <row r="40" spans="1:3" x14ac:dyDescent="0.3">
      <c r="A40" t="s">
        <v>73</v>
      </c>
      <c r="B40" t="s">
        <v>74</v>
      </c>
      <c r="C40" t="s">
        <v>7</v>
      </c>
    </row>
    <row r="41" spans="1:3" x14ac:dyDescent="0.3">
      <c r="A41" t="s">
        <v>75</v>
      </c>
      <c r="B41" t="s">
        <v>76</v>
      </c>
      <c r="C41" t="s">
        <v>7</v>
      </c>
    </row>
    <row r="42" spans="1:3" x14ac:dyDescent="0.3">
      <c r="A42" t="s">
        <v>77</v>
      </c>
      <c r="B42" t="s">
        <v>78</v>
      </c>
      <c r="C42" t="s">
        <v>7</v>
      </c>
    </row>
    <row r="43" spans="1:3" x14ac:dyDescent="0.3">
      <c r="A43" t="s">
        <v>79</v>
      </c>
      <c r="B43" t="s">
        <v>80</v>
      </c>
      <c r="C43" t="s">
        <v>7</v>
      </c>
    </row>
    <row r="44" spans="1:3" x14ac:dyDescent="0.3">
      <c r="A44" t="s">
        <v>81</v>
      </c>
      <c r="B44" t="s">
        <v>82</v>
      </c>
      <c r="C44" t="s">
        <v>7</v>
      </c>
    </row>
    <row r="45" spans="1:3" x14ac:dyDescent="0.3">
      <c r="A45" t="s">
        <v>83</v>
      </c>
      <c r="B45" t="s">
        <v>84</v>
      </c>
      <c r="C45" t="s">
        <v>7</v>
      </c>
    </row>
    <row r="46" spans="1:3" x14ac:dyDescent="0.3">
      <c r="A46" t="s">
        <v>85</v>
      </c>
      <c r="B46" t="s">
        <v>86</v>
      </c>
      <c r="C46" t="s">
        <v>7</v>
      </c>
    </row>
    <row r="47" spans="1:3" x14ac:dyDescent="0.3">
      <c r="A47" t="s">
        <v>87</v>
      </c>
      <c r="B47" t="s">
        <v>88</v>
      </c>
      <c r="C47" t="s">
        <v>7</v>
      </c>
    </row>
    <row r="48" spans="1:3" x14ac:dyDescent="0.3">
      <c r="A48" t="s">
        <v>89</v>
      </c>
      <c r="B48" t="s">
        <v>90</v>
      </c>
      <c r="C48" t="s">
        <v>7</v>
      </c>
    </row>
    <row r="49" spans="1:3" x14ac:dyDescent="0.3">
      <c r="A49" t="s">
        <v>91</v>
      </c>
      <c r="B49" t="s">
        <v>92</v>
      </c>
      <c r="C49" t="s">
        <v>7</v>
      </c>
    </row>
    <row r="50" spans="1:3" x14ac:dyDescent="0.3">
      <c r="A50" t="s">
        <v>93</v>
      </c>
      <c r="B50" t="s">
        <v>94</v>
      </c>
      <c r="C50" t="s">
        <v>7</v>
      </c>
    </row>
    <row r="51" spans="1:3" x14ac:dyDescent="0.3">
      <c r="A51" t="s">
        <v>95</v>
      </c>
      <c r="B51" t="s">
        <v>96</v>
      </c>
      <c r="C51" t="s">
        <v>7</v>
      </c>
    </row>
    <row r="52" spans="1:3" x14ac:dyDescent="0.3">
      <c r="A52" t="s">
        <v>97</v>
      </c>
      <c r="B52" t="s">
        <v>98</v>
      </c>
      <c r="C52" t="s">
        <v>7</v>
      </c>
    </row>
    <row r="53" spans="1:3" x14ac:dyDescent="0.3">
      <c r="A53" t="s">
        <v>99</v>
      </c>
      <c r="B53" t="s">
        <v>100</v>
      </c>
      <c r="C53" t="s">
        <v>7</v>
      </c>
    </row>
    <row r="54" spans="1:3" x14ac:dyDescent="0.3">
      <c r="A54" t="s">
        <v>101</v>
      </c>
      <c r="B54" t="s">
        <v>102</v>
      </c>
      <c r="C54" t="s">
        <v>7</v>
      </c>
    </row>
    <row r="55" spans="1:3" x14ac:dyDescent="0.3">
      <c r="A55" t="s">
        <v>103</v>
      </c>
      <c r="B55" t="s">
        <v>104</v>
      </c>
      <c r="C55" t="s">
        <v>7</v>
      </c>
    </row>
    <row r="56" spans="1:3" x14ac:dyDescent="0.3">
      <c r="A56" t="s">
        <v>105</v>
      </c>
      <c r="B56" t="s">
        <v>106</v>
      </c>
      <c r="C56" t="s">
        <v>7</v>
      </c>
    </row>
    <row r="57" spans="1:3" x14ac:dyDescent="0.3">
      <c r="A57" t="s">
        <v>107</v>
      </c>
      <c r="B57" t="s">
        <v>108</v>
      </c>
      <c r="C57" t="s">
        <v>7</v>
      </c>
    </row>
    <row r="58" spans="1:3" x14ac:dyDescent="0.3">
      <c r="A58" t="s">
        <v>109</v>
      </c>
      <c r="B58" t="s">
        <v>110</v>
      </c>
      <c r="C58" t="s">
        <v>7</v>
      </c>
    </row>
    <row r="59" spans="1:3" x14ac:dyDescent="0.3">
      <c r="A59" t="s">
        <v>111</v>
      </c>
      <c r="B59" t="s">
        <v>112</v>
      </c>
      <c r="C59" t="s">
        <v>7</v>
      </c>
    </row>
    <row r="60" spans="1:3" x14ac:dyDescent="0.3">
      <c r="A60" t="s">
        <v>113</v>
      </c>
      <c r="B60" t="s">
        <v>114</v>
      </c>
      <c r="C60" t="s">
        <v>7</v>
      </c>
    </row>
    <row r="61" spans="1:3" x14ac:dyDescent="0.3">
      <c r="A61" t="s">
        <v>115</v>
      </c>
      <c r="B61" t="s">
        <v>116</v>
      </c>
      <c r="C61" t="s">
        <v>7</v>
      </c>
    </row>
    <row r="62" spans="1:3" x14ac:dyDescent="0.3">
      <c r="A62" t="s">
        <v>117</v>
      </c>
      <c r="B62" t="s">
        <v>118</v>
      </c>
      <c r="C62" t="s">
        <v>7</v>
      </c>
    </row>
    <row r="63" spans="1:3" x14ac:dyDescent="0.3">
      <c r="A63" t="s">
        <v>119</v>
      </c>
      <c r="B63" t="s">
        <v>120</v>
      </c>
      <c r="C63" t="s">
        <v>7</v>
      </c>
    </row>
    <row r="64" spans="1:3" x14ac:dyDescent="0.3">
      <c r="A64" t="s">
        <v>121</v>
      </c>
      <c r="B64" t="s">
        <v>122</v>
      </c>
      <c r="C64" t="s">
        <v>7</v>
      </c>
    </row>
    <row r="65" spans="1:3" x14ac:dyDescent="0.3">
      <c r="A65" t="s">
        <v>123</v>
      </c>
      <c r="B65" t="s">
        <v>124</v>
      </c>
      <c r="C65" t="s">
        <v>7</v>
      </c>
    </row>
    <row r="66" spans="1:3" x14ac:dyDescent="0.3">
      <c r="A66" t="s">
        <v>125</v>
      </c>
      <c r="B66" t="s">
        <v>126</v>
      </c>
      <c r="C66" t="s">
        <v>7</v>
      </c>
    </row>
    <row r="67" spans="1:3" x14ac:dyDescent="0.3">
      <c r="A67" t="s">
        <v>127</v>
      </c>
      <c r="B67" t="s">
        <v>128</v>
      </c>
      <c r="C67" t="s">
        <v>7</v>
      </c>
    </row>
    <row r="68" spans="1:3" x14ac:dyDescent="0.3">
      <c r="A68" t="s">
        <v>129</v>
      </c>
      <c r="B68" t="s">
        <v>130</v>
      </c>
      <c r="C68" t="s">
        <v>7</v>
      </c>
    </row>
    <row r="69" spans="1:3" x14ac:dyDescent="0.3">
      <c r="A69" t="s">
        <v>131</v>
      </c>
      <c r="B69" t="s">
        <v>132</v>
      </c>
      <c r="C69" t="s">
        <v>7</v>
      </c>
    </row>
    <row r="70" spans="1:3" x14ac:dyDescent="0.3">
      <c r="A70" t="s">
        <v>133</v>
      </c>
      <c r="B70" t="s">
        <v>134</v>
      </c>
      <c r="C70" t="s">
        <v>7</v>
      </c>
    </row>
    <row r="71" spans="1:3" x14ac:dyDescent="0.3">
      <c r="A71" t="s">
        <v>135</v>
      </c>
      <c r="B71" t="s">
        <v>136</v>
      </c>
      <c r="C71" t="s">
        <v>7</v>
      </c>
    </row>
    <row r="72" spans="1:3" x14ac:dyDescent="0.3">
      <c r="A72" t="s">
        <v>137</v>
      </c>
      <c r="B72" t="s">
        <v>138</v>
      </c>
      <c r="C72" t="s">
        <v>7</v>
      </c>
    </row>
    <row r="73" spans="1:3" x14ac:dyDescent="0.3">
      <c r="A73" t="s">
        <v>139</v>
      </c>
      <c r="B73" t="s">
        <v>140</v>
      </c>
      <c r="C73" t="s">
        <v>7</v>
      </c>
    </row>
    <row r="74" spans="1:3" x14ac:dyDescent="0.3">
      <c r="A74" t="s">
        <v>141</v>
      </c>
      <c r="B74" t="s">
        <v>142</v>
      </c>
      <c r="C74" t="s">
        <v>7</v>
      </c>
    </row>
    <row r="75" spans="1:3" x14ac:dyDescent="0.3">
      <c r="A75" t="s">
        <v>143</v>
      </c>
      <c r="B75" t="s">
        <v>144</v>
      </c>
      <c r="C75" t="s">
        <v>7</v>
      </c>
    </row>
    <row r="76" spans="1:3" x14ac:dyDescent="0.3">
      <c r="A76" t="s">
        <v>145</v>
      </c>
      <c r="B76" t="s">
        <v>146</v>
      </c>
      <c r="C76" t="s">
        <v>7</v>
      </c>
    </row>
    <row r="77" spans="1:3" x14ac:dyDescent="0.3">
      <c r="A77" t="s">
        <v>147</v>
      </c>
      <c r="B77" t="s">
        <v>148</v>
      </c>
      <c r="C77" t="s">
        <v>7</v>
      </c>
    </row>
    <row r="78" spans="1:3" x14ac:dyDescent="0.3">
      <c r="A78" t="s">
        <v>149</v>
      </c>
      <c r="B78" t="s">
        <v>150</v>
      </c>
      <c r="C78" t="s">
        <v>7</v>
      </c>
    </row>
    <row r="79" spans="1:3" x14ac:dyDescent="0.3">
      <c r="A79" t="s">
        <v>151</v>
      </c>
      <c r="B79" t="s">
        <v>152</v>
      </c>
      <c r="C79" t="s">
        <v>7</v>
      </c>
    </row>
    <row r="80" spans="1:3" x14ac:dyDescent="0.3">
      <c r="A80" t="s">
        <v>153</v>
      </c>
      <c r="B80" t="s">
        <v>154</v>
      </c>
      <c r="C80" t="s">
        <v>7</v>
      </c>
    </row>
    <row r="81" spans="1:3" x14ac:dyDescent="0.3">
      <c r="A81" t="s">
        <v>155</v>
      </c>
      <c r="B81" t="s">
        <v>156</v>
      </c>
      <c r="C81" t="s">
        <v>7</v>
      </c>
    </row>
    <row r="82" spans="1:3" x14ac:dyDescent="0.3">
      <c r="A82" t="s">
        <v>157</v>
      </c>
      <c r="B82" t="s">
        <v>158</v>
      </c>
      <c r="C82" t="s">
        <v>7</v>
      </c>
    </row>
    <row r="83" spans="1:3" x14ac:dyDescent="0.3">
      <c r="A83" t="s">
        <v>159</v>
      </c>
      <c r="B83" t="s">
        <v>160</v>
      </c>
      <c r="C83" t="s">
        <v>7</v>
      </c>
    </row>
    <row r="84" spans="1:3" x14ac:dyDescent="0.3">
      <c r="A84" t="s">
        <v>161</v>
      </c>
      <c r="B84" t="s">
        <v>162</v>
      </c>
      <c r="C84" t="s">
        <v>7</v>
      </c>
    </row>
    <row r="85" spans="1:3" x14ac:dyDescent="0.3">
      <c r="A85" t="s">
        <v>163</v>
      </c>
      <c r="B85" t="s">
        <v>164</v>
      </c>
      <c r="C85" t="s">
        <v>7</v>
      </c>
    </row>
    <row r="86" spans="1:3" x14ac:dyDescent="0.3">
      <c r="A86" t="s">
        <v>165</v>
      </c>
      <c r="B86" t="s">
        <v>166</v>
      </c>
      <c r="C86" t="s">
        <v>7</v>
      </c>
    </row>
    <row r="87" spans="1:3" x14ac:dyDescent="0.3">
      <c r="A87" t="s">
        <v>167</v>
      </c>
      <c r="B87" t="s">
        <v>168</v>
      </c>
      <c r="C87" t="s">
        <v>7</v>
      </c>
    </row>
    <row r="88" spans="1:3" x14ac:dyDescent="0.3">
      <c r="A88" t="s">
        <v>169</v>
      </c>
      <c r="B88" t="s">
        <v>170</v>
      </c>
      <c r="C88" t="s">
        <v>7</v>
      </c>
    </row>
    <row r="89" spans="1:3" x14ac:dyDescent="0.3">
      <c r="A89" t="s">
        <v>171</v>
      </c>
      <c r="B89" t="s">
        <v>172</v>
      </c>
      <c r="C89" t="s">
        <v>7</v>
      </c>
    </row>
    <row r="90" spans="1:3" x14ac:dyDescent="0.3">
      <c r="A90" t="s">
        <v>173</v>
      </c>
      <c r="B90" t="s">
        <v>174</v>
      </c>
      <c r="C90" t="s">
        <v>7</v>
      </c>
    </row>
    <row r="91" spans="1:3" x14ac:dyDescent="0.3">
      <c r="A91" t="s">
        <v>175</v>
      </c>
      <c r="B91" t="s">
        <v>176</v>
      </c>
      <c r="C91" t="s">
        <v>7</v>
      </c>
    </row>
    <row r="92" spans="1:3" x14ac:dyDescent="0.3">
      <c r="A92" t="s">
        <v>177</v>
      </c>
      <c r="B92" t="s">
        <v>178</v>
      </c>
      <c r="C92" t="s">
        <v>7</v>
      </c>
    </row>
    <row r="93" spans="1:3" x14ac:dyDescent="0.3">
      <c r="A93" t="s">
        <v>179</v>
      </c>
      <c r="B93" t="s">
        <v>180</v>
      </c>
      <c r="C93" t="s">
        <v>7</v>
      </c>
    </row>
    <row r="94" spans="1:3" x14ac:dyDescent="0.3">
      <c r="A94" t="s">
        <v>181</v>
      </c>
      <c r="B94" t="s">
        <v>182</v>
      </c>
      <c r="C94" t="s">
        <v>7</v>
      </c>
    </row>
    <row r="95" spans="1:3" x14ac:dyDescent="0.3">
      <c r="A95" t="s">
        <v>183</v>
      </c>
      <c r="B95" t="s">
        <v>184</v>
      </c>
      <c r="C95" t="s">
        <v>7</v>
      </c>
    </row>
    <row r="96" spans="1:3" x14ac:dyDescent="0.3">
      <c r="A96" t="s">
        <v>185</v>
      </c>
      <c r="B96" t="s">
        <v>186</v>
      </c>
      <c r="C96" t="s">
        <v>7</v>
      </c>
    </row>
    <row r="97" spans="1:3" x14ac:dyDescent="0.3">
      <c r="A97" t="s">
        <v>187</v>
      </c>
      <c r="B97" t="s">
        <v>188</v>
      </c>
      <c r="C97" t="s">
        <v>7</v>
      </c>
    </row>
    <row r="98" spans="1:3" x14ac:dyDescent="0.3">
      <c r="A98" t="s">
        <v>189</v>
      </c>
      <c r="B98" t="s">
        <v>190</v>
      </c>
      <c r="C98" t="s">
        <v>7</v>
      </c>
    </row>
    <row r="99" spans="1:3" x14ac:dyDescent="0.3">
      <c r="A99" t="s">
        <v>191</v>
      </c>
      <c r="B99" t="s">
        <v>190</v>
      </c>
      <c r="C99" t="s">
        <v>7</v>
      </c>
    </row>
    <row r="100" spans="1:3" x14ac:dyDescent="0.3">
      <c r="A100" t="s">
        <v>192</v>
      </c>
      <c r="B100" t="s">
        <v>190</v>
      </c>
      <c r="C100" t="s">
        <v>7</v>
      </c>
    </row>
    <row r="101" spans="1:3" x14ac:dyDescent="0.3">
      <c r="A101" t="s">
        <v>193</v>
      </c>
      <c r="B101" t="s">
        <v>190</v>
      </c>
      <c r="C101" t="s">
        <v>7</v>
      </c>
    </row>
    <row r="102" spans="1:3" x14ac:dyDescent="0.3">
      <c r="A102" t="s">
        <v>194</v>
      </c>
      <c r="B102" t="s">
        <v>190</v>
      </c>
      <c r="C102" t="s">
        <v>7</v>
      </c>
    </row>
    <row r="103" spans="1:3" x14ac:dyDescent="0.3">
      <c r="A103" t="s">
        <v>195</v>
      </c>
      <c r="B103" t="s">
        <v>190</v>
      </c>
      <c r="C103" t="s">
        <v>7</v>
      </c>
    </row>
    <row r="104" spans="1:3" x14ac:dyDescent="0.3">
      <c r="A104" t="s">
        <v>196</v>
      </c>
      <c r="B104" t="s">
        <v>190</v>
      </c>
      <c r="C104" t="s">
        <v>7</v>
      </c>
    </row>
    <row r="105" spans="1:3" x14ac:dyDescent="0.3">
      <c r="A105" t="s">
        <v>197</v>
      </c>
      <c r="B105" t="s">
        <v>190</v>
      </c>
      <c r="C105" t="s">
        <v>7</v>
      </c>
    </row>
    <row r="106" spans="1:3" x14ac:dyDescent="0.3">
      <c r="A106" t="s">
        <v>198</v>
      </c>
      <c r="B106" t="s">
        <v>190</v>
      </c>
      <c r="C106" t="s">
        <v>7</v>
      </c>
    </row>
    <row r="107" spans="1:3" x14ac:dyDescent="0.3">
      <c r="A107" t="s">
        <v>199</v>
      </c>
      <c r="B107" t="s">
        <v>190</v>
      </c>
      <c r="C107" t="s">
        <v>7</v>
      </c>
    </row>
    <row r="108" spans="1:3" x14ac:dyDescent="0.3">
      <c r="A108" t="s">
        <v>200</v>
      </c>
      <c r="B108" t="s">
        <v>190</v>
      </c>
      <c r="C108" t="s">
        <v>7</v>
      </c>
    </row>
    <row r="109" spans="1:3" x14ac:dyDescent="0.3">
      <c r="A109" t="s">
        <v>201</v>
      </c>
      <c r="B109" t="s">
        <v>190</v>
      </c>
      <c r="C109" t="s">
        <v>7</v>
      </c>
    </row>
    <row r="110" spans="1:3" x14ac:dyDescent="0.3">
      <c r="A110" t="s">
        <v>202</v>
      </c>
      <c r="B110" t="s">
        <v>190</v>
      </c>
      <c r="C110" t="s">
        <v>7</v>
      </c>
    </row>
    <row r="111" spans="1:3" x14ac:dyDescent="0.3">
      <c r="A111" t="s">
        <v>203</v>
      </c>
      <c r="B111" t="s">
        <v>190</v>
      </c>
      <c r="C111" t="s">
        <v>7</v>
      </c>
    </row>
    <row r="112" spans="1:3" x14ac:dyDescent="0.3">
      <c r="A112" t="s">
        <v>204</v>
      </c>
      <c r="B112" t="s">
        <v>190</v>
      </c>
      <c r="C112" t="s">
        <v>7</v>
      </c>
    </row>
    <row r="113" spans="1:3" x14ac:dyDescent="0.3">
      <c r="A113" t="s">
        <v>205</v>
      </c>
      <c r="B113" t="s">
        <v>190</v>
      </c>
      <c r="C113" t="s">
        <v>7</v>
      </c>
    </row>
    <row r="114" spans="1:3" x14ac:dyDescent="0.3">
      <c r="A114" t="s">
        <v>206</v>
      </c>
      <c r="B114" t="s">
        <v>190</v>
      </c>
      <c r="C114" t="s">
        <v>7</v>
      </c>
    </row>
    <row r="115" spans="1:3" x14ac:dyDescent="0.3">
      <c r="A115" t="s">
        <v>207</v>
      </c>
      <c r="B115" t="s">
        <v>190</v>
      </c>
      <c r="C115" t="s">
        <v>7</v>
      </c>
    </row>
    <row r="116" spans="1:3" x14ac:dyDescent="0.3">
      <c r="A116" t="s">
        <v>208</v>
      </c>
      <c r="B116" t="s">
        <v>190</v>
      </c>
      <c r="C116" t="s">
        <v>7</v>
      </c>
    </row>
    <row r="117" spans="1:3" x14ac:dyDescent="0.3">
      <c r="A117" t="s">
        <v>209</v>
      </c>
      <c r="B117" t="s">
        <v>190</v>
      </c>
      <c r="C117" t="s">
        <v>7</v>
      </c>
    </row>
    <row r="118" spans="1:3" x14ac:dyDescent="0.3">
      <c r="A118" t="s">
        <v>210</v>
      </c>
      <c r="B118" t="s">
        <v>190</v>
      </c>
      <c r="C118" t="s">
        <v>7</v>
      </c>
    </row>
    <row r="119" spans="1:3" x14ac:dyDescent="0.3">
      <c r="A119" t="s">
        <v>211</v>
      </c>
      <c r="B119" t="s">
        <v>190</v>
      </c>
      <c r="C119" t="s">
        <v>7</v>
      </c>
    </row>
    <row r="120" spans="1:3" x14ac:dyDescent="0.3">
      <c r="A120" t="s">
        <v>212</v>
      </c>
      <c r="B120" t="s">
        <v>190</v>
      </c>
      <c r="C120" t="s">
        <v>7</v>
      </c>
    </row>
    <row r="121" spans="1:3" x14ac:dyDescent="0.3">
      <c r="A121" t="s">
        <v>213</v>
      </c>
      <c r="B121" t="s">
        <v>190</v>
      </c>
      <c r="C121" t="s">
        <v>7</v>
      </c>
    </row>
    <row r="122" spans="1:3" x14ac:dyDescent="0.3">
      <c r="A122" t="s">
        <v>214</v>
      </c>
      <c r="B122" t="s">
        <v>190</v>
      </c>
      <c r="C122" t="s">
        <v>7</v>
      </c>
    </row>
    <row r="123" spans="1:3" x14ac:dyDescent="0.3">
      <c r="A123" t="s">
        <v>215</v>
      </c>
      <c r="B123" t="s">
        <v>190</v>
      </c>
      <c r="C123" t="s">
        <v>7</v>
      </c>
    </row>
    <row r="124" spans="1:3" x14ac:dyDescent="0.3">
      <c r="A124" t="s">
        <v>216</v>
      </c>
      <c r="B124" t="s">
        <v>190</v>
      </c>
      <c r="C124" t="s">
        <v>7</v>
      </c>
    </row>
    <row r="125" spans="1:3" x14ac:dyDescent="0.3">
      <c r="A125" t="s">
        <v>217</v>
      </c>
      <c r="B125" t="s">
        <v>190</v>
      </c>
      <c r="C125" t="s">
        <v>7</v>
      </c>
    </row>
    <row r="126" spans="1:3" x14ac:dyDescent="0.3">
      <c r="A126" t="s">
        <v>218</v>
      </c>
      <c r="B126" t="s">
        <v>190</v>
      </c>
      <c r="C126" t="s">
        <v>7</v>
      </c>
    </row>
    <row r="127" spans="1:3" x14ac:dyDescent="0.3">
      <c r="A127" t="s">
        <v>219</v>
      </c>
      <c r="B127" t="s">
        <v>190</v>
      </c>
      <c r="C127" t="s">
        <v>7</v>
      </c>
    </row>
    <row r="128" spans="1:3" x14ac:dyDescent="0.3">
      <c r="A128" t="s">
        <v>220</v>
      </c>
      <c r="B128" t="s">
        <v>190</v>
      </c>
      <c r="C128" t="s">
        <v>7</v>
      </c>
    </row>
    <row r="129" spans="1:3" x14ac:dyDescent="0.3">
      <c r="A129" t="s">
        <v>221</v>
      </c>
      <c r="B129" t="s">
        <v>190</v>
      </c>
      <c r="C129" t="s">
        <v>7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D404"/>
  <sheetViews>
    <sheetView tabSelected="1" zoomScaleNormal="100" workbookViewId="0">
      <pane xSplit="4" ySplit="2" topLeftCell="E3" activePane="bottomRight" state="frozen"/>
      <selection pane="topRight" activeCell="E1" sqref="E1"/>
      <selection pane="bottomLeft" activeCell="A41" sqref="A41"/>
      <selection pane="bottomRight" activeCell="Q301" sqref="Q301"/>
    </sheetView>
  </sheetViews>
  <sheetFormatPr defaultRowHeight="12" x14ac:dyDescent="0.3"/>
  <cols>
    <col min="1" max="1" width="11.25" style="1" bestFit="1" customWidth="1"/>
    <col min="2" max="2" width="10.375" style="1" customWidth="1"/>
    <col min="3" max="3" width="12.5" style="1" customWidth="1"/>
    <col min="4" max="4" width="24.5" style="1" bestFit="1" customWidth="1"/>
    <col min="5" max="5" width="12.375" style="1" customWidth="1"/>
    <col min="6" max="6" width="15.125" style="1" customWidth="1"/>
    <col min="7" max="7" width="3.875" style="4" customWidth="1"/>
    <col min="8" max="8" width="11.25" style="1" bestFit="1" customWidth="1"/>
    <col min="9" max="9" width="11.125" style="4" customWidth="1"/>
    <col min="10" max="10" width="12" style="4" hidden="1" customWidth="1"/>
    <col min="11" max="11" width="15.75" style="1" bestFit="1" customWidth="1"/>
    <col min="12" max="12" width="36.5" style="1" customWidth="1"/>
    <col min="13" max="14" width="17.125" style="1" customWidth="1"/>
    <col min="15" max="15" width="1.875" style="1" customWidth="1"/>
    <col min="16" max="16" width="4.125" style="1" customWidth="1"/>
    <col min="17" max="17" width="6.125" style="1" bestFit="1" customWidth="1"/>
    <col min="18" max="18" width="21" style="1" bestFit="1" customWidth="1"/>
    <col min="19" max="19" width="5.25" style="1" customWidth="1"/>
    <col min="20" max="20" width="11.5" style="1" bestFit="1" customWidth="1"/>
    <col min="21" max="22" width="10.5" style="1" bestFit="1" customWidth="1"/>
    <col min="23" max="23" width="12.5" style="1" bestFit="1" customWidth="1"/>
    <col min="24" max="24" width="10.5" style="1" bestFit="1" customWidth="1"/>
    <col min="25" max="25" width="0.75" style="1" customWidth="1"/>
    <col min="26" max="26" width="7.25" style="1" bestFit="1" customWidth="1"/>
    <col min="27" max="27" width="11.5" style="1" bestFit="1" customWidth="1"/>
    <col min="28" max="28" width="12.5" style="1" bestFit="1" customWidth="1"/>
    <col min="29" max="29" width="11.5" style="1" bestFit="1" customWidth="1"/>
    <col min="30" max="30" width="53" style="1" bestFit="1" customWidth="1"/>
    <col min="31" max="16384" width="9" style="1"/>
  </cols>
  <sheetData>
    <row r="1" spans="1:30" x14ac:dyDescent="0.3">
      <c r="A1" s="1">
        <v>1</v>
      </c>
      <c r="B1" s="1">
        <f>A1+1</f>
        <v>2</v>
      </c>
      <c r="C1" s="1">
        <f t="shared" ref="C1:K1" si="0">B1+1</f>
        <v>3</v>
      </c>
      <c r="D1" s="1">
        <f t="shared" si="0"/>
        <v>4</v>
      </c>
      <c r="E1" s="1">
        <f t="shared" si="0"/>
        <v>5</v>
      </c>
      <c r="F1" s="1">
        <f t="shared" si="0"/>
        <v>6</v>
      </c>
      <c r="G1" s="4">
        <f t="shared" si="0"/>
        <v>7</v>
      </c>
      <c r="H1" s="1">
        <f t="shared" si="0"/>
        <v>8</v>
      </c>
      <c r="I1" s="4">
        <f t="shared" si="0"/>
        <v>9</v>
      </c>
      <c r="J1" s="4">
        <f t="shared" si="0"/>
        <v>10</v>
      </c>
      <c r="K1" s="1">
        <f t="shared" si="0"/>
        <v>11</v>
      </c>
      <c r="L1" s="1">
        <f t="shared" ref="L1" si="1">K1+1</f>
        <v>12</v>
      </c>
      <c r="M1" s="1">
        <f t="shared" ref="M1" si="2">L1+1</f>
        <v>13</v>
      </c>
      <c r="N1" s="1">
        <f t="shared" ref="N1" si="3">M1+1</f>
        <v>14</v>
      </c>
      <c r="O1" s="1">
        <f t="shared" ref="O1" si="4">N1+1</f>
        <v>15</v>
      </c>
      <c r="P1" s="1">
        <f t="shared" ref="P1" si="5">O1+1</f>
        <v>16</v>
      </c>
      <c r="Q1" s="1">
        <f t="shared" ref="Q1" si="6">P1+1</f>
        <v>17</v>
      </c>
      <c r="R1" s="1">
        <f t="shared" ref="R1" si="7">Q1+1</f>
        <v>18</v>
      </c>
      <c r="S1" s="1">
        <f t="shared" ref="S1" si="8">R1+1</f>
        <v>19</v>
      </c>
      <c r="T1" s="1">
        <f t="shared" ref="T1" si="9">S1+1</f>
        <v>20</v>
      </c>
      <c r="U1" s="1">
        <f t="shared" ref="U1" si="10">T1+1</f>
        <v>21</v>
      </c>
      <c r="V1" s="1">
        <f t="shared" ref="V1" si="11">U1+1</f>
        <v>22</v>
      </c>
      <c r="W1" s="1">
        <f t="shared" ref="W1" si="12">V1+1</f>
        <v>23</v>
      </c>
      <c r="X1" s="1">
        <f t="shared" ref="X1" si="13">W1+1</f>
        <v>24</v>
      </c>
      <c r="Y1" s="1">
        <f t="shared" ref="Y1" si="14">X1+1</f>
        <v>25</v>
      </c>
      <c r="Z1" s="1">
        <f t="shared" ref="Z1" si="15">Y1+1</f>
        <v>26</v>
      </c>
      <c r="AA1" s="1">
        <f t="shared" ref="AA1" si="16">Z1+1</f>
        <v>27</v>
      </c>
      <c r="AB1" s="1">
        <f t="shared" ref="AB1" si="17">AA1+1</f>
        <v>28</v>
      </c>
      <c r="AC1" s="1">
        <f t="shared" ref="AC1" si="18">AB1+1</f>
        <v>29</v>
      </c>
    </row>
    <row r="2" spans="1:30" ht="27.75" customHeight="1" x14ac:dyDescent="0.3">
      <c r="B2" s="4" t="s">
        <v>238</v>
      </c>
      <c r="C2" s="1" t="s">
        <v>229</v>
      </c>
      <c r="D2" s="2" t="s">
        <v>0</v>
      </c>
      <c r="E2" s="2" t="s">
        <v>1</v>
      </c>
      <c r="F2" s="2" t="s">
        <v>354</v>
      </c>
      <c r="G2" s="2" t="s">
        <v>306</v>
      </c>
      <c r="H2" s="2" t="s">
        <v>307</v>
      </c>
      <c r="I2" s="4" t="s">
        <v>338</v>
      </c>
      <c r="J2" s="4" t="s">
        <v>337</v>
      </c>
      <c r="K2" s="2" t="s">
        <v>505</v>
      </c>
      <c r="L2" s="21" t="s">
        <v>483</v>
      </c>
      <c r="M2" s="22" t="s">
        <v>489</v>
      </c>
      <c r="N2" s="22" t="s">
        <v>490</v>
      </c>
      <c r="O2" s="2" t="s">
        <v>308</v>
      </c>
      <c r="P2" s="5" t="s">
        <v>228</v>
      </c>
      <c r="Q2" s="1" t="s">
        <v>503</v>
      </c>
      <c r="R2" s="1" t="s">
        <v>258</v>
      </c>
      <c r="S2" s="6" t="s">
        <v>504</v>
      </c>
      <c r="T2" s="1" t="s">
        <v>265</v>
      </c>
      <c r="U2" s="1" t="s">
        <v>318</v>
      </c>
      <c r="V2" s="1" t="s">
        <v>319</v>
      </c>
      <c r="W2" s="7" t="s">
        <v>326</v>
      </c>
      <c r="X2" s="1" t="s">
        <v>323</v>
      </c>
      <c r="Y2" s="1" t="s">
        <v>340</v>
      </c>
      <c r="Z2" s="1" t="s">
        <v>239</v>
      </c>
      <c r="AA2" s="1" t="s">
        <v>266</v>
      </c>
      <c r="AB2" s="4" t="s">
        <v>309</v>
      </c>
      <c r="AC2" s="8" t="s">
        <v>264</v>
      </c>
      <c r="AD2" s="1" t="s">
        <v>339</v>
      </c>
    </row>
    <row r="3" spans="1:30" x14ac:dyDescent="0.3">
      <c r="B3" s="4">
        <v>1</v>
      </c>
      <c r="C3" s="4" t="s">
        <v>237</v>
      </c>
      <c r="D3" s="9" t="s">
        <v>459</v>
      </c>
      <c r="E3" s="9" t="str">
        <f>IF(Table13[[#This Row],[template]]="","","0x"&amp;Table13[[#This Row],[IP_Index]]&amp;DEC2HEX(Table13[[#This Row],[Addr_Dec]]*4,7))</f>
        <v>0x00000000</v>
      </c>
      <c r="F3" s="9" t="str">
        <f>IF(Table13[[#This Row],[template]]="","",VLOOKUP(Table13[[#This Row],[template]],Table2915[],2,FALSE))</f>
        <v>asynParamOctet</v>
      </c>
      <c r="G3" s="18" t="str">
        <f>IF(Table13[[#This Row],[template]]="","","1")</f>
        <v>1</v>
      </c>
      <c r="H3" s="10" t="s">
        <v>453</v>
      </c>
      <c r="I3" s="13" t="str">
        <f>IF(Table13[[#This Row],[template]]="","","0x"&amp;Table13[[#This Row],[D_Index]]&amp;"000")</f>
        <v>0x10000000</v>
      </c>
      <c r="J3" s="18"/>
      <c r="K3" s="10">
        <v>0</v>
      </c>
      <c r="L3" s="10"/>
      <c r="M3" s="11" t="str">
        <f>IF(Table13[[#This Row],[template]]="","",VLOOKUP(Table13[[#This Row],[template]],Table2915[],3,FALSE))</f>
        <v xml:space="preserve"> </v>
      </c>
      <c r="N3" s="10"/>
      <c r="O3" s="11"/>
      <c r="P3" s="9" t="str">
        <f>IF(Table13[[#This Row],[template]]="","",Table13[[#This Row],[IP]]&amp;"_"&amp;Table13[[#This Row],[PARAM_NAME]]&amp;IF(Table13[[#This Row],[SUB]]="","","_"&amp;Table13[[#This Row],[SUB]]))</f>
        <v>sys_IOCSTARTTIME</v>
      </c>
      <c r="Q3" s="1" t="s">
        <v>263</v>
      </c>
      <c r="R3" s="1" t="s">
        <v>260</v>
      </c>
      <c r="S3" s="6"/>
      <c r="T3" s="4">
        <v>0</v>
      </c>
      <c r="U3" s="6" t="s">
        <v>362</v>
      </c>
      <c r="V3" s="1" t="s">
        <v>310</v>
      </c>
      <c r="W3" s="12">
        <v>0</v>
      </c>
      <c r="X3" s="6" t="s">
        <v>363</v>
      </c>
      <c r="AA3" s="11">
        <f>IF(Table13[[#This Row],[template]]="","",VLOOKUP(Table13[[#This Row],[IP]],Table51117[],2,FALSE))</f>
        <v>0</v>
      </c>
      <c r="AB3" s="13" t="str">
        <f>IF(Table13[[#This Row],[template]]="","",DEC2HEX(VLOOKUP(Table13[[#This Row],[D1-Type]],Table351218[],2,FALSE),1)&amp;DEC2HEX(VLOOKUP(Table13[[#This Row],[D2-Type]],Table31016[],2,FALSE),1)&amp; DEC2HEX(Table13[[#This Row],[D2-Offset]],2)&amp;DEC2HEX(VLOOKUP(Table13[[#This Row],[D3-Type]],Table371319[],2,FALSE),1))</f>
        <v>10000</v>
      </c>
      <c r="AC3" s="14">
        <f>IF(Table13[[#This Row],[template]]="","",HEX2DEC(Table13[[#This Row],[Addr_Hex]]))</f>
        <v>0</v>
      </c>
    </row>
    <row r="4" spans="1:30" x14ac:dyDescent="0.3">
      <c r="B4" s="4">
        <v>2</v>
      </c>
      <c r="C4" s="4" t="s">
        <v>237</v>
      </c>
      <c r="D4" s="9" t="s">
        <v>269</v>
      </c>
      <c r="E4" s="9" t="str">
        <f>IF(Table13[[#This Row],[template]]="","","0x"&amp;Table13[[#This Row],[IP_Index]]&amp;DEC2HEX(Table13[[#This Row],[Addr_Dec]]*4,7))</f>
        <v>0x00000000</v>
      </c>
      <c r="F4" s="9" t="str">
        <f>IF(Table13[[#This Row],[template]]="","",VLOOKUP(Table13[[#This Row],[template]],Table2915[],2,FALSE))</f>
        <v>asynParamOctet</v>
      </c>
      <c r="G4" s="18" t="str">
        <f>IF(Table13[[#This Row],[template]]="","","1")</f>
        <v>1</v>
      </c>
      <c r="H4" s="10" t="s">
        <v>453</v>
      </c>
      <c r="I4" s="13" t="str">
        <f>IF(Table13[[#This Row],[template]]="","","0x"&amp;Table13[[#This Row],[D_Index]]&amp;"000")</f>
        <v>0x10000000</v>
      </c>
      <c r="J4" s="18"/>
      <c r="K4" s="10">
        <v>0</v>
      </c>
      <c r="L4" s="10"/>
      <c r="M4" s="11" t="str">
        <f>IF(Table13[[#This Row],[template]]="","",VLOOKUP(Table13[[#This Row],[template]],Table2915[],3,FALSE))</f>
        <v xml:space="preserve"> </v>
      </c>
      <c r="N4" s="10"/>
      <c r="O4" s="11"/>
      <c r="P4" s="9" t="str">
        <f>IF(Table13[[#This Row],[template]]="","",Table13[[#This Row],[IP]]&amp;"_"&amp;Table13[[#This Row],[PARAM_NAME]]&amp;IF(Table13[[#This Row],[SUB]]="","","_"&amp;Table13[[#This Row],[SUB]]))</f>
        <v>sys_FIRMWARE</v>
      </c>
      <c r="Q4" s="1" t="s">
        <v>263</v>
      </c>
      <c r="R4" s="1" t="s">
        <v>269</v>
      </c>
      <c r="S4" s="6"/>
      <c r="T4" s="4">
        <v>0</v>
      </c>
      <c r="U4" s="6" t="s">
        <v>362</v>
      </c>
      <c r="V4" s="1" t="s">
        <v>310</v>
      </c>
      <c r="W4" s="16">
        <v>0</v>
      </c>
      <c r="X4" s="6" t="s">
        <v>363</v>
      </c>
      <c r="AA4" s="11">
        <f>IF(Table13[[#This Row],[template]]="","",VLOOKUP(Table13[[#This Row],[IP]],Table51117[],2,FALSE))</f>
        <v>0</v>
      </c>
      <c r="AB4" s="13" t="str">
        <f>IF(Table13[[#This Row],[template]]="","",DEC2HEX(VLOOKUP(Table13[[#This Row],[D1-Type]],Table351218[],2,FALSE),1)&amp;DEC2HEX(VLOOKUP(Table13[[#This Row],[D2-Type]],Table31016[],2,FALSE),1)&amp; DEC2HEX(Table13[[#This Row],[D2-Offset]],2)&amp;DEC2HEX(VLOOKUP(Table13[[#This Row],[D3-Type]],Table371319[],2,FALSE),1))</f>
        <v>10000</v>
      </c>
      <c r="AC4" s="14">
        <f>IF(Table13[[#This Row],[template]]="","",HEX2DEC(Table13[[#This Row],[Addr_Hex]]))</f>
        <v>0</v>
      </c>
    </row>
    <row r="5" spans="1:30" x14ac:dyDescent="0.3">
      <c r="B5" s="4">
        <v>3</v>
      </c>
      <c r="C5" s="4" t="s">
        <v>237</v>
      </c>
      <c r="D5" s="9" t="s">
        <v>270</v>
      </c>
      <c r="E5" s="9" t="str">
        <f>IF(Table13[[#This Row],[template]]="","","0x"&amp;Table13[[#This Row],[IP_Index]]&amp;DEC2HEX(Table13[[#This Row],[Addr_Dec]]*4,7))</f>
        <v>0x00000000</v>
      </c>
      <c r="F5" s="9" t="str">
        <f>IF(Table13[[#This Row],[template]]="","",VLOOKUP(Table13[[#This Row],[template]],Table2915[],2,FALSE))</f>
        <v>asynParamOctet</v>
      </c>
      <c r="G5" s="18" t="str">
        <f>IF(Table13[[#This Row],[template]]="","","1")</f>
        <v>1</v>
      </c>
      <c r="H5" s="10" t="s">
        <v>453</v>
      </c>
      <c r="I5" s="13" t="str">
        <f>IF(Table13[[#This Row],[template]]="","","0x"&amp;Table13[[#This Row],[D_Index]]&amp;"000")</f>
        <v>0x10000000</v>
      </c>
      <c r="J5" s="18"/>
      <c r="K5" s="10">
        <v>0</v>
      </c>
      <c r="L5" s="10"/>
      <c r="M5" s="11" t="str">
        <f>IF(Table13[[#This Row],[template]]="","",VLOOKUP(Table13[[#This Row],[template]],Table2915[],3,FALSE))</f>
        <v xml:space="preserve"> </v>
      </c>
      <c r="N5" s="10"/>
      <c r="O5" s="11"/>
      <c r="P5" s="9" t="str">
        <f>IF(Table13[[#This Row],[template]]="","",Table13[[#This Row],[IP]]&amp;"_"&amp;Table13[[#This Row],[PARAM_NAME]]&amp;IF(Table13[[#This Row],[SUB]]="","","_"&amp;Table13[[#This Row],[SUB]]))</f>
        <v>sys_SOFTWARE</v>
      </c>
      <c r="Q5" s="1" t="s">
        <v>263</v>
      </c>
      <c r="R5" s="1" t="s">
        <v>270</v>
      </c>
      <c r="S5" s="6"/>
      <c r="T5" s="4">
        <v>0</v>
      </c>
      <c r="U5" s="6" t="s">
        <v>362</v>
      </c>
      <c r="V5" s="1" t="s">
        <v>310</v>
      </c>
      <c r="W5" s="16">
        <v>0</v>
      </c>
      <c r="X5" s="6" t="s">
        <v>363</v>
      </c>
      <c r="AA5" s="11">
        <f>IF(Table13[[#This Row],[template]]="","",VLOOKUP(Table13[[#This Row],[IP]],Table51117[],2,FALSE))</f>
        <v>0</v>
      </c>
      <c r="AB5" s="13" t="str">
        <f>IF(Table13[[#This Row],[template]]="","",DEC2HEX(VLOOKUP(Table13[[#This Row],[D1-Type]],Table351218[],2,FALSE),1)&amp;DEC2HEX(VLOOKUP(Table13[[#This Row],[D2-Type]],Table31016[],2,FALSE),1)&amp; DEC2HEX(Table13[[#This Row],[D2-Offset]],2)&amp;DEC2HEX(VLOOKUP(Table13[[#This Row],[D3-Type]],Table371319[],2,FALSE),1))</f>
        <v>10000</v>
      </c>
      <c r="AC5" s="14">
        <f>IF(Table13[[#This Row],[template]]="","",HEX2DEC(Table13[[#This Row],[Addr_Hex]]))</f>
        <v>0</v>
      </c>
    </row>
    <row r="6" spans="1:30" x14ac:dyDescent="0.3">
      <c r="B6" s="4">
        <v>4</v>
      </c>
      <c r="C6" s="4" t="s">
        <v>237</v>
      </c>
      <c r="D6" s="9" t="str">
        <f>UPPER(Table13[[#This Row],[SIGNAL]])</f>
        <v>SYS_EVNAME</v>
      </c>
      <c r="E6" s="9" t="str">
        <f>IF(Table13[[#This Row],[template]]="","","0x"&amp;Table13[[#This Row],[IP_Index]]&amp;DEC2HEX(Table13[[#This Row],[Addr_Dec]]*4,7))</f>
        <v>0x00000000</v>
      </c>
      <c r="F6" s="9" t="str">
        <f>IF(Table13[[#This Row],[template]]="","",VLOOKUP(Table13[[#This Row],[template]],Table2915[],2,FALSE))</f>
        <v>asynParamOctet</v>
      </c>
      <c r="G6" s="18" t="str">
        <f>IF(Table13[[#This Row],[template]]="","","1")</f>
        <v>1</v>
      </c>
      <c r="H6" s="10" t="s">
        <v>453</v>
      </c>
      <c r="I6" s="13" t="str">
        <f>IF(Table13[[#This Row],[template]]="","","0x"&amp;Table13[[#This Row],[D_Index]]&amp;"000")</f>
        <v>0x10000000</v>
      </c>
      <c r="J6" s="18"/>
      <c r="K6" s="10">
        <v>0</v>
      </c>
      <c r="L6" s="10"/>
      <c r="M6" s="11" t="str">
        <f>IF(Table13[[#This Row],[template]]="","",VLOOKUP(Table13[[#This Row],[template]],Table2915[],3,FALSE))</f>
        <v xml:space="preserve"> </v>
      </c>
      <c r="N6" s="10"/>
      <c r="O6" s="11"/>
      <c r="P6" s="9" t="str">
        <f>IF(Table13[[#This Row],[template]]="","",Table13[[#This Row],[IP]]&amp;"_"&amp;Table13[[#This Row],[PARAM_NAME]]&amp;IF(Table13[[#This Row],[SUB]]="","","_"&amp;Table13[[#This Row],[SUB]]))</f>
        <v>sys_evName</v>
      </c>
      <c r="Q6" s="1" t="s">
        <v>263</v>
      </c>
      <c r="R6" s="1" t="s">
        <v>364</v>
      </c>
      <c r="S6" s="6"/>
      <c r="T6" s="4">
        <v>0</v>
      </c>
      <c r="U6" s="6" t="s">
        <v>362</v>
      </c>
      <c r="V6" s="1" t="s">
        <v>310</v>
      </c>
      <c r="W6" s="16">
        <v>0</v>
      </c>
      <c r="X6" s="6" t="s">
        <v>363</v>
      </c>
      <c r="AA6" s="11">
        <f>IF(Table13[[#This Row],[template]]="","",VLOOKUP(Table13[[#This Row],[IP]],Table51117[],2,FALSE))</f>
        <v>0</v>
      </c>
      <c r="AB6" s="13" t="str">
        <f>IF(Table13[[#This Row],[template]]="","",DEC2HEX(VLOOKUP(Table13[[#This Row],[D1-Type]],Table351218[],2,FALSE),1)&amp;DEC2HEX(VLOOKUP(Table13[[#This Row],[D2-Type]],Table31016[],2,FALSE),1)&amp; DEC2HEX(Table13[[#This Row],[D2-Offset]],2)&amp;DEC2HEX(VLOOKUP(Table13[[#This Row],[D3-Type]],Table371319[],2,FALSE),1))</f>
        <v>10000</v>
      </c>
      <c r="AC6" s="14">
        <f>IF(Table13[[#This Row],[template]]="","",HEX2DEC(Table13[[#This Row],[Addr_Hex]]))</f>
        <v>0</v>
      </c>
    </row>
    <row r="7" spans="1:30" x14ac:dyDescent="0.3">
      <c r="B7" s="4">
        <v>5</v>
      </c>
      <c r="C7" s="4" t="s">
        <v>456</v>
      </c>
      <c r="D7" s="9" t="str">
        <f>UPPER(Table13[[#This Row],[SIGNAL]])</f>
        <v>SYS_OPMODE</v>
      </c>
      <c r="E7" s="9" t="str">
        <f>IF(Table13[[#This Row],[template]]="","","0x"&amp;Table13[[#This Row],[IP_Index]]&amp;DEC2HEX(Table13[[#This Row],[Addr_Dec]]*4,7))</f>
        <v>0x00000000</v>
      </c>
      <c r="F7" s="9" t="str">
        <f>IF(Table13[[#This Row],[template]]="","",VLOOKUP(Table13[[#This Row],[template]],Table2915[],2,FALSE))</f>
        <v>asynParamInt32</v>
      </c>
      <c r="G7" s="18" t="str">
        <f>IF(Table13[[#This Row],[template]]="","","1")</f>
        <v>1</v>
      </c>
      <c r="H7" s="10" t="s">
        <v>453</v>
      </c>
      <c r="I7" s="13" t="str">
        <f>IF(Table13[[#This Row],[template]]="","","0x"&amp;Table13[[#This Row],[D_Index]]&amp;"000")</f>
        <v>0x00000000</v>
      </c>
      <c r="J7" s="18"/>
      <c r="K7" s="10">
        <v>0</v>
      </c>
      <c r="L7" s="10"/>
      <c r="M7" s="11" t="str">
        <f>IF(Table13[[#This Row],[template]]="","",VLOOKUP(Table13[[#This Row],[template]],Table2915[],3,FALSE))</f>
        <v xml:space="preserve"> </v>
      </c>
      <c r="N7" s="10"/>
      <c r="O7" s="11"/>
      <c r="P7" s="9" t="str">
        <f>IF(Table13[[#This Row],[template]]="","",Table13[[#This Row],[IP]]&amp;"_"&amp;Table13[[#This Row],[PARAM_NAME]]&amp;IF(Table13[[#This Row],[SUB]]="","","_"&amp;Table13[[#This Row],[SUB]]))</f>
        <v>sys_opMode</v>
      </c>
      <c r="Q7" s="1" t="s">
        <v>263</v>
      </c>
      <c r="R7" s="1" t="s">
        <v>365</v>
      </c>
      <c r="S7" s="6"/>
      <c r="T7" s="4">
        <v>0</v>
      </c>
      <c r="U7" s="6" t="s">
        <v>363</v>
      </c>
      <c r="V7" s="1" t="s">
        <v>310</v>
      </c>
      <c r="W7" s="16">
        <v>0</v>
      </c>
      <c r="X7" s="6" t="s">
        <v>363</v>
      </c>
      <c r="AA7" s="11">
        <f>IF(Table13[[#This Row],[template]]="","",VLOOKUP(Table13[[#This Row],[IP]],Table51117[],2,FALSE))</f>
        <v>0</v>
      </c>
      <c r="AB7" s="13" t="str">
        <f>IF(Table13[[#This Row],[template]]="","",DEC2HEX(VLOOKUP(Table13[[#This Row],[D1-Type]],Table351218[],2,FALSE),1)&amp;DEC2HEX(VLOOKUP(Table13[[#This Row],[D2-Type]],Table31016[],2,FALSE),1)&amp; DEC2HEX(Table13[[#This Row],[D2-Offset]],2)&amp;DEC2HEX(VLOOKUP(Table13[[#This Row],[D3-Type]],Table371319[],2,FALSE),1))</f>
        <v>00000</v>
      </c>
      <c r="AC7" s="14">
        <f>IF(Table13[[#This Row],[template]]="","",HEX2DEC(Table13[[#This Row],[Addr_Hex]]))</f>
        <v>0</v>
      </c>
    </row>
    <row r="8" spans="1:30" x14ac:dyDescent="0.3">
      <c r="B8" s="4">
        <v>6</v>
      </c>
      <c r="C8" s="4"/>
      <c r="D8" s="9" t="str">
        <f>UPPER(Table13[[#This Row],[SIGNAL]])</f>
        <v/>
      </c>
      <c r="E8" s="9" t="str">
        <f>IF(Table13[[#This Row],[template]]="","","0x"&amp;Table13[[#This Row],[IP_Index]]&amp;DEC2HEX(Table13[[#This Row],[Addr_Dec]]*4,7))</f>
        <v/>
      </c>
      <c r="F8" s="9" t="str">
        <f>IF(Table13[[#This Row],[template]]="","",VLOOKUP(Table13[[#This Row],[template]],Table2915[],2,FALSE))</f>
        <v/>
      </c>
      <c r="G8" s="18" t="str">
        <f>IF(Table13[[#This Row],[template]]="","","1")</f>
        <v/>
      </c>
      <c r="H8" s="10"/>
      <c r="I8" s="13" t="str">
        <f>IF(Table13[[#This Row],[template]]="","","0x"&amp;Table13[[#This Row],[D_Index]]&amp;"000")</f>
        <v/>
      </c>
      <c r="J8" s="18"/>
      <c r="K8" s="10">
        <v>0</v>
      </c>
      <c r="L8" s="10"/>
      <c r="M8" s="11" t="str">
        <f>IF(Table13[[#This Row],[template]]="","",VLOOKUP(Table13[[#This Row],[template]],Table2915[],3,FALSE))</f>
        <v/>
      </c>
      <c r="N8" s="10"/>
      <c r="O8" s="11"/>
      <c r="P8" s="9" t="str">
        <f>IF(Table13[[#This Row],[template]]="","",Table13[[#This Row],[IP]]&amp;"_"&amp;Table13[[#This Row],[PARAM_NAME]]&amp;IF(Table13[[#This Row],[SUB]]="","","_"&amp;Table13[[#This Row],[SUB]]))</f>
        <v/>
      </c>
      <c r="S8" s="6"/>
      <c r="T8" s="4"/>
      <c r="U8" s="6"/>
      <c r="W8" s="16"/>
      <c r="X8" s="6"/>
      <c r="AA8" s="11" t="str">
        <f>IF(Table13[[#This Row],[template]]="","",VLOOKUP(Table13[[#This Row],[IP]],Table51117[],2,FALSE))</f>
        <v/>
      </c>
      <c r="AB8" s="13" t="str">
        <f>IF(Table13[[#This Row],[template]]="","",DEC2HEX(VLOOKUP(Table13[[#This Row],[D1-Type]],Table351218[],2,FALSE),1)&amp;DEC2HEX(VLOOKUP(Table13[[#This Row],[D2-Type]],Table31016[],2,FALSE),1)&amp; DEC2HEX(Table13[[#This Row],[D2-Offset]],2)&amp;DEC2HEX(VLOOKUP(Table13[[#This Row],[D3-Type]],Table371319[],2,FALSE),1))</f>
        <v/>
      </c>
      <c r="AC8" s="14" t="str">
        <f>IF(Table13[[#This Row],[template]]="","",HEX2DEC(Table13[[#This Row],[Addr_Hex]]))</f>
        <v/>
      </c>
    </row>
    <row r="9" spans="1:30" x14ac:dyDescent="0.3">
      <c r="B9" s="4">
        <v>7</v>
      </c>
      <c r="C9" s="4" t="s">
        <v>456</v>
      </c>
      <c r="D9" s="9" t="str">
        <f>UPPER(Table13[[#This Row],[SIGNAL]])</f>
        <v>GT_TRACKOK</v>
      </c>
      <c r="E9" s="9" t="str">
        <f>IF(Table13[[#This Row],[template]]="","","0x"&amp;Table13[[#This Row],[IP_Index]]&amp;DEC2HEX(Table13[[#This Row],[Addr_Dec]]*4,7))</f>
        <v>0x20000040</v>
      </c>
      <c r="F9" s="9" t="str">
        <f>IF(Table13[[#This Row],[template]]="","",VLOOKUP(Table13[[#This Row],[template]],Table2915[],2,FALSE))</f>
        <v>asynParamInt32</v>
      </c>
      <c r="G9" s="18" t="str">
        <f>IF(Table13[[#This Row],[template]]="","","1")</f>
        <v>1</v>
      </c>
      <c r="H9" s="10" t="s">
        <v>454</v>
      </c>
      <c r="I9" s="13" t="str">
        <f>IF(Table13[[#This Row],[template]]="","","0x"&amp;Table13[[#This Row],[D_Index]]&amp;"000")</f>
        <v>0x01000000</v>
      </c>
      <c r="J9" s="18"/>
      <c r="K9" s="10">
        <v>0</v>
      </c>
      <c r="L9" s="10"/>
      <c r="M9" s="11" t="str">
        <f>IF(Table13[[#This Row],[template]]="","",VLOOKUP(Table13[[#This Row],[template]],Table2915[],3,FALSE))</f>
        <v xml:space="preserve"> </v>
      </c>
      <c r="N9" s="10"/>
      <c r="O9" s="11"/>
      <c r="P9" s="9" t="str">
        <f>IF(Table13[[#This Row],[template]]="","",Table13[[#This Row],[IP]]&amp;"_"&amp;Table13[[#This Row],[PARAM_NAME]]&amp;IF(Table13[[#This Row],[SUB]]="","","_"&amp;Table13[[#This Row],[SUB]]))</f>
        <v>gt_trackOK</v>
      </c>
      <c r="Q9" s="1" t="s">
        <v>261</v>
      </c>
      <c r="R9" s="1" t="s">
        <v>469</v>
      </c>
      <c r="S9" s="6"/>
      <c r="T9" s="4">
        <v>10</v>
      </c>
      <c r="U9" s="6" t="s">
        <v>363</v>
      </c>
      <c r="V9" s="1" t="s">
        <v>254</v>
      </c>
      <c r="W9" s="16">
        <v>0</v>
      </c>
      <c r="X9" s="6" t="s">
        <v>363</v>
      </c>
      <c r="AA9" s="11">
        <f>IF(Table13[[#This Row],[template]]="","",VLOOKUP(Table13[[#This Row],[IP]],Table51117[],2,FALSE))</f>
        <v>2</v>
      </c>
      <c r="AB9" s="13" t="str">
        <f>IF(Table13[[#This Row],[template]]="","",DEC2HEX(VLOOKUP(Table13[[#This Row],[D1-Type]],Table351218[],2,FALSE),1)&amp;DEC2HEX(VLOOKUP(Table13[[#This Row],[D2-Type]],Table31016[],2,FALSE),1)&amp; DEC2HEX(Table13[[#This Row],[D2-Offset]],2)&amp;DEC2HEX(VLOOKUP(Table13[[#This Row],[D3-Type]],Table371319[],2,FALSE),1))</f>
        <v>01000</v>
      </c>
      <c r="AC9" s="14">
        <f>IF(Table13[[#This Row],[template]]="","",HEX2DEC(Table13[[#This Row],[Addr_Hex]]))</f>
        <v>16</v>
      </c>
    </row>
    <row r="10" spans="1:30" x14ac:dyDescent="0.3">
      <c r="B10" s="4">
        <v>11</v>
      </c>
      <c r="C10" s="4" t="s">
        <v>237</v>
      </c>
      <c r="D10" s="9" t="str">
        <f>UPPER(Table13[[#This Row],[SIGNAL]])</f>
        <v>EV_BUILDTIME</v>
      </c>
      <c r="E10" s="9" t="str">
        <f>IF(Table13[[#This Row],[template]]="","","0x"&amp;Table13[[#This Row],[IP_Index]]&amp;DEC2HEX(Table13[[#This Row],[Addr_Dec]]*4,7))</f>
        <v>0x10000008</v>
      </c>
      <c r="F10" s="9" t="str">
        <f>IF(Table13[[#This Row],[template]]="","",VLOOKUP(Table13[[#This Row],[template]],Table2915[],2,FALSE))</f>
        <v>asynParamOctet</v>
      </c>
      <c r="G10" s="18" t="str">
        <f>IF(Table13[[#This Row],[template]]="","","1")</f>
        <v>1</v>
      </c>
      <c r="H10" s="10" t="s">
        <v>453</v>
      </c>
      <c r="I10" s="13" t="str">
        <f>IF(Table13[[#This Row],[template]]="","","0x"&amp;Table13[[#This Row],[D_Index]]&amp;"000")</f>
        <v>0x01005000</v>
      </c>
      <c r="J10" s="18"/>
      <c r="K10" s="10">
        <v>0</v>
      </c>
      <c r="L10" s="10"/>
      <c r="M10" s="11" t="str">
        <f>IF(Table13[[#This Row],[template]]="","",VLOOKUP(Table13[[#This Row],[template]],Table2915[],3,FALSE))</f>
        <v xml:space="preserve"> </v>
      </c>
      <c r="N10" s="10"/>
      <c r="O10" s="11"/>
      <c r="P10" s="9" t="str">
        <f>IF(Table13[[#This Row],[template]]="","",Table13[[#This Row],[IP]]&amp;"_"&amp;Table13[[#This Row],[PARAM_NAME]]&amp;IF(Table13[[#This Row],[SUB]]="","","_"&amp;Table13[[#This Row],[SUB]]))</f>
        <v>ev_buildTime</v>
      </c>
      <c r="Q10" s="1" t="s">
        <v>262</v>
      </c>
      <c r="R10" s="1" t="s">
        <v>368</v>
      </c>
      <c r="S10" s="6"/>
      <c r="T10" s="4">
        <v>2</v>
      </c>
      <c r="U10" s="6" t="s">
        <v>363</v>
      </c>
      <c r="V10" s="1" t="s">
        <v>254</v>
      </c>
      <c r="W10" s="16">
        <v>0</v>
      </c>
      <c r="X10" s="6" t="s">
        <v>358</v>
      </c>
      <c r="AA10" s="11">
        <f>IF(Table13[[#This Row],[template]]="","",VLOOKUP(Table13[[#This Row],[IP]],Table51117[],2,FALSE))</f>
        <v>1</v>
      </c>
      <c r="AB10" s="13" t="str">
        <f>IF(Table13[[#This Row],[template]]="","",DEC2HEX(VLOOKUP(Table13[[#This Row],[D1-Type]],Table351218[],2,FALSE),1)&amp;DEC2HEX(VLOOKUP(Table13[[#This Row],[D2-Type]],Table31016[],2,FALSE),1)&amp; DEC2HEX(Table13[[#This Row],[D2-Offset]],2)&amp;DEC2HEX(VLOOKUP(Table13[[#This Row],[D3-Type]],Table371319[],2,FALSE),1))</f>
        <v>01005</v>
      </c>
      <c r="AC10" s="14">
        <f>IF(Table13[[#This Row],[template]]="","",HEX2DEC(Table13[[#This Row],[Addr_Hex]]))</f>
        <v>2</v>
      </c>
    </row>
    <row r="11" spans="1:30" x14ac:dyDescent="0.3">
      <c r="B11" s="4">
        <v>13</v>
      </c>
      <c r="C11" s="4" t="s">
        <v>456</v>
      </c>
      <c r="D11" s="9" t="str">
        <f>UPPER(Table13[[#This Row],[SIGNAL]])</f>
        <v>EV_ISMASTER</v>
      </c>
      <c r="E11" s="9" t="str">
        <f>IF(Table13[[#This Row],[template]]="","","0x"&amp;Table13[[#This Row],[IP_Index]]&amp;DEC2HEX(Table13[[#This Row],[Addr_Dec]]*4,7))</f>
        <v>0x10000048</v>
      </c>
      <c r="F11" s="9" t="str">
        <f>IF(Table13[[#This Row],[template]]="","",VLOOKUP(Table13[[#This Row],[template]],Table2915[],2,FALSE))</f>
        <v>asynParamInt32</v>
      </c>
      <c r="G11" s="18" t="str">
        <f>IF(Table13[[#This Row],[template]]="","","1")</f>
        <v>1</v>
      </c>
      <c r="H11" s="10" t="s">
        <v>453</v>
      </c>
      <c r="I11" s="13" t="str">
        <f>IF(Table13[[#This Row],[template]]="","","0x"&amp;Table13[[#This Row],[D_Index]]&amp;"000")</f>
        <v>0x061F0000</v>
      </c>
      <c r="J11" s="18"/>
      <c r="K11" s="10">
        <v>0</v>
      </c>
      <c r="L11" s="10"/>
      <c r="M11" s="11" t="str">
        <f>IF(Table13[[#This Row],[template]]="","",VLOOKUP(Table13[[#This Row],[template]],Table2915[],3,FALSE))</f>
        <v xml:space="preserve"> </v>
      </c>
      <c r="N11" s="10"/>
      <c r="O11" s="11"/>
      <c r="P11" s="9" t="str">
        <f>IF(Table13[[#This Row],[template]]="","",Table13[[#This Row],[IP]]&amp;"_"&amp;Table13[[#This Row],[PARAM_NAME]]&amp;IF(Table13[[#This Row],[SUB]]="","","_"&amp;Table13[[#This Row],[SUB]]))</f>
        <v>ev_isMaster</v>
      </c>
      <c r="Q11" s="1" t="s">
        <v>262</v>
      </c>
      <c r="R11" s="1" t="s">
        <v>369</v>
      </c>
      <c r="S11" s="6"/>
      <c r="T11" s="4">
        <v>12</v>
      </c>
      <c r="U11" s="6" t="s">
        <v>363</v>
      </c>
      <c r="V11" s="1" t="s">
        <v>315</v>
      </c>
      <c r="W11" s="16">
        <v>31</v>
      </c>
      <c r="X11" s="6" t="s">
        <v>363</v>
      </c>
      <c r="AA11" s="11">
        <f>IF(Table13[[#This Row],[template]]="","",VLOOKUP(Table13[[#This Row],[IP]],Table51117[],2,FALSE))</f>
        <v>1</v>
      </c>
      <c r="AB11" s="13" t="str">
        <f>IF(Table13[[#This Row],[template]]="","",DEC2HEX(VLOOKUP(Table13[[#This Row],[D1-Type]],Table351218[],2,FALSE),1)&amp;DEC2HEX(VLOOKUP(Table13[[#This Row],[D2-Type]],Table31016[],2,FALSE),1)&amp; DEC2HEX(Table13[[#This Row],[D2-Offset]],2)&amp;DEC2HEX(VLOOKUP(Table13[[#This Row],[D3-Type]],Table371319[],2,FALSE),1))</f>
        <v>061F0</v>
      </c>
      <c r="AC11" s="14">
        <f>IF(Table13[[#This Row],[template]]="","",HEX2DEC(Table13[[#This Row],[Addr_Hex]]))</f>
        <v>18</v>
      </c>
    </row>
    <row r="12" spans="1:30" x14ac:dyDescent="0.3">
      <c r="B12" s="4">
        <v>14</v>
      </c>
      <c r="C12" s="4"/>
      <c r="D12" s="2"/>
      <c r="E12" s="2"/>
      <c r="F12" s="2"/>
      <c r="H12" s="10"/>
      <c r="M12" s="11" t="str">
        <f>IF(Table13[[#This Row],[template]]="","",VLOOKUP(Table13[[#This Row],[template]],Table2915[],3,FALSE))</f>
        <v/>
      </c>
      <c r="P12" s="2"/>
      <c r="S12" s="6"/>
      <c r="T12" s="4"/>
      <c r="U12" s="6"/>
      <c r="W12" s="16"/>
      <c r="X12" s="6"/>
      <c r="AB12" s="4"/>
      <c r="AC12" s="17"/>
    </row>
    <row r="13" spans="1:30" x14ac:dyDescent="0.3">
      <c r="B13" s="4">
        <v>15</v>
      </c>
      <c r="C13" s="4" t="s">
        <v>456</v>
      </c>
      <c r="D13" s="9" t="str">
        <f>UPPER(Table13[[#This Row],[SIGNAL]])</f>
        <v>EV_FAN_A</v>
      </c>
      <c r="E13" s="9" t="str">
        <f>IF(Table13[[#This Row],[template]]="","","0x"&amp;Table13[[#This Row],[IP_Index]]&amp;DEC2HEX(Table13[[#This Row],[Addr_Dec]]*4,7))</f>
        <v>0x10000040</v>
      </c>
      <c r="F13" s="9" t="str">
        <f>IF(Table13[[#This Row],[template]]="","",VLOOKUP(Table13[[#This Row],[template]],Table2915[],2,FALSE))</f>
        <v>asynParamInt32</v>
      </c>
      <c r="G13" s="18" t="str">
        <f>IF(Table13[[#This Row],[template]]="","","1")</f>
        <v>1</v>
      </c>
      <c r="H13" s="10" t="s">
        <v>454</v>
      </c>
      <c r="I13" s="13" t="str">
        <f>IF(Table13[[#This Row],[template]]="","","0x"&amp;Table13[[#This Row],[D_Index]]&amp;"000")</f>
        <v>0x01000000</v>
      </c>
      <c r="J13" s="18"/>
      <c r="K13" s="10">
        <v>0</v>
      </c>
      <c r="L13" s="10" t="s">
        <v>513</v>
      </c>
      <c r="M13" s="11" t="str">
        <f>IF(Table13[[#This Row],[template]]="","",VLOOKUP(Table13[[#This Row],[template]],Table2915[],3,FALSE))</f>
        <v xml:space="preserve"> </v>
      </c>
      <c r="N13" s="10"/>
      <c r="O13" s="11"/>
      <c r="P13" s="9" t="str">
        <f>IF(Table13[[#This Row],[template]]="","",Table13[[#This Row],[IP]]&amp;"_"&amp;Table13[[#This Row],[PARAM_NAME]]&amp;IF(Table13[[#This Row],[SUB]]="","","_"&amp;Table13[[#This Row],[SUB]]))</f>
        <v>ev_fan_A</v>
      </c>
      <c r="Q13" s="1" t="s">
        <v>262</v>
      </c>
      <c r="R13" s="1" t="s">
        <v>470</v>
      </c>
      <c r="S13" s="6"/>
      <c r="T13" s="4">
        <v>10</v>
      </c>
      <c r="U13" s="6" t="s">
        <v>363</v>
      </c>
      <c r="V13" s="1" t="s">
        <v>254</v>
      </c>
      <c r="W13" s="16">
        <v>0</v>
      </c>
      <c r="X13" s="6" t="s">
        <v>363</v>
      </c>
      <c r="AA13" s="11">
        <f>IF(Table13[[#This Row],[template]]="","",VLOOKUP(Table13[[#This Row],[IP]],Table51117[],2,FALSE))</f>
        <v>1</v>
      </c>
      <c r="AB13" s="13" t="str">
        <f>IF(Table13[[#This Row],[template]]="","",DEC2HEX(VLOOKUP(Table13[[#This Row],[D1-Type]],Table351218[],2,FALSE),1)&amp;DEC2HEX(VLOOKUP(Table13[[#This Row],[D2-Type]],Table31016[],2,FALSE),1)&amp; DEC2HEX(Table13[[#This Row],[D2-Offset]],2)&amp;DEC2HEX(VLOOKUP(Table13[[#This Row],[D3-Type]],Table371319[],2,FALSE),1))</f>
        <v>01000</v>
      </c>
      <c r="AC13" s="14">
        <f>IF(Table13[[#This Row],[template]]="","",HEX2DEC(Table13[[#This Row],[Addr_Hex]]))</f>
        <v>16</v>
      </c>
    </row>
    <row r="14" spans="1:30" x14ac:dyDescent="0.3">
      <c r="B14" s="4">
        <v>19</v>
      </c>
      <c r="C14" s="4" t="s">
        <v>456</v>
      </c>
      <c r="D14" s="9" t="str">
        <f>UPPER(Table13[[#This Row],[SIGNAL]])</f>
        <v>EV_FAN_B</v>
      </c>
      <c r="E14" s="9" t="str">
        <f>IF(Table13[[#This Row],[template]]="","","0x"&amp;Table13[[#This Row],[IP_Index]]&amp;DEC2HEX(Table13[[#This Row],[Addr_Dec]]*4,7))</f>
        <v>0x10000044</v>
      </c>
      <c r="F14" s="9" t="str">
        <f>IF(Table13[[#This Row],[template]]="","",VLOOKUP(Table13[[#This Row],[template]],Table2915[],2,FALSE))</f>
        <v>asynParamInt32</v>
      </c>
      <c r="G14" s="18" t="str">
        <f>IF(Table13[[#This Row],[template]]="","","1")</f>
        <v>1</v>
      </c>
      <c r="H14" s="10" t="s">
        <v>454</v>
      </c>
      <c r="I14" s="13" t="str">
        <f>IF(Table13[[#This Row],[template]]="","","0x"&amp;Table13[[#This Row],[D_Index]]&amp;"000")</f>
        <v>0x01000000</v>
      </c>
      <c r="J14" s="18"/>
      <c r="K14" s="10">
        <v>0</v>
      </c>
      <c r="L14" s="10" t="s">
        <v>514</v>
      </c>
      <c r="M14" s="11" t="str">
        <f>IF(Table13[[#This Row],[template]]="","",VLOOKUP(Table13[[#This Row],[template]],Table2915[],3,FALSE))</f>
        <v xml:space="preserve"> </v>
      </c>
      <c r="N14" s="10"/>
      <c r="O14" s="11"/>
      <c r="P14" s="9" t="str">
        <f>IF(Table13[[#This Row],[template]]="","",Table13[[#This Row],[IP]]&amp;"_"&amp;Table13[[#This Row],[PARAM_NAME]]&amp;IF(Table13[[#This Row],[SUB]]="","","_"&amp;Table13[[#This Row],[SUB]]))</f>
        <v>ev_fan_B</v>
      </c>
      <c r="Q14" s="1" t="s">
        <v>262</v>
      </c>
      <c r="R14" s="1" t="s">
        <v>471</v>
      </c>
      <c r="S14" s="6"/>
      <c r="T14" s="4">
        <v>11</v>
      </c>
      <c r="U14" s="6" t="s">
        <v>363</v>
      </c>
      <c r="V14" s="1" t="s">
        <v>254</v>
      </c>
      <c r="W14" s="16">
        <v>0</v>
      </c>
      <c r="X14" s="6" t="s">
        <v>363</v>
      </c>
      <c r="AA14" s="11">
        <f>IF(Table13[[#This Row],[template]]="","",VLOOKUP(Table13[[#This Row],[IP]],Table51117[],2,FALSE))</f>
        <v>1</v>
      </c>
      <c r="AB14" s="13" t="str">
        <f>IF(Table13[[#This Row],[template]]="","",DEC2HEX(VLOOKUP(Table13[[#This Row],[D1-Type]],Table351218[],2,FALSE),1)&amp;DEC2HEX(VLOOKUP(Table13[[#This Row],[D2-Type]],Table31016[],2,FALSE),1)&amp; DEC2HEX(Table13[[#This Row],[D2-Offset]],2)&amp;DEC2HEX(VLOOKUP(Table13[[#This Row],[D3-Type]],Table371319[],2,FALSE),1))</f>
        <v>01000</v>
      </c>
      <c r="AC14" s="14">
        <f>IF(Table13[[#This Row],[template]]="","",HEX2DEC(Table13[[#This Row],[Addr_Hex]]))</f>
        <v>17</v>
      </c>
    </row>
    <row r="15" spans="1:30" x14ac:dyDescent="0.3">
      <c r="B15" s="4">
        <v>22</v>
      </c>
      <c r="C15" s="4"/>
      <c r="D15" s="2"/>
      <c r="E15" s="2"/>
      <c r="F15" s="2"/>
      <c r="H15" s="10"/>
      <c r="M15" s="11" t="str">
        <f>IF(Table13[[#This Row],[template]]="","",VLOOKUP(Table13[[#This Row],[template]],Table2915[],3,FALSE))</f>
        <v/>
      </c>
      <c r="P15" s="2"/>
      <c r="S15" s="6"/>
      <c r="T15" s="4"/>
      <c r="U15" s="6"/>
      <c r="W15" s="16"/>
      <c r="X15" s="6"/>
      <c r="AB15" s="4"/>
      <c r="AC15" s="17"/>
    </row>
    <row r="16" spans="1:30" x14ac:dyDescent="0.3">
      <c r="B16" s="4">
        <v>23</v>
      </c>
      <c r="C16" s="4" t="s">
        <v>456</v>
      </c>
      <c r="D16" s="9" t="str">
        <f>UPPER(Table13[[#This Row],[SIGNAL]])</f>
        <v>EV_EVG_STATUS</v>
      </c>
      <c r="E16" s="9" t="str">
        <f>IF(Table13[[#This Row],[template]]="","","0x"&amp;Table13[[#This Row],[IP_Index]]&amp;DEC2HEX(Table13[[#This Row],[Addr_Dec]]*4,7))</f>
        <v>0x10000060</v>
      </c>
      <c r="F16" s="9" t="str">
        <f>IF(Table13[[#This Row],[template]]="","",VLOOKUP(Table13[[#This Row],[template]],Table2915[],2,FALSE))</f>
        <v>asynParamInt32</v>
      </c>
      <c r="G16" s="18" t="str">
        <f>IF(Table13[[#This Row],[template]]="","","1")</f>
        <v>1</v>
      </c>
      <c r="H16" s="10" t="s">
        <v>454</v>
      </c>
      <c r="I16" s="13" t="str">
        <f>IF(Table13[[#This Row],[template]]="","","0x"&amp;Table13[[#This Row],[D_Index]]&amp;"000")</f>
        <v>0x01000000</v>
      </c>
      <c r="J16" s="18"/>
      <c r="K16" s="10">
        <v>0</v>
      </c>
      <c r="L16" s="10"/>
      <c r="M16" s="11" t="str">
        <f>IF(Table13[[#This Row],[template]]="","",VLOOKUP(Table13[[#This Row],[template]],Table2915[],3,FALSE))</f>
        <v xml:space="preserve"> </v>
      </c>
      <c r="N16" s="10"/>
      <c r="O16" s="11"/>
      <c r="P16" s="9" t="str">
        <f>IF(Table13[[#This Row],[template]]="","",Table13[[#This Row],[IP]]&amp;"_"&amp;Table13[[#This Row],[PARAM_NAME]]&amp;IF(Table13[[#This Row],[SUB]]="","","_"&amp;Table13[[#This Row],[SUB]]))</f>
        <v>ev_evg_status</v>
      </c>
      <c r="Q16" s="1" t="s">
        <v>262</v>
      </c>
      <c r="R16" s="1" t="s">
        <v>468</v>
      </c>
      <c r="S16" s="6"/>
      <c r="T16" s="4">
        <v>18</v>
      </c>
      <c r="U16" s="6" t="s">
        <v>363</v>
      </c>
      <c r="V16" s="1" t="s">
        <v>254</v>
      </c>
      <c r="W16" s="16">
        <v>0</v>
      </c>
      <c r="X16" s="6" t="s">
        <v>363</v>
      </c>
      <c r="AA16" s="11">
        <f>IF(Table13[[#This Row],[template]]="","",VLOOKUP(Table13[[#This Row],[IP]],Table51117[],2,FALSE))</f>
        <v>1</v>
      </c>
      <c r="AB16" s="13" t="str">
        <f>IF(Table13[[#This Row],[template]]="","",DEC2HEX(VLOOKUP(Table13[[#This Row],[D1-Type]],Table351218[],2,FALSE),1)&amp;DEC2HEX(VLOOKUP(Table13[[#This Row],[D2-Type]],Table31016[],2,FALSE),1)&amp; DEC2HEX(Table13[[#This Row],[D2-Offset]],2)&amp;DEC2HEX(VLOOKUP(Table13[[#This Row],[D3-Type]],Table371319[],2,FALSE),1))</f>
        <v>01000</v>
      </c>
      <c r="AC16" s="14">
        <f>IF(Table13[[#This Row],[template]]="","",HEX2DEC(Table13[[#This Row],[Addr_Hex]]))</f>
        <v>24</v>
      </c>
    </row>
    <row r="17" spans="2:29" x14ac:dyDescent="0.3">
      <c r="B17" s="4">
        <v>27</v>
      </c>
      <c r="C17" s="4"/>
      <c r="D17" s="2"/>
      <c r="E17" s="2"/>
      <c r="F17" s="2"/>
      <c r="H17" s="10"/>
      <c r="M17" s="11" t="str">
        <f>IF(Table13[[#This Row],[template]]="","",VLOOKUP(Table13[[#This Row],[template]],Table2915[],3,FALSE))</f>
        <v/>
      </c>
      <c r="P17" s="2"/>
      <c r="S17" s="6"/>
      <c r="T17" s="4"/>
      <c r="U17" s="6"/>
      <c r="W17" s="16"/>
      <c r="X17" s="6"/>
      <c r="AB17" s="4"/>
      <c r="AC17" s="17"/>
    </row>
    <row r="18" spans="2:29" x14ac:dyDescent="0.3">
      <c r="B18" s="4">
        <v>28</v>
      </c>
      <c r="C18" s="4" t="s">
        <v>456</v>
      </c>
      <c r="D18" s="9" t="str">
        <f>UPPER(Table13[[#This Row],[SIGNAL]])</f>
        <v>EV_TX_EVCODE_CNTR</v>
      </c>
      <c r="E18" s="9" t="str">
        <f>IF(Table13[[#This Row],[template]]="","","0x"&amp;Table13[[#This Row],[IP_Index]]&amp;DEC2HEX(Table13[[#This Row],[Addr_Dec]]*4,7))</f>
        <v>0x10000070</v>
      </c>
      <c r="F18" s="9" t="str">
        <f>IF(Table13[[#This Row],[template]]="","",VLOOKUP(Table13[[#This Row],[template]],Table2915[],2,FALSE))</f>
        <v>asynParamInt32</v>
      </c>
      <c r="G18" s="18" t="str">
        <f>IF(Table13[[#This Row],[template]]="","","1")</f>
        <v>1</v>
      </c>
      <c r="H18" s="10" t="s">
        <v>454</v>
      </c>
      <c r="I18" s="13" t="str">
        <f>IF(Table13[[#This Row],[template]]="","","0x"&amp;Table13[[#This Row],[D_Index]]&amp;"000")</f>
        <v>0x01000000</v>
      </c>
      <c r="J18" s="18"/>
      <c r="K18" s="10">
        <v>0</v>
      </c>
      <c r="L18" s="10"/>
      <c r="M18" s="11" t="str">
        <f>IF(Table13[[#This Row],[template]]="","",VLOOKUP(Table13[[#This Row],[template]],Table2915[],3,FALSE))</f>
        <v xml:space="preserve"> </v>
      </c>
      <c r="N18" s="10"/>
      <c r="O18" s="11"/>
      <c r="P18" s="9" t="str">
        <f>IF(Table13[[#This Row],[template]]="","",Table13[[#This Row],[IP]]&amp;"_"&amp;Table13[[#This Row],[PARAM_NAME]]&amp;IF(Table13[[#This Row],[SUB]]="","","_"&amp;Table13[[#This Row],[SUB]]))</f>
        <v>ev_tx_evCode_cntr</v>
      </c>
      <c r="Q18" s="1" t="s">
        <v>262</v>
      </c>
      <c r="R18" s="1" t="s">
        <v>467</v>
      </c>
      <c r="S18" s="6"/>
      <c r="T18" s="4" t="s">
        <v>373</v>
      </c>
      <c r="U18" s="6" t="s">
        <v>363</v>
      </c>
      <c r="V18" s="1" t="s">
        <v>254</v>
      </c>
      <c r="W18" s="16">
        <v>0</v>
      </c>
      <c r="X18" s="6" t="s">
        <v>363</v>
      </c>
      <c r="AA18" s="11">
        <f>IF(Table13[[#This Row],[template]]="","",VLOOKUP(Table13[[#This Row],[IP]],Table51117[],2,FALSE))</f>
        <v>1</v>
      </c>
      <c r="AB18" s="13" t="str">
        <f>IF(Table13[[#This Row],[template]]="","",DEC2HEX(VLOOKUP(Table13[[#This Row],[D1-Type]],Table351218[],2,FALSE),1)&amp;DEC2HEX(VLOOKUP(Table13[[#This Row],[D2-Type]],Table31016[],2,FALSE),1)&amp; DEC2HEX(Table13[[#This Row],[D2-Offset]],2)&amp;DEC2HEX(VLOOKUP(Table13[[#This Row],[D3-Type]],Table371319[],2,FALSE),1))</f>
        <v>01000</v>
      </c>
      <c r="AC18" s="14">
        <f>IF(Table13[[#This Row],[template]]="","",HEX2DEC(Table13[[#This Row],[Addr_Hex]]))</f>
        <v>28</v>
      </c>
    </row>
    <row r="19" spans="2:29" x14ac:dyDescent="0.3">
      <c r="B19" s="4">
        <v>32</v>
      </c>
      <c r="C19" s="4" t="s">
        <v>456</v>
      </c>
      <c r="D19" s="9" t="str">
        <f>UPPER(Table13[[#This Row],[SIGNAL]])</f>
        <v>EV_RX_EVCODE_CNTR</v>
      </c>
      <c r="E19" s="9" t="str">
        <f>IF(Table13[[#This Row],[template]]="","","0x"&amp;Table13[[#This Row],[IP_Index]]&amp;DEC2HEX(Table13[[#This Row],[Addr_Dec]]*4,7))</f>
        <v>0x10000080</v>
      </c>
      <c r="F19" s="9" t="str">
        <f>IF(Table13[[#This Row],[template]]="","",VLOOKUP(Table13[[#This Row],[template]],Table2915[],2,FALSE))</f>
        <v>asynParamInt32</v>
      </c>
      <c r="G19" s="18" t="str">
        <f>IF(Table13[[#This Row],[template]]="","","1")</f>
        <v>1</v>
      </c>
      <c r="H19" s="10" t="s">
        <v>454</v>
      </c>
      <c r="I19" s="13" t="str">
        <f>IF(Table13[[#This Row],[template]]="","","0x"&amp;Table13[[#This Row],[D_Index]]&amp;"000")</f>
        <v>0x01000000</v>
      </c>
      <c r="J19" s="18"/>
      <c r="K19" s="10">
        <v>0</v>
      </c>
      <c r="L19" s="10"/>
      <c r="M19" s="11" t="str">
        <f>IF(Table13[[#This Row],[template]]="","",VLOOKUP(Table13[[#This Row],[template]],Table2915[],3,FALSE))</f>
        <v xml:space="preserve"> </v>
      </c>
      <c r="N19" s="10"/>
      <c r="O19" s="11"/>
      <c r="P19" s="9" t="str">
        <f>IF(Table13[[#This Row],[template]]="","",Table13[[#This Row],[IP]]&amp;"_"&amp;Table13[[#This Row],[PARAM_NAME]]&amp;IF(Table13[[#This Row],[SUB]]="","","_"&amp;Table13[[#This Row],[SUB]]))</f>
        <v>ev_rx_evCode_cntr</v>
      </c>
      <c r="Q19" s="1" t="s">
        <v>262</v>
      </c>
      <c r="R19" s="1" t="s">
        <v>466</v>
      </c>
      <c r="S19" s="6"/>
      <c r="T19" s="4">
        <v>20</v>
      </c>
      <c r="U19" s="6" t="s">
        <v>363</v>
      </c>
      <c r="V19" s="1" t="s">
        <v>254</v>
      </c>
      <c r="W19" s="16">
        <v>0</v>
      </c>
      <c r="X19" s="6" t="s">
        <v>363</v>
      </c>
      <c r="AA19" s="11">
        <f>IF(Table13[[#This Row],[template]]="","",VLOOKUP(Table13[[#This Row],[IP]],Table51117[],2,FALSE))</f>
        <v>1</v>
      </c>
      <c r="AB19" s="13" t="str">
        <f>IF(Table13[[#This Row],[template]]="","",DEC2HEX(VLOOKUP(Table13[[#This Row],[D1-Type]],Table351218[],2,FALSE),1)&amp;DEC2HEX(VLOOKUP(Table13[[#This Row],[D2-Type]],Table31016[],2,FALSE),1)&amp; DEC2HEX(Table13[[#This Row],[D2-Offset]],2)&amp;DEC2HEX(VLOOKUP(Table13[[#This Row],[D3-Type]],Table371319[],2,FALSE),1))</f>
        <v>01000</v>
      </c>
      <c r="AC19" s="14">
        <f>IF(Table13[[#This Row],[template]]="","",HEX2DEC(Table13[[#This Row],[Addr_Hex]]))</f>
        <v>32</v>
      </c>
    </row>
    <row r="20" spans="2:29" x14ac:dyDescent="0.3">
      <c r="B20" s="4">
        <v>35</v>
      </c>
      <c r="C20" s="4"/>
      <c r="D20" s="2"/>
      <c r="E20" s="2"/>
      <c r="F20" s="2"/>
      <c r="H20" s="10"/>
      <c r="M20" s="11" t="str">
        <f>IF(Table13[[#This Row],[template]]="","",VLOOKUP(Table13[[#This Row],[template]],Table2915[],3,FALSE))</f>
        <v/>
      </c>
      <c r="P20" s="2"/>
      <c r="S20" s="6"/>
      <c r="T20" s="4"/>
      <c r="U20" s="6"/>
      <c r="W20" s="16"/>
      <c r="X20" s="6"/>
      <c r="AB20" s="4"/>
      <c r="AC20" s="17"/>
    </row>
    <row r="21" spans="2:29" x14ac:dyDescent="0.3">
      <c r="B21" s="4">
        <v>36</v>
      </c>
      <c r="C21" s="4" t="s">
        <v>456</v>
      </c>
      <c r="D21" s="9" t="str">
        <f>UPPER(Table13[[#This Row],[SIGNAL]])</f>
        <v>EV_EMERGENCYSTOPCNTR</v>
      </c>
      <c r="E21" s="9" t="str">
        <f>IF(Table13[[#This Row],[template]]="","","0x"&amp;Table13[[#This Row],[IP_Index]]&amp;DEC2HEX(Table13[[#This Row],[Addr_Dec]]*4,7))</f>
        <v>0x10000088</v>
      </c>
      <c r="F21" s="9" t="str">
        <f>IF(Table13[[#This Row],[template]]="","",VLOOKUP(Table13[[#This Row],[template]],Table2915[],2,FALSE))</f>
        <v>asynParamInt32</v>
      </c>
      <c r="G21" s="18" t="str">
        <f>IF(Table13[[#This Row],[template]]="","","1")</f>
        <v>1</v>
      </c>
      <c r="H21" s="10" t="s">
        <v>454</v>
      </c>
      <c r="I21" s="13" t="str">
        <f>IF(Table13[[#This Row],[template]]="","","0x"&amp;Table13[[#This Row],[D_Index]]&amp;"000")</f>
        <v>0x02000000</v>
      </c>
      <c r="J21" s="18"/>
      <c r="K21" s="10">
        <v>0</v>
      </c>
      <c r="L21" s="10"/>
      <c r="M21" s="11" t="str">
        <f>IF(Table13[[#This Row],[template]]="","",VLOOKUP(Table13[[#This Row],[template]],Table2915[],3,FALSE))</f>
        <v xml:space="preserve"> </v>
      </c>
      <c r="N21" s="10"/>
      <c r="O21" s="11"/>
      <c r="P21" s="9" t="str">
        <f>IF(Table13[[#This Row],[template]]="","",Table13[[#This Row],[IP]]&amp;"_"&amp;Table13[[#This Row],[PARAM_NAME]]&amp;IF(Table13[[#This Row],[SUB]]="","","_"&amp;Table13[[#This Row],[SUB]]))</f>
        <v>ev_emergencyStopCntr</v>
      </c>
      <c r="Q21" s="1" t="s">
        <v>262</v>
      </c>
      <c r="R21" s="1" t="s">
        <v>377</v>
      </c>
      <c r="S21" s="6"/>
      <c r="T21" s="4">
        <v>22</v>
      </c>
      <c r="U21" s="6" t="s">
        <v>363</v>
      </c>
      <c r="V21" s="1" t="s">
        <v>311</v>
      </c>
      <c r="W21" s="16">
        <v>0</v>
      </c>
      <c r="X21" s="6" t="s">
        <v>363</v>
      </c>
      <c r="AA21" s="11">
        <f>IF(Table13[[#This Row],[template]]="","",VLOOKUP(Table13[[#This Row],[IP]],Table51117[],2,FALSE))</f>
        <v>1</v>
      </c>
      <c r="AB21" s="13" t="str">
        <f>IF(Table13[[#This Row],[template]]="","",DEC2HEX(VLOOKUP(Table13[[#This Row],[D1-Type]],Table351218[],2,FALSE),1)&amp;DEC2HEX(VLOOKUP(Table13[[#This Row],[D2-Type]],Table31016[],2,FALSE),1)&amp; DEC2HEX(Table13[[#This Row],[D2-Offset]],2)&amp;DEC2HEX(VLOOKUP(Table13[[#This Row],[D3-Type]],Table371319[],2,FALSE),1))</f>
        <v>02000</v>
      </c>
      <c r="AC21" s="14">
        <f>IF(Table13[[#This Row],[template]]="","",HEX2DEC(Table13[[#This Row],[Addr_Hex]]))</f>
        <v>34</v>
      </c>
    </row>
    <row r="22" spans="2:29" x14ac:dyDescent="0.3">
      <c r="B22" s="4">
        <v>37</v>
      </c>
      <c r="C22" s="4"/>
      <c r="D22" s="9" t="str">
        <f>UPPER(Table13[[#This Row],[SIGNAL]])</f>
        <v/>
      </c>
      <c r="E22" s="9" t="str">
        <f>IF(Table13[[#This Row],[template]]="","","0x"&amp;Table13[[#This Row],[IP_Index]]&amp;DEC2HEX(Table13[[#This Row],[Addr_Dec]]*4,7))</f>
        <v/>
      </c>
      <c r="F22" s="9" t="str">
        <f>IF(Table13[[#This Row],[template]]="","",VLOOKUP(Table13[[#This Row],[template]],Table2915[],2,FALSE))</f>
        <v/>
      </c>
      <c r="G22" s="18" t="str">
        <f>IF(Table13[[#This Row],[template]]="","","1")</f>
        <v/>
      </c>
      <c r="H22" s="10"/>
      <c r="I22" s="13" t="str">
        <f>IF(Table13[[#This Row],[template]]="","","0x"&amp;Table13[[#This Row],[D_Index]]&amp;"000")</f>
        <v/>
      </c>
      <c r="J22" s="18"/>
      <c r="K22" s="10"/>
      <c r="L22" s="10"/>
      <c r="M22" s="11" t="str">
        <f>IF(Table13[[#This Row],[template]]="","",VLOOKUP(Table13[[#This Row],[template]],Table2915[],3,FALSE))</f>
        <v/>
      </c>
      <c r="N22" s="10"/>
      <c r="O22" s="11"/>
      <c r="P22" s="9" t="str">
        <f>IF(Table13[[#This Row],[template]]="","",Table13[[#This Row],[IP]]&amp;"_"&amp;Table13[[#This Row],[PARAM_NAME]]&amp;IF(Table13[[#This Row],[SUB]]="","","_"&amp;Table13[[#This Row],[SUB]]))</f>
        <v/>
      </c>
      <c r="S22" s="6"/>
      <c r="T22" s="4"/>
      <c r="U22" s="6"/>
      <c r="W22" s="16"/>
      <c r="X22" s="6"/>
      <c r="AA22" s="11" t="str">
        <f>IF(Table13[[#This Row],[template]]="","",VLOOKUP(Table13[[#This Row],[IP]],Table51117[],2,FALSE))</f>
        <v/>
      </c>
      <c r="AB22" s="13" t="str">
        <f>IF(Table13[[#This Row],[template]]="","",DEC2HEX(VLOOKUP(Table13[[#This Row],[D1-Type]],Table351218[],2,FALSE),1)&amp;DEC2HEX(VLOOKUP(Table13[[#This Row],[D2-Type]],Table31016[],2,FALSE),1)&amp; DEC2HEX(Table13[[#This Row],[D2-Offset]],2)&amp;DEC2HEX(VLOOKUP(Table13[[#This Row],[D3-Type]],Table371319[],2,FALSE),1))</f>
        <v/>
      </c>
      <c r="AC22" s="14" t="str">
        <f>IF(Table13[[#This Row],[template]]="","",HEX2DEC(Table13[[#This Row],[Addr_Hex]]))</f>
        <v/>
      </c>
    </row>
    <row r="23" spans="2:29" x14ac:dyDescent="0.3">
      <c r="B23" s="4">
        <v>38</v>
      </c>
      <c r="C23" s="4" t="s">
        <v>456</v>
      </c>
      <c r="D23" s="9" t="str">
        <f>UPPER(Table13[[#This Row],[SIGNAL]])</f>
        <v>EV_PDPRUNSTT</v>
      </c>
      <c r="E23" s="9" t="str">
        <f>IF(Table13[[#This Row],[template]]="","","0x"&amp;Table13[[#This Row],[IP_Index]]&amp;DEC2HEX(Table13[[#This Row],[Addr_Dec]]*4,7))</f>
        <v>0x1000008C</v>
      </c>
      <c r="F23" s="9" t="str">
        <f>IF(Table13[[#This Row],[template]]="","",VLOOKUP(Table13[[#This Row],[template]],Table2915[],2,FALSE))</f>
        <v>asynParamInt32</v>
      </c>
      <c r="G23" s="18" t="str">
        <f>IF(Table13[[#This Row],[template]]="","","1")</f>
        <v>1</v>
      </c>
      <c r="H23" s="10" t="s">
        <v>454</v>
      </c>
      <c r="I23" s="13" t="str">
        <f>IF(Table13[[#This Row],[template]]="","","0x"&amp;Table13[[#This Row],[D_Index]]&amp;"000")</f>
        <v>0x01000000</v>
      </c>
      <c r="J23" s="18"/>
      <c r="K23" s="10">
        <v>0</v>
      </c>
      <c r="L23" s="10" t="s">
        <v>515</v>
      </c>
      <c r="M23" s="11" t="str">
        <f>IF(Table13[[#This Row],[template]]="","",VLOOKUP(Table13[[#This Row],[template]],Table2915[],3,FALSE))</f>
        <v xml:space="preserve"> </v>
      </c>
      <c r="N23" s="10"/>
      <c r="O23" s="11"/>
      <c r="P23" s="9" t="str">
        <f>IF(Table13[[#This Row],[template]]="","",Table13[[#This Row],[IP]]&amp;"_"&amp;Table13[[#This Row],[PARAM_NAME]]&amp;IF(Table13[[#This Row],[SUB]]="","","_"&amp;Table13[[#This Row],[SUB]]))</f>
        <v>ev_pdpRunStt</v>
      </c>
      <c r="Q23" s="1" t="s">
        <v>262</v>
      </c>
      <c r="R23" s="1" t="s">
        <v>378</v>
      </c>
      <c r="S23" s="6"/>
      <c r="T23" s="4">
        <v>23</v>
      </c>
      <c r="U23" s="6" t="s">
        <v>363</v>
      </c>
      <c r="V23" s="1" t="s">
        <v>254</v>
      </c>
      <c r="W23" s="16">
        <v>0</v>
      </c>
      <c r="X23" s="6" t="s">
        <v>363</v>
      </c>
      <c r="AA23" s="11">
        <f>IF(Table13[[#This Row],[template]]="","",VLOOKUP(Table13[[#This Row],[IP]],Table51117[],2,FALSE))</f>
        <v>1</v>
      </c>
      <c r="AB23" s="13" t="str">
        <f>IF(Table13[[#This Row],[template]]="","",DEC2HEX(VLOOKUP(Table13[[#This Row],[D1-Type]],Table351218[],2,FALSE),1)&amp;DEC2HEX(VLOOKUP(Table13[[#This Row],[D2-Type]],Table31016[],2,FALSE),1)&amp; DEC2HEX(Table13[[#This Row],[D2-Offset]],2)&amp;DEC2HEX(VLOOKUP(Table13[[#This Row],[D3-Type]],Table371319[],2,FALSE),1))</f>
        <v>01000</v>
      </c>
      <c r="AC23" s="14">
        <f>IF(Table13[[#This Row],[template]]="","",HEX2DEC(Table13[[#This Row],[Addr_Hex]]))</f>
        <v>35</v>
      </c>
    </row>
    <row r="24" spans="2:29" x14ac:dyDescent="0.3">
      <c r="B24" s="4">
        <v>72</v>
      </c>
      <c r="C24" s="4"/>
      <c r="D24" s="9" t="str">
        <f>UPPER(Table13[[#This Row],[SIGNAL]])</f>
        <v/>
      </c>
      <c r="E24" s="9" t="str">
        <f>IF(Table13[[#This Row],[template]]="","","0x"&amp;Table13[[#This Row],[IP_Index]]&amp;DEC2HEX(Table13[[#This Row],[Addr_Dec]]*4,7))</f>
        <v/>
      </c>
      <c r="F24" s="9" t="str">
        <f>IF(Table13[[#This Row],[template]]="","",VLOOKUP(Table13[[#This Row],[template]],Table2915[],2,FALSE))</f>
        <v/>
      </c>
      <c r="G24" s="18" t="str">
        <f>IF(Table13[[#This Row],[template]]="","","1")</f>
        <v/>
      </c>
      <c r="H24" s="10"/>
      <c r="I24" s="13" t="str">
        <f>IF(Table13[[#This Row],[template]]="","","0x"&amp;Table13[[#This Row],[D_Index]]&amp;"000")</f>
        <v/>
      </c>
      <c r="J24" s="18"/>
      <c r="K24" s="10">
        <v>0</v>
      </c>
      <c r="L24" s="10"/>
      <c r="M24" s="11" t="str">
        <f>IF(Table13[[#This Row],[template]]="","",VLOOKUP(Table13[[#This Row],[template]],Table2915[],3,FALSE))</f>
        <v/>
      </c>
      <c r="N24" s="10"/>
      <c r="O24" s="11"/>
      <c r="P24" s="9" t="str">
        <f>IF(Table13[[#This Row],[template]]="","",Table13[[#This Row],[IP]]&amp;"_"&amp;Table13[[#This Row],[PARAM_NAME]]&amp;IF(Table13[[#This Row],[SUB]]="","","_"&amp;Table13[[#This Row],[SUB]]))</f>
        <v/>
      </c>
      <c r="S24" s="6"/>
      <c r="T24" s="4"/>
      <c r="U24" s="6"/>
      <c r="W24" s="16"/>
      <c r="X24" s="6"/>
      <c r="AA24" s="11" t="str">
        <f>IF(Table13[[#This Row],[template]]="","",VLOOKUP(Table13[[#This Row],[IP]],Table51117[],2,FALSE))</f>
        <v/>
      </c>
      <c r="AB24" s="13" t="str">
        <f>IF(Table13[[#This Row],[template]]="","",DEC2HEX(VLOOKUP(Table13[[#This Row],[D1-Type]],Table351218[],2,FALSE),1)&amp;DEC2HEX(VLOOKUP(Table13[[#This Row],[D2-Type]],Table31016[],2,FALSE),1)&amp; DEC2HEX(Table13[[#This Row],[D2-Offset]],2)&amp;DEC2HEX(VLOOKUP(Table13[[#This Row],[D3-Type]],Table371319[],2,FALSE),1))</f>
        <v/>
      </c>
      <c r="AC24" s="14" t="str">
        <f>IF(Table13[[#This Row],[template]]="","",HEX2DEC(Table13[[#This Row],[Addr_Hex]]))</f>
        <v/>
      </c>
    </row>
    <row r="25" spans="2:29" x14ac:dyDescent="0.3">
      <c r="B25" s="4">
        <v>73</v>
      </c>
      <c r="C25" s="4" t="s">
        <v>237</v>
      </c>
      <c r="D25" s="9" t="str">
        <f>UPPER(Table13[[#This Row],[SIGNAL]])</f>
        <v>EV_EVG_CURRTIME</v>
      </c>
      <c r="E25" s="9" t="str">
        <f>IF(Table13[[#This Row],[template]]="","","0x"&amp;Table13[[#This Row],[IP_Index]]&amp;DEC2HEX(Table13[[#This Row],[Addr_Dec]]*4,7))</f>
        <v>0x10000078</v>
      </c>
      <c r="F25" s="9" t="str">
        <f>IF(Table13[[#This Row],[template]]="","",VLOOKUP(Table13[[#This Row],[template]],Table2915[],2,FALSE))</f>
        <v>asynParamOctet</v>
      </c>
      <c r="G25" s="18" t="str">
        <f>IF(Table13[[#This Row],[template]]="","","1")</f>
        <v>1</v>
      </c>
      <c r="H25" s="10" t="s">
        <v>455</v>
      </c>
      <c r="I25" s="13" t="str">
        <f>IF(Table13[[#This Row],[template]]="","","0x"&amp;Table13[[#This Row],[D_Index]]&amp;"000")</f>
        <v>0x01004000</v>
      </c>
      <c r="J25" s="18"/>
      <c r="K25" s="10" t="s">
        <v>352</v>
      </c>
      <c r="L25" s="10"/>
      <c r="M25" s="11" t="str">
        <f>IF(Table13[[#This Row],[template]]="","",VLOOKUP(Table13[[#This Row],[template]],Table2915[],3,FALSE))</f>
        <v xml:space="preserve"> </v>
      </c>
      <c r="N25" s="10"/>
      <c r="O25" s="11"/>
      <c r="P25" s="9" t="str">
        <f>IF(Table13[[#This Row],[template]]="","",Table13[[#This Row],[IP]]&amp;"_"&amp;Table13[[#This Row],[PARAM_NAME]]&amp;IF(Table13[[#This Row],[SUB]]="","","_"&amp;Table13[[#This Row],[SUB]]))</f>
        <v>ev_evg_CurrTime</v>
      </c>
      <c r="Q25" s="1" t="s">
        <v>262</v>
      </c>
      <c r="R25" s="1" t="s">
        <v>379</v>
      </c>
      <c r="S25" s="6"/>
      <c r="T25" s="4" t="s">
        <v>380</v>
      </c>
      <c r="U25" s="6" t="s">
        <v>363</v>
      </c>
      <c r="V25" s="1" t="s">
        <v>254</v>
      </c>
      <c r="W25" s="16">
        <v>0</v>
      </c>
      <c r="X25" s="6" t="s">
        <v>356</v>
      </c>
      <c r="AA25" s="11">
        <f>IF(Table13[[#This Row],[template]]="","",VLOOKUP(Table13[[#This Row],[IP]],Table51117[],2,FALSE))</f>
        <v>1</v>
      </c>
      <c r="AB25" s="13" t="str">
        <f>IF(Table13[[#This Row],[template]]="","",DEC2HEX(VLOOKUP(Table13[[#This Row],[D1-Type]],Table351218[],2,FALSE),1)&amp;DEC2HEX(VLOOKUP(Table13[[#This Row],[D2-Type]],Table31016[],2,FALSE),1)&amp; DEC2HEX(Table13[[#This Row],[D2-Offset]],2)&amp;DEC2HEX(VLOOKUP(Table13[[#This Row],[D3-Type]],Table371319[],2,FALSE),1))</f>
        <v>01004</v>
      </c>
      <c r="AC25" s="14">
        <f>IF(Table13[[#This Row],[template]]="","",HEX2DEC(Table13[[#This Row],[Addr_Hex]]))</f>
        <v>30</v>
      </c>
    </row>
    <row r="26" spans="2:29" x14ac:dyDescent="0.3">
      <c r="B26" s="4">
        <v>74</v>
      </c>
      <c r="C26" s="4" t="s">
        <v>237</v>
      </c>
      <c r="D26" s="9" t="str">
        <f>UPPER(Table13[[#This Row],[SIGNAL]])</f>
        <v>EV_EVR_CURRTIME</v>
      </c>
      <c r="E26" s="9" t="str">
        <f>IF(Table13[[#This Row],[template]]="","","0x"&amp;Table13[[#This Row],[IP_Index]]&amp;DEC2HEX(Table13[[#This Row],[Addr_Dec]]*4,7))</f>
        <v>0x10000090</v>
      </c>
      <c r="F26" s="9" t="str">
        <f>IF(Table13[[#This Row],[template]]="","",VLOOKUP(Table13[[#This Row],[template]],Table2915[],2,FALSE))</f>
        <v>asynParamOctet</v>
      </c>
      <c r="G26" s="18" t="str">
        <f>IF(Table13[[#This Row],[template]]="","","1")</f>
        <v>1</v>
      </c>
      <c r="H26" s="10" t="s">
        <v>455</v>
      </c>
      <c r="I26" s="13" t="str">
        <f>IF(Table13[[#This Row],[template]]="","","0x"&amp;Table13[[#This Row],[D_Index]]&amp;"000")</f>
        <v>0x01004000</v>
      </c>
      <c r="J26" s="18"/>
      <c r="K26" s="10" t="s">
        <v>352</v>
      </c>
      <c r="L26" s="10"/>
      <c r="M26" s="11" t="str">
        <f>IF(Table13[[#This Row],[template]]="","",VLOOKUP(Table13[[#This Row],[template]],Table2915[],3,FALSE))</f>
        <v xml:space="preserve"> </v>
      </c>
      <c r="N26" s="10"/>
      <c r="O26" s="11"/>
      <c r="P26" s="9" t="str">
        <f>IF(Table13[[#This Row],[template]]="","",Table13[[#This Row],[IP]]&amp;"_"&amp;Table13[[#This Row],[PARAM_NAME]]&amp;IF(Table13[[#This Row],[SUB]]="","","_"&amp;Table13[[#This Row],[SUB]]))</f>
        <v>ev_evr_CurrTime</v>
      </c>
      <c r="Q26" s="1" t="s">
        <v>262</v>
      </c>
      <c r="R26" s="1" t="s">
        <v>381</v>
      </c>
      <c r="S26" s="6"/>
      <c r="T26" s="4">
        <v>24</v>
      </c>
      <c r="U26" s="6" t="s">
        <v>363</v>
      </c>
      <c r="V26" s="1" t="s">
        <v>254</v>
      </c>
      <c r="W26" s="16">
        <v>0</v>
      </c>
      <c r="X26" s="6" t="s">
        <v>356</v>
      </c>
      <c r="AA26" s="11">
        <f>IF(Table13[[#This Row],[template]]="","",VLOOKUP(Table13[[#This Row],[IP]],Table51117[],2,FALSE))</f>
        <v>1</v>
      </c>
      <c r="AB26" s="13" t="str">
        <f>IF(Table13[[#This Row],[template]]="","",DEC2HEX(VLOOKUP(Table13[[#This Row],[D1-Type]],Table351218[],2,FALSE),1)&amp;DEC2HEX(VLOOKUP(Table13[[#This Row],[D2-Type]],Table31016[],2,FALSE),1)&amp; DEC2HEX(Table13[[#This Row],[D2-Offset]],2)&amp;DEC2HEX(VLOOKUP(Table13[[#This Row],[D3-Type]],Table371319[],2,FALSE),1))</f>
        <v>01004</v>
      </c>
      <c r="AC26" s="14">
        <f>IF(Table13[[#This Row],[template]]="","",HEX2DEC(Table13[[#This Row],[Addr_Hex]]))</f>
        <v>36</v>
      </c>
    </row>
    <row r="27" spans="2:29" x14ac:dyDescent="0.3">
      <c r="B27" s="4">
        <v>75</v>
      </c>
      <c r="C27" s="4"/>
      <c r="D27" s="9" t="str">
        <f>UPPER(Table13[[#This Row],[SIGNAL]])</f>
        <v/>
      </c>
      <c r="E27" s="9" t="str">
        <f>IF(Table13[[#This Row],[template]]="","","0x"&amp;Table13[[#This Row],[IP_Index]]&amp;DEC2HEX(Table13[[#This Row],[Addr_Dec]]*4,7))</f>
        <v/>
      </c>
      <c r="F27" s="9" t="str">
        <f>IF(Table13[[#This Row],[template]]="","",VLOOKUP(Table13[[#This Row],[template]],Table2915[],2,FALSE))</f>
        <v/>
      </c>
      <c r="G27" s="18" t="str">
        <f>IF(Table13[[#This Row],[template]]="","","1")</f>
        <v/>
      </c>
      <c r="H27" s="10"/>
      <c r="I27" s="13" t="str">
        <f>IF(Table13[[#This Row],[template]]="","","0x"&amp;Table13[[#This Row],[D_Index]]&amp;"000")</f>
        <v/>
      </c>
      <c r="J27" s="18"/>
      <c r="K27" s="10">
        <v>0</v>
      </c>
      <c r="L27" s="10"/>
      <c r="M27" s="11" t="str">
        <f>IF(Table13[[#This Row],[template]]="","",VLOOKUP(Table13[[#This Row],[template]],Table2915[],3,FALSE))</f>
        <v/>
      </c>
      <c r="N27" s="10"/>
      <c r="O27" s="11"/>
      <c r="P27" s="9" t="str">
        <f>IF(Table13[[#This Row],[template]]="","",Table13[[#This Row],[IP]]&amp;"_"&amp;Table13[[#This Row],[PARAM_NAME]]&amp;IF(Table13[[#This Row],[SUB]]="","","_"&amp;Table13[[#This Row],[SUB]]))</f>
        <v/>
      </c>
      <c r="S27" s="6"/>
      <c r="T27" s="4"/>
      <c r="U27" s="6"/>
      <c r="W27" s="16"/>
      <c r="X27" s="6"/>
      <c r="AA27" s="11" t="str">
        <f>IF(Table13[[#This Row],[template]]="","",VLOOKUP(Table13[[#This Row],[IP]],Table51117[],2,FALSE))</f>
        <v/>
      </c>
      <c r="AB27" s="13" t="str">
        <f>IF(Table13[[#This Row],[template]]="","",DEC2HEX(VLOOKUP(Table13[[#This Row],[D1-Type]],Table351218[],2,FALSE),1)&amp;DEC2HEX(VLOOKUP(Table13[[#This Row],[D2-Type]],Table31016[],2,FALSE),1)&amp; DEC2HEX(Table13[[#This Row],[D2-Offset]],2)&amp;DEC2HEX(VLOOKUP(Table13[[#This Row],[D3-Type]],Table371319[],2,FALSE),1))</f>
        <v/>
      </c>
      <c r="AC27" s="14" t="str">
        <f>IF(Table13[[#This Row],[template]]="","",HEX2DEC(Table13[[#This Row],[Addr_Hex]]))</f>
        <v/>
      </c>
    </row>
    <row r="28" spans="2:29" x14ac:dyDescent="0.3">
      <c r="B28" s="4">
        <v>76</v>
      </c>
      <c r="C28" s="4" t="s">
        <v>233</v>
      </c>
      <c r="D28" s="9" t="str">
        <f>UPPER(Table13[[#This Row],[SIGNAL]])</f>
        <v>EV_EVGW_RST</v>
      </c>
      <c r="E28" s="9" t="str">
        <f>IF(Table13[[#This Row],[template]]="","","0x"&amp;Table13[[#This Row],[IP_Index]]&amp;DEC2HEX(Table13[[#This Row],[Addr_Dec]]*4,7))</f>
        <v>0x100000C0</v>
      </c>
      <c r="F28" s="9" t="str">
        <f>IF(Table13[[#This Row],[template]]="","",VLOOKUP(Table13[[#This Row],[template]],Table2915[],2,FALSE))</f>
        <v>asynParamInt32</v>
      </c>
      <c r="G28" s="18" t="str">
        <f>IF(Table13[[#This Row],[template]]="","","1")</f>
        <v>1</v>
      </c>
      <c r="H28" s="10"/>
      <c r="I28" s="13" t="str">
        <f>IF(Table13[[#This Row],[template]]="","","0x"&amp;Table13[[#This Row],[D_Index]]&amp;"000")</f>
        <v>0x061F1000</v>
      </c>
      <c r="J28" s="18"/>
      <c r="K28" s="10">
        <v>0</v>
      </c>
      <c r="L28" s="10"/>
      <c r="M28" s="11" t="str">
        <f>IF(Table13[[#This Row],[template]]="","",VLOOKUP(Table13[[#This Row],[template]],Table2915[],3,FALSE))</f>
        <v xml:space="preserve"> </v>
      </c>
      <c r="N28" s="10"/>
      <c r="O28" s="11"/>
      <c r="P28" s="9" t="str">
        <f>IF(Table13[[#This Row],[template]]="","",Table13[[#This Row],[IP]]&amp;"_"&amp;Table13[[#This Row],[PARAM_NAME]]&amp;IF(Table13[[#This Row],[SUB]]="","","_"&amp;Table13[[#This Row],[SUB]]))</f>
        <v>ev_evgW_rst</v>
      </c>
      <c r="Q28" s="1" t="s">
        <v>262</v>
      </c>
      <c r="R28" s="1" t="s">
        <v>327</v>
      </c>
      <c r="S28" s="6"/>
      <c r="T28" s="4">
        <v>30</v>
      </c>
      <c r="U28" s="6" t="s">
        <v>363</v>
      </c>
      <c r="V28" s="1" t="s">
        <v>315</v>
      </c>
      <c r="W28" s="16">
        <v>31</v>
      </c>
      <c r="X28" s="6" t="s">
        <v>336</v>
      </c>
      <c r="AA28" s="11">
        <f>IF(Table13[[#This Row],[template]]="","",VLOOKUP(Table13[[#This Row],[IP]],Table51117[],2,FALSE))</f>
        <v>1</v>
      </c>
      <c r="AB28" s="13" t="str">
        <f>IF(Table13[[#This Row],[template]]="","",DEC2HEX(VLOOKUP(Table13[[#This Row],[D1-Type]],Table351218[],2,FALSE),1)&amp;DEC2HEX(VLOOKUP(Table13[[#This Row],[D2-Type]],Table31016[],2,FALSE),1)&amp; DEC2HEX(Table13[[#This Row],[D2-Offset]],2)&amp;DEC2HEX(VLOOKUP(Table13[[#This Row],[D3-Type]],Table371319[],2,FALSE),1))</f>
        <v>061F1</v>
      </c>
      <c r="AC28" s="14">
        <f>IF(Table13[[#This Row],[template]]="","",HEX2DEC(Table13[[#This Row],[Addr_Hex]]))</f>
        <v>48</v>
      </c>
    </row>
    <row r="29" spans="2:29" x14ac:dyDescent="0.3">
      <c r="B29" s="4">
        <v>77</v>
      </c>
      <c r="C29" s="4" t="s">
        <v>233</v>
      </c>
      <c r="D29" s="9" t="str">
        <f>UPPER(Table13[[#This Row],[SIGNAL]])</f>
        <v>EV_IGEN_RST</v>
      </c>
      <c r="E29" s="9" t="str">
        <f>IF(Table13[[#This Row],[template]]="","","0x"&amp;Table13[[#This Row],[IP_Index]]&amp;DEC2HEX(Table13[[#This Row],[Addr_Dec]]*4,7))</f>
        <v>0x100000C0</v>
      </c>
      <c r="F29" s="9" t="str">
        <f>IF(Table13[[#This Row],[template]]="","",VLOOKUP(Table13[[#This Row],[template]],Table2915[],2,FALSE))</f>
        <v>asynParamInt32</v>
      </c>
      <c r="G29" s="18" t="str">
        <f>IF(Table13[[#This Row],[template]]="","","1")</f>
        <v>1</v>
      </c>
      <c r="H29" s="10"/>
      <c r="I29" s="13" t="str">
        <f>IF(Table13[[#This Row],[template]]="","","0x"&amp;Table13[[#This Row],[D_Index]]&amp;"000")</f>
        <v>0x061D1000</v>
      </c>
      <c r="J29" s="18"/>
      <c r="K29" s="10">
        <v>0</v>
      </c>
      <c r="L29" s="10"/>
      <c r="M29" s="11" t="str">
        <f>IF(Table13[[#This Row],[template]]="","",VLOOKUP(Table13[[#This Row],[template]],Table2915[],3,FALSE))</f>
        <v xml:space="preserve"> </v>
      </c>
      <c r="N29" s="10"/>
      <c r="O29" s="11"/>
      <c r="P29" s="9" t="str">
        <f>IF(Table13[[#This Row],[template]]="","",Table13[[#This Row],[IP]]&amp;"_"&amp;Table13[[#This Row],[PARAM_NAME]]&amp;IF(Table13[[#This Row],[SUB]]="","","_"&amp;Table13[[#This Row],[SUB]]))</f>
        <v>ev_igen_rst</v>
      </c>
      <c r="Q29" s="1" t="s">
        <v>262</v>
      </c>
      <c r="R29" s="1" t="s">
        <v>328</v>
      </c>
      <c r="S29" s="6"/>
      <c r="T29" s="4">
        <v>30</v>
      </c>
      <c r="U29" s="6" t="s">
        <v>363</v>
      </c>
      <c r="V29" s="1" t="s">
        <v>315</v>
      </c>
      <c r="W29" s="16">
        <v>29</v>
      </c>
      <c r="X29" s="6" t="s">
        <v>336</v>
      </c>
      <c r="AA29" s="11">
        <f>IF(Table13[[#This Row],[template]]="","",VLOOKUP(Table13[[#This Row],[IP]],Table51117[],2,FALSE))</f>
        <v>1</v>
      </c>
      <c r="AB29" s="13" t="str">
        <f>IF(Table13[[#This Row],[template]]="","",DEC2HEX(VLOOKUP(Table13[[#This Row],[D1-Type]],Table351218[],2,FALSE),1)&amp;DEC2HEX(VLOOKUP(Table13[[#This Row],[D2-Type]],Table31016[],2,FALSE),1)&amp; DEC2HEX(Table13[[#This Row],[D2-Offset]],2)&amp;DEC2HEX(VLOOKUP(Table13[[#This Row],[D3-Type]],Table371319[],2,FALSE),1))</f>
        <v>061D1</v>
      </c>
      <c r="AC29" s="14">
        <f>IF(Table13[[#This Row],[template]]="","",HEX2DEC(Table13[[#This Row],[Addr_Hex]]))</f>
        <v>48</v>
      </c>
    </row>
    <row r="30" spans="2:29" x14ac:dyDescent="0.3">
      <c r="B30" s="4">
        <v>78</v>
      </c>
      <c r="C30" s="4" t="s">
        <v>233</v>
      </c>
      <c r="D30" s="9" t="str">
        <f>UPPER(Table13[[#This Row],[SIGNAL]])</f>
        <v>EV_IDEC_RST</v>
      </c>
      <c r="E30" s="9" t="str">
        <f>IF(Table13[[#This Row],[template]]="","","0x"&amp;Table13[[#This Row],[IP_Index]]&amp;DEC2HEX(Table13[[#This Row],[Addr_Dec]]*4,7))</f>
        <v>0x100000C0</v>
      </c>
      <c r="F30" s="9" t="str">
        <f>IF(Table13[[#This Row],[template]]="","",VLOOKUP(Table13[[#This Row],[template]],Table2915[],2,FALSE))</f>
        <v>asynParamInt32</v>
      </c>
      <c r="G30" s="18" t="str">
        <f>IF(Table13[[#This Row],[template]]="","","1")</f>
        <v>1</v>
      </c>
      <c r="H30" s="10"/>
      <c r="I30" s="13" t="str">
        <f>IF(Table13[[#This Row],[template]]="","","0x"&amp;Table13[[#This Row],[D_Index]]&amp;"000")</f>
        <v>0x061C1000</v>
      </c>
      <c r="J30" s="18"/>
      <c r="K30" s="10">
        <v>0</v>
      </c>
      <c r="L30" s="10"/>
      <c r="M30" s="11" t="str">
        <f>IF(Table13[[#This Row],[template]]="","",VLOOKUP(Table13[[#This Row],[template]],Table2915[],3,FALSE))</f>
        <v xml:space="preserve"> </v>
      </c>
      <c r="N30" s="10"/>
      <c r="O30" s="11"/>
      <c r="P30" s="9" t="str">
        <f>IF(Table13[[#This Row],[template]]="","",Table13[[#This Row],[IP]]&amp;"_"&amp;Table13[[#This Row],[PARAM_NAME]]&amp;IF(Table13[[#This Row],[SUB]]="","","_"&amp;Table13[[#This Row],[SUB]]))</f>
        <v>ev_idec_rst</v>
      </c>
      <c r="Q30" s="1" t="s">
        <v>262</v>
      </c>
      <c r="R30" s="1" t="s">
        <v>329</v>
      </c>
      <c r="S30" s="6"/>
      <c r="T30" s="4">
        <v>30</v>
      </c>
      <c r="U30" s="6" t="s">
        <v>363</v>
      </c>
      <c r="V30" s="1" t="s">
        <v>315</v>
      </c>
      <c r="W30" s="16">
        <v>28</v>
      </c>
      <c r="X30" s="6" t="s">
        <v>336</v>
      </c>
      <c r="AA30" s="11">
        <f>IF(Table13[[#This Row],[template]]="","",VLOOKUP(Table13[[#This Row],[IP]],Table51117[],2,FALSE))</f>
        <v>1</v>
      </c>
      <c r="AB30" s="13" t="str">
        <f>IF(Table13[[#This Row],[template]]="","",DEC2HEX(VLOOKUP(Table13[[#This Row],[D1-Type]],Table351218[],2,FALSE),1)&amp;DEC2HEX(VLOOKUP(Table13[[#This Row],[D2-Type]],Table31016[],2,FALSE),1)&amp; DEC2HEX(Table13[[#This Row],[D2-Offset]],2)&amp;DEC2HEX(VLOOKUP(Table13[[#This Row],[D3-Type]],Table371319[],2,FALSE),1))</f>
        <v>061C1</v>
      </c>
      <c r="AC30" s="14">
        <f>IF(Table13[[#This Row],[template]]="","",HEX2DEC(Table13[[#This Row],[Addr_Hex]]))</f>
        <v>48</v>
      </c>
    </row>
    <row r="31" spans="2:29" x14ac:dyDescent="0.3">
      <c r="B31" s="4">
        <v>81</v>
      </c>
      <c r="C31" s="4" t="s">
        <v>233</v>
      </c>
      <c r="D31" s="9" t="str">
        <f>UPPER(Table13[[#This Row],[SIGNAL]])</f>
        <v>EV_USRTRG</v>
      </c>
      <c r="E31" s="9" t="str">
        <f>IF(Table13[[#This Row],[template]]="","","0x"&amp;Table13[[#This Row],[IP_Index]]&amp;DEC2HEX(Table13[[#This Row],[Addr_Dec]]*4,7))</f>
        <v>0x100000C0</v>
      </c>
      <c r="F31" s="9" t="str">
        <f>IF(Table13[[#This Row],[template]]="","",VLOOKUP(Table13[[#This Row],[template]],Table2915[],2,FALSE))</f>
        <v>asynParamInt32</v>
      </c>
      <c r="G31" s="18" t="str">
        <f>IF(Table13[[#This Row],[template]]="","","1")</f>
        <v>1</v>
      </c>
      <c r="H31" s="10"/>
      <c r="I31" s="13" t="str">
        <f>IF(Table13[[#This Row],[template]]="","","0x"&amp;Table13[[#This Row],[D_Index]]&amp;"000")</f>
        <v>0x06051000</v>
      </c>
      <c r="J31" s="18"/>
      <c r="K31" s="10">
        <v>0</v>
      </c>
      <c r="L31" s="10"/>
      <c r="M31" s="11" t="str">
        <f>IF(Table13[[#This Row],[template]]="","",VLOOKUP(Table13[[#This Row],[template]],Table2915[],3,FALSE))</f>
        <v xml:space="preserve"> </v>
      </c>
      <c r="N31" s="10"/>
      <c r="O31" s="11"/>
      <c r="P31" s="9" t="str">
        <f>IF(Table13[[#This Row],[template]]="","",Table13[[#This Row],[IP]]&amp;"_"&amp;Table13[[#This Row],[PARAM_NAME]]&amp;IF(Table13[[#This Row],[SUB]]="","","_"&amp;Table13[[#This Row],[SUB]]))</f>
        <v>ev_usrTrg</v>
      </c>
      <c r="Q31" s="1" t="s">
        <v>262</v>
      </c>
      <c r="R31" s="1" t="s">
        <v>332</v>
      </c>
      <c r="S31" s="6"/>
      <c r="T31" s="4">
        <v>30</v>
      </c>
      <c r="U31" s="6" t="s">
        <v>363</v>
      </c>
      <c r="V31" s="1" t="s">
        <v>315</v>
      </c>
      <c r="W31" s="16">
        <v>5</v>
      </c>
      <c r="X31" s="6" t="s">
        <v>336</v>
      </c>
      <c r="AA31" s="11">
        <f>IF(Table13[[#This Row],[template]]="","",VLOOKUP(Table13[[#This Row],[IP]],Table51117[],2,FALSE))</f>
        <v>1</v>
      </c>
      <c r="AB31" s="13" t="str">
        <f>IF(Table13[[#This Row],[template]]="","",DEC2HEX(VLOOKUP(Table13[[#This Row],[D1-Type]],Table351218[],2,FALSE),1)&amp;DEC2HEX(VLOOKUP(Table13[[#This Row],[D2-Type]],Table31016[],2,FALSE),1)&amp; DEC2HEX(Table13[[#This Row],[D2-Offset]],2)&amp;DEC2HEX(VLOOKUP(Table13[[#This Row],[D3-Type]],Table371319[],2,FALSE),1))</f>
        <v>06051</v>
      </c>
      <c r="AC31" s="14">
        <f>IF(Table13[[#This Row],[template]]="","",HEX2DEC(Table13[[#This Row],[Addr_Hex]]))</f>
        <v>48</v>
      </c>
    </row>
    <row r="32" spans="2:29" x14ac:dyDescent="0.3">
      <c r="B32" s="4">
        <v>82</v>
      </c>
      <c r="C32" s="4" t="s">
        <v>233</v>
      </c>
      <c r="D32" s="9" t="str">
        <f>UPPER(Table13[[#This Row],[SIGNAL]])</f>
        <v>EV_GETTIME</v>
      </c>
      <c r="E32" s="9" t="str">
        <f>IF(Table13[[#This Row],[template]]="","","0x"&amp;Table13[[#This Row],[IP_Index]]&amp;DEC2HEX(Table13[[#This Row],[Addr_Dec]]*4,7))</f>
        <v>0x100000C0</v>
      </c>
      <c r="F32" s="9" t="str">
        <f>IF(Table13[[#This Row],[template]]="","",VLOOKUP(Table13[[#This Row],[template]],Table2915[],2,FALSE))</f>
        <v>asynParamInt32</v>
      </c>
      <c r="G32" s="18" t="str">
        <f>IF(Table13[[#This Row],[template]]="","","1")</f>
        <v>1</v>
      </c>
      <c r="H32" s="10"/>
      <c r="I32" s="13" t="str">
        <f>IF(Table13[[#This Row],[template]]="","","0x"&amp;Table13[[#This Row],[D_Index]]&amp;"000")</f>
        <v>0x06041000</v>
      </c>
      <c r="J32" s="18"/>
      <c r="K32" s="10">
        <v>0</v>
      </c>
      <c r="L32" s="10"/>
      <c r="M32" s="11" t="str">
        <f>IF(Table13[[#This Row],[template]]="","",VLOOKUP(Table13[[#This Row],[template]],Table2915[],3,FALSE))</f>
        <v xml:space="preserve"> </v>
      </c>
      <c r="N32" s="10"/>
      <c r="O32" s="11"/>
      <c r="P32" s="9" t="str">
        <f>IF(Table13[[#This Row],[template]]="","",Table13[[#This Row],[IP]]&amp;"_"&amp;Table13[[#This Row],[PARAM_NAME]]&amp;IF(Table13[[#This Row],[SUB]]="","","_"&amp;Table13[[#This Row],[SUB]]))</f>
        <v>ev_getTime</v>
      </c>
      <c r="Q32" s="1" t="s">
        <v>262</v>
      </c>
      <c r="R32" s="1" t="s">
        <v>333</v>
      </c>
      <c r="S32" s="6"/>
      <c r="T32" s="4">
        <v>30</v>
      </c>
      <c r="U32" s="6" t="s">
        <v>363</v>
      </c>
      <c r="V32" s="1" t="s">
        <v>315</v>
      </c>
      <c r="W32" s="16">
        <v>4</v>
      </c>
      <c r="X32" s="6" t="s">
        <v>336</v>
      </c>
      <c r="AA32" s="11">
        <f>IF(Table13[[#This Row],[template]]="","",VLOOKUP(Table13[[#This Row],[IP]],Table51117[],2,FALSE))</f>
        <v>1</v>
      </c>
      <c r="AB32" s="13" t="str">
        <f>IF(Table13[[#This Row],[template]]="","",DEC2HEX(VLOOKUP(Table13[[#This Row],[D1-Type]],Table351218[],2,FALSE),1)&amp;DEC2HEX(VLOOKUP(Table13[[#This Row],[D2-Type]],Table31016[],2,FALSE),1)&amp; DEC2HEX(Table13[[#This Row],[D2-Offset]],2)&amp;DEC2HEX(VLOOKUP(Table13[[#This Row],[D3-Type]],Table371319[],2,FALSE),1))</f>
        <v>06041</v>
      </c>
      <c r="AC32" s="14">
        <f>IF(Table13[[#This Row],[template]]="","",HEX2DEC(Table13[[#This Row],[Addr_Hex]]))</f>
        <v>48</v>
      </c>
    </row>
    <row r="33" spans="2:29" x14ac:dyDescent="0.3">
      <c r="B33" s="4">
        <v>83</v>
      </c>
      <c r="C33" s="4" t="s">
        <v>233</v>
      </c>
      <c r="D33" s="9" t="str">
        <f>UPPER(Table13[[#This Row],[SIGNAL]])</f>
        <v>EV_IGEN_SET_TIME</v>
      </c>
      <c r="E33" s="9" t="str">
        <f>IF(Table13[[#This Row],[template]]="","","0x"&amp;Table13[[#This Row],[IP_Index]]&amp;DEC2HEX(Table13[[#This Row],[Addr_Dec]]*4,7))</f>
        <v>0x100000C0</v>
      </c>
      <c r="F33" s="9" t="str">
        <f>IF(Table13[[#This Row],[template]]="","",VLOOKUP(Table13[[#This Row],[template]],Table2915[],2,FALSE))</f>
        <v>asynParamInt32</v>
      </c>
      <c r="G33" s="18" t="str">
        <f>IF(Table13[[#This Row],[template]]="","","1")</f>
        <v>1</v>
      </c>
      <c r="H33" s="10"/>
      <c r="I33" s="13" t="str">
        <f>IF(Table13[[#This Row],[template]]="","","0x"&amp;Table13[[#This Row],[D_Index]]&amp;"000")</f>
        <v>0x06031000</v>
      </c>
      <c r="J33" s="18"/>
      <c r="K33" s="10">
        <v>0</v>
      </c>
      <c r="L33" s="10"/>
      <c r="M33" s="11" t="str">
        <f>IF(Table13[[#This Row],[template]]="","",VLOOKUP(Table13[[#This Row],[template]],Table2915[],3,FALSE))</f>
        <v xml:space="preserve"> </v>
      </c>
      <c r="N33" s="10"/>
      <c r="O33" s="11"/>
      <c r="P33" s="9" t="str">
        <f>IF(Table13[[#This Row],[template]]="","",Table13[[#This Row],[IP]]&amp;"_"&amp;Table13[[#This Row],[PARAM_NAME]]&amp;IF(Table13[[#This Row],[SUB]]="","","_"&amp;Table13[[#This Row],[SUB]]))</f>
        <v>ev_igen_set_time</v>
      </c>
      <c r="Q33" s="1" t="s">
        <v>262</v>
      </c>
      <c r="R33" s="1" t="s">
        <v>334</v>
      </c>
      <c r="S33" s="6"/>
      <c r="T33" s="4">
        <v>30</v>
      </c>
      <c r="U33" s="6" t="s">
        <v>363</v>
      </c>
      <c r="V33" s="1" t="s">
        <v>315</v>
      </c>
      <c r="W33" s="16">
        <v>3</v>
      </c>
      <c r="X33" s="6" t="s">
        <v>336</v>
      </c>
      <c r="AA33" s="11">
        <f>IF(Table13[[#This Row],[template]]="","",VLOOKUP(Table13[[#This Row],[IP]],Table51117[],2,FALSE))</f>
        <v>1</v>
      </c>
      <c r="AB33" s="13" t="str">
        <f>IF(Table13[[#This Row],[template]]="","",DEC2HEX(VLOOKUP(Table13[[#This Row],[D1-Type]],Table351218[],2,FALSE),1)&amp;DEC2HEX(VLOOKUP(Table13[[#This Row],[D2-Type]],Table31016[],2,FALSE),1)&amp; DEC2HEX(Table13[[#This Row],[D2-Offset]],2)&amp;DEC2HEX(VLOOKUP(Table13[[#This Row],[D3-Type]],Table371319[],2,FALSE),1))</f>
        <v>06031</v>
      </c>
      <c r="AC33" s="14">
        <f>IF(Table13[[#This Row],[template]]="","",HEX2DEC(Table13[[#This Row],[Addr_Hex]]))</f>
        <v>48</v>
      </c>
    </row>
    <row r="34" spans="2:29" x14ac:dyDescent="0.3">
      <c r="B34" s="4">
        <v>84</v>
      </c>
      <c r="C34" s="4" t="s">
        <v>233</v>
      </c>
      <c r="D34" s="9" t="str">
        <f>UPPER(Table13[[#This Row],[SIGNAL]])</f>
        <v>EV_SW_EVGW_SET_TIME</v>
      </c>
      <c r="E34" s="9" t="str">
        <f>IF(Table13[[#This Row],[template]]="","","0x"&amp;Table13[[#This Row],[IP_Index]]&amp;DEC2HEX(Table13[[#This Row],[Addr_Dec]]*4,7))</f>
        <v>0x100000C0</v>
      </c>
      <c r="F34" s="9" t="str">
        <f>IF(Table13[[#This Row],[template]]="","",VLOOKUP(Table13[[#This Row],[template]],Table2915[],2,FALSE))</f>
        <v>asynParamInt32</v>
      </c>
      <c r="G34" s="18" t="str">
        <f>IF(Table13[[#This Row],[template]]="","","1")</f>
        <v>1</v>
      </c>
      <c r="H34" s="10"/>
      <c r="I34" s="13" t="str">
        <f>IF(Table13[[#This Row],[template]]="","","0x"&amp;Table13[[#This Row],[D_Index]]&amp;"000")</f>
        <v>0x06021000</v>
      </c>
      <c r="J34" s="18"/>
      <c r="K34" s="10">
        <v>0</v>
      </c>
      <c r="L34" s="10"/>
      <c r="M34" s="11" t="str">
        <f>IF(Table13[[#This Row],[template]]="","",VLOOKUP(Table13[[#This Row],[template]],Table2915[],3,FALSE))</f>
        <v xml:space="preserve"> </v>
      </c>
      <c r="N34" s="10"/>
      <c r="O34" s="11"/>
      <c r="P34" s="9" t="str">
        <f>IF(Table13[[#This Row],[template]]="","",Table13[[#This Row],[IP]]&amp;"_"&amp;Table13[[#This Row],[PARAM_NAME]]&amp;IF(Table13[[#This Row],[SUB]]="","","_"&amp;Table13[[#This Row],[SUB]]))</f>
        <v>ev_sw_evgW_set_time</v>
      </c>
      <c r="Q34" s="1" t="s">
        <v>262</v>
      </c>
      <c r="R34" s="1" t="s">
        <v>335</v>
      </c>
      <c r="S34" s="6"/>
      <c r="T34" s="4">
        <v>30</v>
      </c>
      <c r="U34" s="6" t="s">
        <v>363</v>
      </c>
      <c r="V34" s="1" t="s">
        <v>315</v>
      </c>
      <c r="W34" s="16">
        <v>2</v>
      </c>
      <c r="X34" s="6" t="s">
        <v>336</v>
      </c>
      <c r="AA34" s="11">
        <f>IF(Table13[[#This Row],[template]]="","",VLOOKUP(Table13[[#This Row],[IP]],Table51117[],2,FALSE))</f>
        <v>1</v>
      </c>
      <c r="AB34" s="13" t="str">
        <f>IF(Table13[[#This Row],[template]]="","",DEC2HEX(VLOOKUP(Table13[[#This Row],[D1-Type]],Table351218[],2,FALSE),1)&amp;DEC2HEX(VLOOKUP(Table13[[#This Row],[D2-Type]],Table31016[],2,FALSE),1)&amp; DEC2HEX(Table13[[#This Row],[D2-Offset]],2)&amp;DEC2HEX(VLOOKUP(Table13[[#This Row],[D3-Type]],Table371319[],2,FALSE),1))</f>
        <v>06021</v>
      </c>
      <c r="AC34" s="14">
        <f>IF(Table13[[#This Row],[template]]="","",HEX2DEC(Table13[[#This Row],[Addr_Hex]]))</f>
        <v>48</v>
      </c>
    </row>
    <row r="35" spans="2:29" x14ac:dyDescent="0.3">
      <c r="B35" s="4">
        <v>85</v>
      </c>
      <c r="C35" s="4" t="s">
        <v>233</v>
      </c>
      <c r="D35" s="9" t="str">
        <f>UPPER(Table13[[#This Row],[SIGNAL]])</f>
        <v>EV_SEQTRG_RESUME_0</v>
      </c>
      <c r="E35" s="9" t="str">
        <f>IF(Table13[[#This Row],[template]]="","","0x"&amp;Table13[[#This Row],[IP_Index]]&amp;DEC2HEX(Table13[[#This Row],[Addr_Dec]]*4,7))</f>
        <v>0x100000C0</v>
      </c>
      <c r="F35" s="9" t="str">
        <f>IF(Table13[[#This Row],[template]]="","",VLOOKUP(Table13[[#This Row],[template]],Table2915[],2,FALSE))</f>
        <v>asynParamInt32</v>
      </c>
      <c r="G35" s="18" t="str">
        <f>IF(Table13[[#This Row],[template]]="","","1")</f>
        <v>1</v>
      </c>
      <c r="H35" s="10"/>
      <c r="I35" s="13" t="str">
        <f>IF(Table13[[#This Row],[template]]="","","0x"&amp;Table13[[#This Row],[D_Index]]&amp;"000")</f>
        <v>0x06011000</v>
      </c>
      <c r="J35" s="18"/>
      <c r="K35" s="10">
        <v>0</v>
      </c>
      <c r="L35" s="10"/>
      <c r="M35" s="11" t="str">
        <f>IF(Table13[[#This Row],[template]]="","",VLOOKUP(Table13[[#This Row],[template]],Table2915[],3,FALSE))</f>
        <v xml:space="preserve"> </v>
      </c>
      <c r="N35" s="10"/>
      <c r="O35" s="11"/>
      <c r="P35" s="9" t="str">
        <f>IF(Table13[[#This Row],[template]]="","",Table13[[#This Row],[IP]]&amp;"_"&amp;Table13[[#This Row],[PARAM_NAME]]&amp;IF(Table13[[#This Row],[SUB]]="","","_"&amp;Table13[[#This Row],[SUB]]))</f>
        <v>ev_seqTrg_resume_0</v>
      </c>
      <c r="Q35" s="1" t="s">
        <v>262</v>
      </c>
      <c r="R35" s="1" t="s">
        <v>382</v>
      </c>
      <c r="S35" s="6" t="s">
        <v>367</v>
      </c>
      <c r="T35" s="4">
        <v>30</v>
      </c>
      <c r="U35" s="6" t="s">
        <v>363</v>
      </c>
      <c r="V35" s="1" t="s">
        <v>315</v>
      </c>
      <c r="W35" s="16">
        <v>1</v>
      </c>
      <c r="X35" s="6" t="s">
        <v>336</v>
      </c>
      <c r="AA35" s="11">
        <f>IF(Table13[[#This Row],[template]]="","",VLOOKUP(Table13[[#This Row],[IP]],Table51117[],2,FALSE))</f>
        <v>1</v>
      </c>
      <c r="AB35" s="13" t="str">
        <f>IF(Table13[[#This Row],[template]]="","",DEC2HEX(VLOOKUP(Table13[[#This Row],[D1-Type]],Table351218[],2,FALSE),1)&amp;DEC2HEX(VLOOKUP(Table13[[#This Row],[D2-Type]],Table31016[],2,FALSE),1)&amp; DEC2HEX(Table13[[#This Row],[D2-Offset]],2)&amp;DEC2HEX(VLOOKUP(Table13[[#This Row],[D3-Type]],Table371319[],2,FALSE),1))</f>
        <v>06011</v>
      </c>
      <c r="AC35" s="14">
        <f>IF(Table13[[#This Row],[template]]="","",HEX2DEC(Table13[[#This Row],[Addr_Hex]]))</f>
        <v>48</v>
      </c>
    </row>
    <row r="36" spans="2:29" x14ac:dyDescent="0.3">
      <c r="B36" s="4">
        <v>86</v>
      </c>
      <c r="C36" s="4" t="s">
        <v>233</v>
      </c>
      <c r="D36" s="9" t="str">
        <f>UPPER(Table13[[#This Row],[SIGNAL]])</f>
        <v>EV_SEQTRG_RESUME_1</v>
      </c>
      <c r="E36" s="9" t="str">
        <f>IF(Table13[[#This Row],[template]]="","","0x"&amp;Table13[[#This Row],[IP_Index]]&amp;DEC2HEX(Table13[[#This Row],[Addr_Dec]]*4,7))</f>
        <v>0x100000C0</v>
      </c>
      <c r="F36" s="9" t="str">
        <f>IF(Table13[[#This Row],[template]]="","",VLOOKUP(Table13[[#This Row],[template]],Table2915[],2,FALSE))</f>
        <v>asynParamInt32</v>
      </c>
      <c r="G36" s="18" t="str">
        <f>IF(Table13[[#This Row],[template]]="","","1")</f>
        <v>1</v>
      </c>
      <c r="H36" s="10"/>
      <c r="I36" s="13" t="str">
        <f>IF(Table13[[#This Row],[template]]="","","0x"&amp;Table13[[#This Row],[D_Index]]&amp;"000")</f>
        <v>0x06001000</v>
      </c>
      <c r="J36" s="18"/>
      <c r="K36" s="10">
        <v>0</v>
      </c>
      <c r="L36" s="10"/>
      <c r="M36" s="11" t="str">
        <f>IF(Table13[[#This Row],[template]]="","",VLOOKUP(Table13[[#This Row],[template]],Table2915[],3,FALSE))</f>
        <v xml:space="preserve"> </v>
      </c>
      <c r="N36" s="10"/>
      <c r="O36" s="11"/>
      <c r="P36" s="9" t="str">
        <f>IF(Table13[[#This Row],[template]]="","",Table13[[#This Row],[IP]]&amp;"_"&amp;Table13[[#This Row],[PARAM_NAME]]&amp;IF(Table13[[#This Row],[SUB]]="","","_"&amp;Table13[[#This Row],[SUB]]))</f>
        <v>ev_seqTrg_resume_1</v>
      </c>
      <c r="Q36" s="1" t="s">
        <v>262</v>
      </c>
      <c r="R36" s="1" t="s">
        <v>382</v>
      </c>
      <c r="S36" s="6" t="s">
        <v>271</v>
      </c>
      <c r="T36" s="4">
        <v>30</v>
      </c>
      <c r="U36" s="6" t="s">
        <v>363</v>
      </c>
      <c r="V36" s="1" t="s">
        <v>315</v>
      </c>
      <c r="W36" s="16">
        <v>0</v>
      </c>
      <c r="X36" s="6" t="s">
        <v>336</v>
      </c>
      <c r="AA36" s="11">
        <f>IF(Table13[[#This Row],[template]]="","",VLOOKUP(Table13[[#This Row],[IP]],Table51117[],2,FALSE))</f>
        <v>1</v>
      </c>
      <c r="AB36" s="13" t="str">
        <f>IF(Table13[[#This Row],[template]]="","",DEC2HEX(VLOOKUP(Table13[[#This Row],[D1-Type]],Table351218[],2,FALSE),1)&amp;DEC2HEX(VLOOKUP(Table13[[#This Row],[D2-Type]],Table31016[],2,FALSE),1)&amp; DEC2HEX(Table13[[#This Row],[D2-Offset]],2)&amp;DEC2HEX(VLOOKUP(Table13[[#This Row],[D3-Type]],Table371319[],2,FALSE),1))</f>
        <v>06001</v>
      </c>
      <c r="AC36" s="14">
        <f>IF(Table13[[#This Row],[template]]="","",HEX2DEC(Table13[[#This Row],[Addr_Hex]]))</f>
        <v>48</v>
      </c>
    </row>
    <row r="37" spans="2:29" x14ac:dyDescent="0.3">
      <c r="B37" s="4">
        <v>87</v>
      </c>
      <c r="C37" s="4"/>
      <c r="D37" s="9" t="str">
        <f>UPPER(Table13[[#This Row],[SIGNAL]])</f>
        <v/>
      </c>
      <c r="E37" s="9" t="str">
        <f>IF(Table13[[#This Row],[template]]="","","0x"&amp;Table13[[#This Row],[IP_Index]]&amp;DEC2HEX(Table13[[#This Row],[Addr_Dec]]*4,7))</f>
        <v/>
      </c>
      <c r="F37" s="9" t="str">
        <f>IF(Table13[[#This Row],[template]]="","",VLOOKUP(Table13[[#This Row],[template]],Table2915[],2,FALSE))</f>
        <v/>
      </c>
      <c r="G37" s="18" t="str">
        <f>IF(Table13[[#This Row],[template]]="","","1")</f>
        <v/>
      </c>
      <c r="H37" s="10"/>
      <c r="I37" s="13" t="str">
        <f>IF(Table13[[#This Row],[template]]="","","0x"&amp;Table13[[#This Row],[D_Index]]&amp;"000")</f>
        <v/>
      </c>
      <c r="J37" s="18"/>
      <c r="K37" s="10">
        <v>0</v>
      </c>
      <c r="L37" s="10"/>
      <c r="M37" s="11" t="str">
        <f>IF(Table13[[#This Row],[template]]="","",VLOOKUP(Table13[[#This Row],[template]],Table2915[],3,FALSE))</f>
        <v/>
      </c>
      <c r="N37" s="10"/>
      <c r="O37" s="11"/>
      <c r="P37" s="9" t="str">
        <f>IF(Table13[[#This Row],[template]]="","",Table13[[#This Row],[IP]]&amp;"_"&amp;Table13[[#This Row],[PARAM_NAME]]&amp;IF(Table13[[#This Row],[SUB]]="","","_"&amp;Table13[[#This Row],[SUB]]))</f>
        <v/>
      </c>
      <c r="S37" s="6"/>
      <c r="T37" s="4"/>
      <c r="U37" s="6"/>
      <c r="W37" s="16"/>
      <c r="X37" s="6"/>
      <c r="AA37" s="11" t="str">
        <f>IF(Table13[[#This Row],[template]]="","",VLOOKUP(Table13[[#This Row],[IP]],Table51117[],2,FALSE))</f>
        <v/>
      </c>
      <c r="AB37" s="13" t="str">
        <f>IF(Table13[[#This Row],[template]]="","",DEC2HEX(VLOOKUP(Table13[[#This Row],[D1-Type]],Table351218[],2,FALSE),1)&amp;DEC2HEX(VLOOKUP(Table13[[#This Row],[D2-Type]],Table31016[],2,FALSE),1)&amp; DEC2HEX(Table13[[#This Row],[D2-Offset]],2)&amp;DEC2HEX(VLOOKUP(Table13[[#This Row],[D3-Type]],Table371319[],2,FALSE),1))</f>
        <v/>
      </c>
      <c r="AC37" s="14" t="str">
        <f>IF(Table13[[#This Row],[template]]="","",HEX2DEC(Table13[[#This Row],[Addr_Hex]]))</f>
        <v/>
      </c>
    </row>
    <row r="38" spans="2:29" x14ac:dyDescent="0.3">
      <c r="B38" s="4">
        <v>88</v>
      </c>
      <c r="C38" s="4" t="s">
        <v>233</v>
      </c>
      <c r="D38" s="9" t="str">
        <f>UPPER(Table13[[#This Row],[SIGNAL]])</f>
        <v>EV_TXENABLE_DBUS</v>
      </c>
      <c r="E38" s="9" t="str">
        <f>IF(Table13[[#This Row],[template]]="","","0x"&amp;Table13[[#This Row],[IP_Index]]&amp;DEC2HEX(Table13[[#This Row],[Addr_Dec]]*4,7))</f>
        <v>0x100000E0</v>
      </c>
      <c r="F38" s="9" t="str">
        <f>IF(Table13[[#This Row],[template]]="","",VLOOKUP(Table13[[#This Row],[template]],Table2915[],2,FALSE))</f>
        <v>asynParamInt32</v>
      </c>
      <c r="G38" s="18" t="str">
        <f>IF(Table13[[#This Row],[template]]="","","1")</f>
        <v>1</v>
      </c>
      <c r="H38" s="10"/>
      <c r="I38" s="13" t="str">
        <f>IF(Table13[[#This Row],[template]]="","","0x"&amp;Table13[[#This Row],[D_Index]]&amp;"000")</f>
        <v>0x061F0000</v>
      </c>
      <c r="J38" s="18"/>
      <c r="K38" s="10">
        <v>0</v>
      </c>
      <c r="L38" s="10"/>
      <c r="M38" s="11" t="str">
        <f>IF(Table13[[#This Row],[template]]="","",VLOOKUP(Table13[[#This Row],[template]],Table2915[],3,FALSE))</f>
        <v xml:space="preserve"> </v>
      </c>
      <c r="N38" s="10"/>
      <c r="O38" s="11"/>
      <c r="P38" s="9" t="str">
        <f>IF(Table13[[#This Row],[template]]="","",Table13[[#This Row],[IP]]&amp;"_"&amp;Table13[[#This Row],[PARAM_NAME]]&amp;IF(Table13[[#This Row],[SUB]]="","","_"&amp;Table13[[#This Row],[SUB]]))</f>
        <v>ev_txEnable_Dbus</v>
      </c>
      <c r="Q38" s="1" t="s">
        <v>262</v>
      </c>
      <c r="R38" s="1" t="s">
        <v>383</v>
      </c>
      <c r="S38" s="6"/>
      <c r="T38" s="4">
        <v>38</v>
      </c>
      <c r="U38" s="6" t="s">
        <v>363</v>
      </c>
      <c r="V38" s="1" t="s">
        <v>315</v>
      </c>
      <c r="W38" s="16">
        <v>31</v>
      </c>
      <c r="X38" s="6" t="s">
        <v>363</v>
      </c>
      <c r="AA38" s="11">
        <f>IF(Table13[[#This Row],[template]]="","",VLOOKUP(Table13[[#This Row],[IP]],Table51117[],2,FALSE))</f>
        <v>1</v>
      </c>
      <c r="AB38" s="13" t="str">
        <f>IF(Table13[[#This Row],[template]]="","",DEC2HEX(VLOOKUP(Table13[[#This Row],[D1-Type]],Table351218[],2,FALSE),1)&amp;DEC2HEX(VLOOKUP(Table13[[#This Row],[D2-Type]],Table31016[],2,FALSE),1)&amp; DEC2HEX(Table13[[#This Row],[D2-Offset]],2)&amp;DEC2HEX(VLOOKUP(Table13[[#This Row],[D3-Type]],Table371319[],2,FALSE),1))</f>
        <v>061F0</v>
      </c>
      <c r="AC38" s="14">
        <f>IF(Table13[[#This Row],[template]]="","",HEX2DEC(Table13[[#This Row],[Addr_Hex]]))</f>
        <v>56</v>
      </c>
    </row>
    <row r="39" spans="2:29" x14ac:dyDescent="0.3">
      <c r="B39" s="4">
        <v>89</v>
      </c>
      <c r="C39" s="4" t="s">
        <v>233</v>
      </c>
      <c r="D39" s="9" t="str">
        <f>UPPER(Table13[[#This Row],[SIGNAL]])</f>
        <v>EV_TXENABLE_EVCODEA</v>
      </c>
      <c r="E39" s="9" t="str">
        <f>IF(Table13[[#This Row],[template]]="","","0x"&amp;Table13[[#This Row],[IP_Index]]&amp;DEC2HEX(Table13[[#This Row],[Addr_Dec]]*4,7))</f>
        <v>0x100000E0</v>
      </c>
      <c r="F39" s="9" t="str">
        <f>IF(Table13[[#This Row],[template]]="","",VLOOKUP(Table13[[#This Row],[template]],Table2915[],2,FALSE))</f>
        <v>asynParamInt32</v>
      </c>
      <c r="G39" s="18" t="str">
        <f>IF(Table13[[#This Row],[template]]="","","1")</f>
        <v>1</v>
      </c>
      <c r="H39" s="10"/>
      <c r="I39" s="13" t="str">
        <f>IF(Table13[[#This Row],[template]]="","","0x"&amp;Table13[[#This Row],[D_Index]]&amp;"000")</f>
        <v>0x061E0000</v>
      </c>
      <c r="J39" s="18"/>
      <c r="K39" s="10">
        <v>0</v>
      </c>
      <c r="L39" s="10"/>
      <c r="M39" s="11" t="str">
        <f>IF(Table13[[#This Row],[template]]="","",VLOOKUP(Table13[[#This Row],[template]],Table2915[],3,FALSE))</f>
        <v xml:space="preserve"> </v>
      </c>
      <c r="N39" s="10"/>
      <c r="O39" s="11"/>
      <c r="P39" s="9" t="str">
        <f>IF(Table13[[#This Row],[template]]="","",Table13[[#This Row],[IP]]&amp;"_"&amp;Table13[[#This Row],[PARAM_NAME]]&amp;IF(Table13[[#This Row],[SUB]]="","","_"&amp;Table13[[#This Row],[SUB]]))</f>
        <v>ev_txEnable_evCodeA</v>
      </c>
      <c r="Q39" s="1" t="s">
        <v>262</v>
      </c>
      <c r="R39" s="1" t="s">
        <v>384</v>
      </c>
      <c r="S39" s="6"/>
      <c r="T39" s="4">
        <v>38</v>
      </c>
      <c r="U39" s="6" t="s">
        <v>363</v>
      </c>
      <c r="V39" s="1" t="s">
        <v>315</v>
      </c>
      <c r="W39" s="16">
        <v>30</v>
      </c>
      <c r="X39" s="6" t="s">
        <v>363</v>
      </c>
      <c r="AA39" s="11">
        <f>IF(Table13[[#This Row],[template]]="","",VLOOKUP(Table13[[#This Row],[IP]],Table51117[],2,FALSE))</f>
        <v>1</v>
      </c>
      <c r="AB39" s="13" t="str">
        <f>IF(Table13[[#This Row],[template]]="","",DEC2HEX(VLOOKUP(Table13[[#This Row],[D1-Type]],Table351218[],2,FALSE),1)&amp;DEC2HEX(VLOOKUP(Table13[[#This Row],[D2-Type]],Table31016[],2,FALSE),1)&amp; DEC2HEX(Table13[[#This Row],[D2-Offset]],2)&amp;DEC2HEX(VLOOKUP(Table13[[#This Row],[D3-Type]],Table371319[],2,FALSE),1))</f>
        <v>061E0</v>
      </c>
      <c r="AC39" s="14">
        <f>IF(Table13[[#This Row],[template]]="","",HEX2DEC(Table13[[#This Row],[Addr_Hex]]))</f>
        <v>56</v>
      </c>
    </row>
    <row r="40" spans="2:29" x14ac:dyDescent="0.3">
      <c r="B40" s="4">
        <v>90</v>
      </c>
      <c r="C40" s="4" t="s">
        <v>233</v>
      </c>
      <c r="D40" s="9" t="str">
        <f>UPPER(Table13[[#This Row],[SIGNAL]])</f>
        <v>EV_TXENABLE_EVCODEB</v>
      </c>
      <c r="E40" s="9" t="str">
        <f>IF(Table13[[#This Row],[template]]="","","0x"&amp;Table13[[#This Row],[IP_Index]]&amp;DEC2HEX(Table13[[#This Row],[Addr_Dec]]*4,7))</f>
        <v>0x100000E0</v>
      </c>
      <c r="F40" s="9" t="str">
        <f>IF(Table13[[#This Row],[template]]="","",VLOOKUP(Table13[[#This Row],[template]],Table2915[],2,FALSE))</f>
        <v>asynParamInt32</v>
      </c>
      <c r="G40" s="18" t="str">
        <f>IF(Table13[[#This Row],[template]]="","","1")</f>
        <v>1</v>
      </c>
      <c r="H40" s="10"/>
      <c r="I40" s="13" t="str">
        <f>IF(Table13[[#This Row],[template]]="","","0x"&amp;Table13[[#This Row],[D_Index]]&amp;"000")</f>
        <v>0x061D0000</v>
      </c>
      <c r="J40" s="18"/>
      <c r="K40" s="10">
        <v>0</v>
      </c>
      <c r="L40" s="10"/>
      <c r="M40" s="11" t="str">
        <f>IF(Table13[[#This Row],[template]]="","",VLOOKUP(Table13[[#This Row],[template]],Table2915[],3,FALSE))</f>
        <v xml:space="preserve"> </v>
      </c>
      <c r="N40" s="10"/>
      <c r="O40" s="11"/>
      <c r="P40" s="9" t="str">
        <f>IF(Table13[[#This Row],[template]]="","",Table13[[#This Row],[IP]]&amp;"_"&amp;Table13[[#This Row],[PARAM_NAME]]&amp;IF(Table13[[#This Row],[SUB]]="","","_"&amp;Table13[[#This Row],[SUB]]))</f>
        <v>ev_txEnable_evCodeB</v>
      </c>
      <c r="Q40" s="1" t="s">
        <v>262</v>
      </c>
      <c r="R40" s="1" t="s">
        <v>385</v>
      </c>
      <c r="S40" s="6"/>
      <c r="T40" s="4">
        <v>38</v>
      </c>
      <c r="U40" s="6" t="s">
        <v>363</v>
      </c>
      <c r="V40" s="1" t="s">
        <v>315</v>
      </c>
      <c r="W40" s="16">
        <v>29</v>
      </c>
      <c r="X40" s="6" t="s">
        <v>363</v>
      </c>
      <c r="AA40" s="11">
        <f>IF(Table13[[#This Row],[template]]="","",VLOOKUP(Table13[[#This Row],[IP]],Table51117[],2,FALSE))</f>
        <v>1</v>
      </c>
      <c r="AB40" s="13" t="str">
        <f>IF(Table13[[#This Row],[template]]="","",DEC2HEX(VLOOKUP(Table13[[#This Row],[D1-Type]],Table351218[],2,FALSE),1)&amp;DEC2HEX(VLOOKUP(Table13[[#This Row],[D2-Type]],Table31016[],2,FALSE),1)&amp; DEC2HEX(Table13[[#This Row],[D2-Offset]],2)&amp;DEC2HEX(VLOOKUP(Table13[[#This Row],[D3-Type]],Table371319[],2,FALSE),1))</f>
        <v>061D0</v>
      </c>
      <c r="AC40" s="14">
        <f>IF(Table13[[#This Row],[template]]="","",HEX2DEC(Table13[[#This Row],[Addr_Hex]]))</f>
        <v>56</v>
      </c>
    </row>
    <row r="41" spans="2:29" x14ac:dyDescent="0.3">
      <c r="B41" s="4">
        <v>91</v>
      </c>
      <c r="C41" s="4" t="s">
        <v>233</v>
      </c>
      <c r="D41" s="9" t="str">
        <f>UPPER(Table13[[#This Row],[SIGNAL]])</f>
        <v>EV_TXENABLE_MEVCODEA</v>
      </c>
      <c r="E41" s="9" t="str">
        <f>IF(Table13[[#This Row],[template]]="","","0x"&amp;Table13[[#This Row],[IP_Index]]&amp;DEC2HEX(Table13[[#This Row],[Addr_Dec]]*4,7))</f>
        <v>0x100000E0</v>
      </c>
      <c r="F41" s="9" t="str">
        <f>IF(Table13[[#This Row],[template]]="","",VLOOKUP(Table13[[#This Row],[template]],Table2915[],2,FALSE))</f>
        <v>asynParamInt32</v>
      </c>
      <c r="G41" s="18" t="str">
        <f>IF(Table13[[#This Row],[template]]="","","1")</f>
        <v>1</v>
      </c>
      <c r="H41" s="10"/>
      <c r="I41" s="13" t="str">
        <f>IF(Table13[[#This Row],[template]]="","","0x"&amp;Table13[[#This Row],[D_Index]]&amp;"000")</f>
        <v>0x061C0000</v>
      </c>
      <c r="J41" s="18"/>
      <c r="K41" s="10">
        <v>0</v>
      </c>
      <c r="L41" s="10"/>
      <c r="M41" s="11" t="str">
        <f>IF(Table13[[#This Row],[template]]="","",VLOOKUP(Table13[[#This Row],[template]],Table2915[],3,FALSE))</f>
        <v xml:space="preserve"> </v>
      </c>
      <c r="N41" s="10"/>
      <c r="O41" s="11"/>
      <c r="P41" s="9" t="str">
        <f>IF(Table13[[#This Row],[template]]="","",Table13[[#This Row],[IP]]&amp;"_"&amp;Table13[[#This Row],[PARAM_NAME]]&amp;IF(Table13[[#This Row],[SUB]]="","","_"&amp;Table13[[#This Row],[SUB]]))</f>
        <v>ev_txEnable_mevCodeA</v>
      </c>
      <c r="Q41" s="1" t="s">
        <v>262</v>
      </c>
      <c r="R41" s="1" t="s">
        <v>386</v>
      </c>
      <c r="S41" s="6"/>
      <c r="T41" s="4">
        <v>38</v>
      </c>
      <c r="U41" s="6" t="s">
        <v>363</v>
      </c>
      <c r="V41" s="1" t="s">
        <v>315</v>
      </c>
      <c r="W41" s="16">
        <v>28</v>
      </c>
      <c r="X41" s="6" t="s">
        <v>363</v>
      </c>
      <c r="AA41" s="11">
        <f>IF(Table13[[#This Row],[template]]="","",VLOOKUP(Table13[[#This Row],[IP]],Table51117[],2,FALSE))</f>
        <v>1</v>
      </c>
      <c r="AB41" s="13" t="str">
        <f>IF(Table13[[#This Row],[template]]="","",DEC2HEX(VLOOKUP(Table13[[#This Row],[D1-Type]],Table351218[],2,FALSE),1)&amp;DEC2HEX(VLOOKUP(Table13[[#This Row],[D2-Type]],Table31016[],2,FALSE),1)&amp; DEC2HEX(Table13[[#This Row],[D2-Offset]],2)&amp;DEC2HEX(VLOOKUP(Table13[[#This Row],[D3-Type]],Table371319[],2,FALSE),1))</f>
        <v>061C0</v>
      </c>
      <c r="AC41" s="14">
        <f>IF(Table13[[#This Row],[template]]="","",HEX2DEC(Table13[[#This Row],[Addr_Hex]]))</f>
        <v>56</v>
      </c>
    </row>
    <row r="42" spans="2:29" x14ac:dyDescent="0.3">
      <c r="B42" s="4">
        <v>92</v>
      </c>
      <c r="C42" s="4" t="s">
        <v>233</v>
      </c>
      <c r="D42" s="9" t="str">
        <f>UPPER(Table13[[#This Row],[SIGNAL]])</f>
        <v>EV_SEQTRG_EN_0</v>
      </c>
      <c r="E42" s="9" t="str">
        <f>IF(Table13[[#This Row],[template]]="","","0x"&amp;Table13[[#This Row],[IP_Index]]&amp;DEC2HEX(Table13[[#This Row],[Addr_Dec]]*4,7))</f>
        <v>0x100000E0</v>
      </c>
      <c r="F42" s="9" t="str">
        <f>IF(Table13[[#This Row],[template]]="","",VLOOKUP(Table13[[#This Row],[template]],Table2915[],2,FALSE))</f>
        <v>asynParamInt32</v>
      </c>
      <c r="G42" s="18" t="str">
        <f>IF(Table13[[#This Row],[template]]="","","1")</f>
        <v>1</v>
      </c>
      <c r="H42" s="10"/>
      <c r="I42" s="13" t="str">
        <f>IF(Table13[[#This Row],[template]]="","","0x"&amp;Table13[[#This Row],[D_Index]]&amp;"000")</f>
        <v>0x061B0000</v>
      </c>
      <c r="J42" s="18"/>
      <c r="K42" s="10">
        <v>0</v>
      </c>
      <c r="L42" s="10"/>
      <c r="M42" s="11" t="str">
        <f>IF(Table13[[#This Row],[template]]="","",VLOOKUP(Table13[[#This Row],[template]],Table2915[],3,FALSE))</f>
        <v xml:space="preserve"> </v>
      </c>
      <c r="N42" s="10"/>
      <c r="O42" s="11"/>
      <c r="P42" s="9" t="str">
        <f>IF(Table13[[#This Row],[template]]="","",Table13[[#This Row],[IP]]&amp;"_"&amp;Table13[[#This Row],[PARAM_NAME]]&amp;IF(Table13[[#This Row],[SUB]]="","","_"&amp;Table13[[#This Row],[SUB]]))</f>
        <v>ev_seqTrg_en_0</v>
      </c>
      <c r="Q42" s="1" t="s">
        <v>262</v>
      </c>
      <c r="R42" s="1" t="s">
        <v>387</v>
      </c>
      <c r="S42" s="6" t="s">
        <v>367</v>
      </c>
      <c r="T42" s="4">
        <v>38</v>
      </c>
      <c r="U42" s="6" t="s">
        <v>363</v>
      </c>
      <c r="V42" s="1" t="s">
        <v>315</v>
      </c>
      <c r="W42" s="16">
        <v>27</v>
      </c>
      <c r="X42" s="6" t="s">
        <v>363</v>
      </c>
      <c r="AA42" s="11">
        <f>IF(Table13[[#This Row],[template]]="","",VLOOKUP(Table13[[#This Row],[IP]],Table51117[],2,FALSE))</f>
        <v>1</v>
      </c>
      <c r="AB42" s="13" t="str">
        <f>IF(Table13[[#This Row],[template]]="","",DEC2HEX(VLOOKUP(Table13[[#This Row],[D1-Type]],Table351218[],2,FALSE),1)&amp;DEC2HEX(VLOOKUP(Table13[[#This Row],[D2-Type]],Table31016[],2,FALSE),1)&amp; DEC2HEX(Table13[[#This Row],[D2-Offset]],2)&amp;DEC2HEX(VLOOKUP(Table13[[#This Row],[D3-Type]],Table371319[],2,FALSE),1))</f>
        <v>061B0</v>
      </c>
      <c r="AC42" s="14">
        <f>IF(Table13[[#This Row],[template]]="","",HEX2DEC(Table13[[#This Row],[Addr_Hex]]))</f>
        <v>56</v>
      </c>
    </row>
    <row r="43" spans="2:29" x14ac:dyDescent="0.3">
      <c r="B43" s="4">
        <v>93</v>
      </c>
      <c r="C43" s="4" t="s">
        <v>233</v>
      </c>
      <c r="D43" s="9" t="str">
        <f>UPPER(Table13[[#This Row],[SIGNAL]])</f>
        <v>EV_SEQTRG_EN_1</v>
      </c>
      <c r="E43" s="9" t="str">
        <f>IF(Table13[[#This Row],[template]]="","","0x"&amp;Table13[[#This Row],[IP_Index]]&amp;DEC2HEX(Table13[[#This Row],[Addr_Dec]]*4,7))</f>
        <v>0x100000E0</v>
      </c>
      <c r="F43" s="9" t="str">
        <f>IF(Table13[[#This Row],[template]]="","",VLOOKUP(Table13[[#This Row],[template]],Table2915[],2,FALSE))</f>
        <v>asynParamInt32</v>
      </c>
      <c r="G43" s="18" t="str">
        <f>IF(Table13[[#This Row],[template]]="","","1")</f>
        <v>1</v>
      </c>
      <c r="H43" s="10"/>
      <c r="I43" s="13" t="str">
        <f>IF(Table13[[#This Row],[template]]="","","0x"&amp;Table13[[#This Row],[D_Index]]&amp;"000")</f>
        <v>0x061A0000</v>
      </c>
      <c r="J43" s="18"/>
      <c r="K43" s="10">
        <v>0</v>
      </c>
      <c r="L43" s="10"/>
      <c r="M43" s="11" t="str">
        <f>IF(Table13[[#This Row],[template]]="","",VLOOKUP(Table13[[#This Row],[template]],Table2915[],3,FALSE))</f>
        <v xml:space="preserve"> </v>
      </c>
      <c r="N43" s="10"/>
      <c r="O43" s="11"/>
      <c r="P43" s="9" t="str">
        <f>IF(Table13[[#This Row],[template]]="","",Table13[[#This Row],[IP]]&amp;"_"&amp;Table13[[#This Row],[PARAM_NAME]]&amp;IF(Table13[[#This Row],[SUB]]="","","_"&amp;Table13[[#This Row],[SUB]]))</f>
        <v>ev_seqTrg_en_1</v>
      </c>
      <c r="Q43" s="1" t="s">
        <v>262</v>
      </c>
      <c r="R43" s="1" t="s">
        <v>387</v>
      </c>
      <c r="S43" s="6" t="s">
        <v>271</v>
      </c>
      <c r="T43" s="4">
        <v>38</v>
      </c>
      <c r="U43" s="6" t="s">
        <v>363</v>
      </c>
      <c r="V43" s="1" t="s">
        <v>315</v>
      </c>
      <c r="W43" s="16">
        <v>26</v>
      </c>
      <c r="X43" s="6" t="s">
        <v>363</v>
      </c>
      <c r="AA43" s="11">
        <f>IF(Table13[[#This Row],[template]]="","",VLOOKUP(Table13[[#This Row],[IP]],Table51117[],2,FALSE))</f>
        <v>1</v>
      </c>
      <c r="AB43" s="13" t="str">
        <f>IF(Table13[[#This Row],[template]]="","",DEC2HEX(VLOOKUP(Table13[[#This Row],[D1-Type]],Table351218[],2,FALSE),1)&amp;DEC2HEX(VLOOKUP(Table13[[#This Row],[D2-Type]],Table31016[],2,FALSE),1)&amp; DEC2HEX(Table13[[#This Row],[D2-Offset]],2)&amp;DEC2HEX(VLOOKUP(Table13[[#This Row],[D3-Type]],Table371319[],2,FALSE),1))</f>
        <v>061A0</v>
      </c>
      <c r="AC43" s="14">
        <f>IF(Table13[[#This Row],[template]]="","",HEX2DEC(Table13[[#This Row],[Addr_Hex]]))</f>
        <v>56</v>
      </c>
    </row>
    <row r="44" spans="2:29" x14ac:dyDescent="0.3">
      <c r="B44" s="4">
        <v>94</v>
      </c>
      <c r="C44" s="4" t="s">
        <v>233</v>
      </c>
      <c r="D44" s="9" t="str">
        <f>UPPER(Table13[[#This Row],[SIGNAL]])</f>
        <v>EV_MXC14ENABLE</v>
      </c>
      <c r="E44" s="9" t="str">
        <f>IF(Table13[[#This Row],[template]]="","","0x"&amp;Table13[[#This Row],[IP_Index]]&amp;DEC2HEX(Table13[[#This Row],[Addr_Dec]]*4,7))</f>
        <v>0x100000E0</v>
      </c>
      <c r="F44" s="9" t="str">
        <f>IF(Table13[[#This Row],[template]]="","",VLOOKUP(Table13[[#This Row],[template]],Table2915[],2,FALSE))</f>
        <v>asynParamInt32</v>
      </c>
      <c r="G44" s="18" t="str">
        <f>IF(Table13[[#This Row],[template]]="","","1")</f>
        <v>1</v>
      </c>
      <c r="H44" s="10"/>
      <c r="I44" s="13" t="str">
        <f>IF(Table13[[#This Row],[template]]="","","0x"&amp;Table13[[#This Row],[D_Index]]&amp;"000")</f>
        <v>0x06190000</v>
      </c>
      <c r="J44" s="18"/>
      <c r="K44" s="10">
        <v>0</v>
      </c>
      <c r="L44" s="10"/>
      <c r="M44" s="11" t="str">
        <f>IF(Table13[[#This Row],[template]]="","",VLOOKUP(Table13[[#This Row],[template]],Table2915[],3,FALSE))</f>
        <v xml:space="preserve"> </v>
      </c>
      <c r="N44" s="10"/>
      <c r="O44" s="11"/>
      <c r="P44" s="9" t="str">
        <f>IF(Table13[[#This Row],[template]]="","",Table13[[#This Row],[IP]]&amp;"_"&amp;Table13[[#This Row],[PARAM_NAME]]&amp;IF(Table13[[#This Row],[SUB]]="","","_"&amp;Table13[[#This Row],[SUB]]))</f>
        <v>ev_mxc14Enable</v>
      </c>
      <c r="Q44" s="1" t="s">
        <v>262</v>
      </c>
      <c r="R44" s="1" t="s">
        <v>388</v>
      </c>
      <c r="S44" s="6"/>
      <c r="T44" s="4">
        <v>38</v>
      </c>
      <c r="U44" s="6" t="s">
        <v>363</v>
      </c>
      <c r="V44" s="1" t="s">
        <v>315</v>
      </c>
      <c r="W44" s="16">
        <v>25</v>
      </c>
      <c r="X44" s="6" t="s">
        <v>363</v>
      </c>
      <c r="AA44" s="11">
        <f>IF(Table13[[#This Row],[template]]="","",VLOOKUP(Table13[[#This Row],[IP]],Table51117[],2,FALSE))</f>
        <v>1</v>
      </c>
      <c r="AB44" s="13" t="str">
        <f>IF(Table13[[#This Row],[template]]="","",DEC2HEX(VLOOKUP(Table13[[#This Row],[D1-Type]],Table351218[],2,FALSE),1)&amp;DEC2HEX(VLOOKUP(Table13[[#This Row],[D2-Type]],Table31016[],2,FALSE),1)&amp; DEC2HEX(Table13[[#This Row],[D2-Offset]],2)&amp;DEC2HEX(VLOOKUP(Table13[[#This Row],[D3-Type]],Table371319[],2,FALSE),1))</f>
        <v>06190</v>
      </c>
      <c r="AC44" s="14">
        <f>IF(Table13[[#This Row],[template]]="","",HEX2DEC(Table13[[#This Row],[Addr_Hex]]))</f>
        <v>56</v>
      </c>
    </row>
    <row r="45" spans="2:29" x14ac:dyDescent="0.3">
      <c r="B45" s="4">
        <v>95</v>
      </c>
      <c r="C45" s="4"/>
      <c r="D45" s="9" t="str">
        <f>UPPER(Table13[[#This Row],[SIGNAL]])</f>
        <v/>
      </c>
      <c r="E45" s="9" t="str">
        <f>IF(Table13[[#This Row],[template]]="","","0x"&amp;Table13[[#This Row],[IP_Index]]&amp;DEC2HEX(Table13[[#This Row],[Addr_Dec]]*4,7))</f>
        <v/>
      </c>
      <c r="F45" s="9" t="str">
        <f>IF(Table13[[#This Row],[template]]="","",VLOOKUP(Table13[[#This Row],[template]],Table2915[],2,FALSE))</f>
        <v/>
      </c>
      <c r="G45" s="18" t="str">
        <f>IF(Table13[[#This Row],[template]]="","","1")</f>
        <v/>
      </c>
      <c r="H45" s="10"/>
      <c r="I45" s="13" t="str">
        <f>IF(Table13[[#This Row],[template]]="","","0x"&amp;Table13[[#This Row],[D_Index]]&amp;"000")</f>
        <v/>
      </c>
      <c r="J45" s="18"/>
      <c r="K45" s="10">
        <v>0</v>
      </c>
      <c r="L45" s="10"/>
      <c r="M45" s="11" t="str">
        <f>IF(Table13[[#This Row],[template]]="","",VLOOKUP(Table13[[#This Row],[template]],Table2915[],3,FALSE))</f>
        <v/>
      </c>
      <c r="N45" s="10"/>
      <c r="O45" s="11"/>
      <c r="P45" s="9" t="str">
        <f>IF(Table13[[#This Row],[template]]="","",Table13[[#This Row],[IP]]&amp;"_"&amp;Table13[[#This Row],[PARAM_NAME]]&amp;IF(Table13[[#This Row],[SUB]]="","","_"&amp;Table13[[#This Row],[SUB]]))</f>
        <v/>
      </c>
      <c r="S45" s="6"/>
      <c r="T45" s="4"/>
      <c r="U45" s="6"/>
      <c r="W45" s="16"/>
      <c r="X45" s="6"/>
      <c r="AA45" s="11" t="str">
        <f>IF(Table13[[#This Row],[template]]="","",VLOOKUP(Table13[[#This Row],[IP]],Table51117[],2,FALSE))</f>
        <v/>
      </c>
      <c r="AB45" s="13" t="str">
        <f>IF(Table13[[#This Row],[template]]="","",DEC2HEX(VLOOKUP(Table13[[#This Row],[D1-Type]],Table351218[],2,FALSE),1)&amp;DEC2HEX(VLOOKUP(Table13[[#This Row],[D2-Type]],Table31016[],2,FALSE),1)&amp; DEC2HEX(Table13[[#This Row],[D2-Offset]],2)&amp;DEC2HEX(VLOOKUP(Table13[[#This Row],[D3-Type]],Table371319[],2,FALSE),1))</f>
        <v/>
      </c>
      <c r="AC45" s="14" t="str">
        <f>IF(Table13[[#This Row],[template]]="","",HEX2DEC(Table13[[#This Row],[Addr_Hex]]))</f>
        <v/>
      </c>
    </row>
    <row r="46" spans="2:29" x14ac:dyDescent="0.3">
      <c r="B46" s="4">
        <v>105</v>
      </c>
      <c r="C46" s="4" t="s">
        <v>233</v>
      </c>
      <c r="D46" s="9" t="str">
        <f>UPPER(Table13[[#This Row],[SIGNAL]])</f>
        <v>EV_EVUSER</v>
      </c>
      <c r="E46" s="9" t="str">
        <f>IF(Table13[[#This Row],[template]]="","","0x"&amp;Table13[[#This Row],[IP_Index]]&amp;DEC2HEX(Table13[[#This Row],[Addr_Dec]]*4,7))</f>
        <v>0x100001E4</v>
      </c>
      <c r="F46" s="9" t="str">
        <f>IF(Table13[[#This Row],[template]]="","",VLOOKUP(Table13[[#This Row],[template]],Table2915[],2,FALSE))</f>
        <v>asynParamInt32</v>
      </c>
      <c r="G46" s="18" t="str">
        <f>IF(Table13[[#This Row],[template]]="","","1")</f>
        <v>1</v>
      </c>
      <c r="H46" s="10"/>
      <c r="I46" s="13" t="str">
        <f>IF(Table13[[#This Row],[template]]="","","0x"&amp;Table13[[#This Row],[D_Index]]&amp;"000")</f>
        <v>0x01000000</v>
      </c>
      <c r="J46" s="18"/>
      <c r="K46" s="10">
        <v>0</v>
      </c>
      <c r="L46" s="10"/>
      <c r="M46" s="11" t="str">
        <f>IF(Table13[[#This Row],[template]]="","",VLOOKUP(Table13[[#This Row],[template]],Table2915[],3,FALSE))</f>
        <v xml:space="preserve"> </v>
      </c>
      <c r="N46" s="10"/>
      <c r="O46" s="11"/>
      <c r="P46" s="9" t="str">
        <f>IF(Table13[[#This Row],[template]]="","",Table13[[#This Row],[IP]]&amp;"_"&amp;Table13[[#This Row],[PARAM_NAME]]&amp;IF(Table13[[#This Row],[SUB]]="","","_"&amp;Table13[[#This Row],[SUB]]))</f>
        <v>ev_evUser</v>
      </c>
      <c r="Q46" s="1" t="s">
        <v>262</v>
      </c>
      <c r="R46" s="1" t="s">
        <v>391</v>
      </c>
      <c r="S46" s="6"/>
      <c r="T46" s="4">
        <v>79</v>
      </c>
      <c r="U46" s="6" t="s">
        <v>363</v>
      </c>
      <c r="V46" s="1" t="s">
        <v>254</v>
      </c>
      <c r="W46" s="16">
        <v>0</v>
      </c>
      <c r="X46" s="6" t="s">
        <v>363</v>
      </c>
      <c r="AA46" s="11">
        <f>IF(Table13[[#This Row],[template]]="","",VLOOKUP(Table13[[#This Row],[IP]],Table51117[],2,FALSE))</f>
        <v>1</v>
      </c>
      <c r="AB46" s="13" t="str">
        <f>IF(Table13[[#This Row],[template]]="","",DEC2HEX(VLOOKUP(Table13[[#This Row],[D1-Type]],Table351218[],2,FALSE),1)&amp;DEC2HEX(VLOOKUP(Table13[[#This Row],[D2-Type]],Table31016[],2,FALSE),1)&amp; DEC2HEX(Table13[[#This Row],[D2-Offset]],2)&amp;DEC2HEX(VLOOKUP(Table13[[#This Row],[D3-Type]],Table371319[],2,FALSE),1))</f>
        <v>01000</v>
      </c>
      <c r="AC46" s="14">
        <f>IF(Table13[[#This Row],[template]]="","",HEX2DEC(Table13[[#This Row],[Addr_Hex]]))</f>
        <v>121</v>
      </c>
    </row>
    <row r="47" spans="2:29" x14ac:dyDescent="0.3">
      <c r="B47" s="4">
        <v>106</v>
      </c>
      <c r="C47" s="4"/>
      <c r="D47" s="9" t="str">
        <f>UPPER(Table13[[#This Row],[SIGNAL]])</f>
        <v/>
      </c>
      <c r="E47" s="9" t="str">
        <f>IF(Table13[[#This Row],[template]]="","","0x"&amp;Table13[[#This Row],[IP_Index]]&amp;DEC2HEX(Table13[[#This Row],[Addr_Dec]]*4,7))</f>
        <v/>
      </c>
      <c r="F47" s="9" t="str">
        <f>IF(Table13[[#This Row],[template]]="","",VLOOKUP(Table13[[#This Row],[template]],Table2915[],2,FALSE))</f>
        <v/>
      </c>
      <c r="G47" s="18" t="str">
        <f>IF(Table13[[#This Row],[template]]="","","1")</f>
        <v/>
      </c>
      <c r="H47" s="10"/>
      <c r="I47" s="13" t="str">
        <f>IF(Table13[[#This Row],[template]]="","","0x"&amp;Table13[[#This Row],[D_Index]]&amp;"000")</f>
        <v/>
      </c>
      <c r="J47" s="18"/>
      <c r="K47" s="10">
        <v>0</v>
      </c>
      <c r="L47" s="10"/>
      <c r="M47" s="11" t="str">
        <f>IF(Table13[[#This Row],[template]]="","",VLOOKUP(Table13[[#This Row],[template]],Table2915[],3,FALSE))</f>
        <v/>
      </c>
      <c r="N47" s="10"/>
      <c r="O47" s="11"/>
      <c r="P47" s="9" t="str">
        <f>IF(Table13[[#This Row],[template]]="","",Table13[[#This Row],[IP]]&amp;"_"&amp;Table13[[#This Row],[PARAM_NAME]]&amp;IF(Table13[[#This Row],[SUB]]="","","_"&amp;Table13[[#This Row],[SUB]]))</f>
        <v/>
      </c>
      <c r="S47" s="6"/>
      <c r="T47" s="4"/>
      <c r="U47" s="6"/>
      <c r="W47" s="16"/>
      <c r="X47" s="6"/>
      <c r="AA47" s="11" t="str">
        <f>IF(Table13[[#This Row],[template]]="","",VLOOKUP(Table13[[#This Row],[IP]],Table51117[],2,FALSE))</f>
        <v/>
      </c>
      <c r="AB47" s="13" t="str">
        <f>IF(Table13[[#This Row],[template]]="","",DEC2HEX(VLOOKUP(Table13[[#This Row],[D1-Type]],Table351218[],2,FALSE),1)&amp;DEC2HEX(VLOOKUP(Table13[[#This Row],[D2-Type]],Table31016[],2,FALSE),1)&amp; DEC2HEX(Table13[[#This Row],[D2-Offset]],2)&amp;DEC2HEX(VLOOKUP(Table13[[#This Row],[D3-Type]],Table371319[],2,FALSE),1))</f>
        <v/>
      </c>
      <c r="AC47" s="14" t="str">
        <f>IF(Table13[[#This Row],[template]]="","",HEX2DEC(Table13[[#This Row],[Addr_Hex]]))</f>
        <v/>
      </c>
    </row>
    <row r="48" spans="2:29" x14ac:dyDescent="0.3">
      <c r="B48" s="4">
        <v>107</v>
      </c>
      <c r="C48" s="4" t="s">
        <v>233</v>
      </c>
      <c r="D48" s="9" t="str">
        <f>UPPER(Table13[[#This Row],[SIGNAL]])</f>
        <v>EV_EVTRGMSK</v>
      </c>
      <c r="E48" s="9" t="str">
        <f>IF(Table13[[#This Row],[template]]="","","0x"&amp;Table13[[#This Row],[IP_Index]]&amp;DEC2HEX(Table13[[#This Row],[Addr_Dec]]*4,7))</f>
        <v>0x10000104</v>
      </c>
      <c r="F48" s="9" t="str">
        <f>IF(Table13[[#This Row],[template]]="","",VLOOKUP(Table13[[#This Row],[template]],Table2915[],2,FALSE))</f>
        <v>asynParamInt32</v>
      </c>
      <c r="G48" s="18" t="str">
        <f>IF(Table13[[#This Row],[template]]="","","1")</f>
        <v>1</v>
      </c>
      <c r="H48" s="10"/>
      <c r="I48" s="13" t="str">
        <f>IF(Table13[[#This Row],[template]]="","","0x"&amp;Table13[[#This Row],[D_Index]]&amp;"000")</f>
        <v>0x01000000</v>
      </c>
      <c r="J48" s="18"/>
      <c r="K48" s="10">
        <v>0</v>
      </c>
      <c r="L48" s="10"/>
      <c r="M48" s="11" t="str">
        <f>IF(Table13[[#This Row],[template]]="","",VLOOKUP(Table13[[#This Row],[template]],Table2915[],3,FALSE))</f>
        <v xml:space="preserve"> </v>
      </c>
      <c r="N48" s="10"/>
      <c r="O48" s="11"/>
      <c r="P48" s="9" t="str">
        <f>IF(Table13[[#This Row],[template]]="","",Table13[[#This Row],[IP]]&amp;"_"&amp;Table13[[#This Row],[PARAM_NAME]]&amp;IF(Table13[[#This Row],[SUB]]="","","_"&amp;Table13[[#This Row],[SUB]]))</f>
        <v>ev_evTrgMsk</v>
      </c>
      <c r="Q48" s="1" t="s">
        <v>262</v>
      </c>
      <c r="R48" s="1" t="s">
        <v>392</v>
      </c>
      <c r="S48" s="6"/>
      <c r="T48" s="4">
        <v>41</v>
      </c>
      <c r="U48" s="6" t="s">
        <v>363</v>
      </c>
      <c r="V48" s="1" t="s">
        <v>254</v>
      </c>
      <c r="W48" s="16">
        <v>0</v>
      </c>
      <c r="X48" s="6" t="s">
        <v>363</v>
      </c>
      <c r="AA48" s="11">
        <f>IF(Table13[[#This Row],[template]]="","",VLOOKUP(Table13[[#This Row],[IP]],Table51117[],2,FALSE))</f>
        <v>1</v>
      </c>
      <c r="AB48" s="13" t="str">
        <f>IF(Table13[[#This Row],[template]]="","",DEC2HEX(VLOOKUP(Table13[[#This Row],[D1-Type]],Table351218[],2,FALSE),1)&amp;DEC2HEX(VLOOKUP(Table13[[#This Row],[D2-Type]],Table31016[],2,FALSE),1)&amp; DEC2HEX(Table13[[#This Row],[D2-Offset]],2)&amp;DEC2HEX(VLOOKUP(Table13[[#This Row],[D3-Type]],Table371319[],2,FALSE),1))</f>
        <v>01000</v>
      </c>
      <c r="AC48" s="14">
        <f>IF(Table13[[#This Row],[template]]="","",HEX2DEC(Table13[[#This Row],[Addr_Hex]]))</f>
        <v>65</v>
      </c>
    </row>
    <row r="49" spans="2:29" x14ac:dyDescent="0.3">
      <c r="B49" s="4">
        <v>109</v>
      </c>
      <c r="C49" s="4"/>
      <c r="D49" s="9" t="str">
        <f>UPPER(Table13[[#This Row],[SIGNAL]])</f>
        <v/>
      </c>
      <c r="E49" s="9" t="str">
        <f>IF(Table13[[#This Row],[template]]="","","0x"&amp;Table13[[#This Row],[IP_Index]]&amp;DEC2HEX(Table13[[#This Row],[Addr_Dec]]*4,7))</f>
        <v/>
      </c>
      <c r="F49" s="9" t="str">
        <f>IF(Table13[[#This Row],[template]]="","",VLOOKUP(Table13[[#This Row],[template]],Table2915[],2,FALSE))</f>
        <v/>
      </c>
      <c r="G49" s="18" t="str">
        <f>IF(Table13[[#This Row],[template]]="","","1")</f>
        <v/>
      </c>
      <c r="H49" s="10"/>
      <c r="I49" s="13" t="str">
        <f>IF(Table13[[#This Row],[template]]="","","0x"&amp;Table13[[#This Row],[D_Index]]&amp;"000")</f>
        <v/>
      </c>
      <c r="J49" s="18"/>
      <c r="K49" s="10">
        <v>0</v>
      </c>
      <c r="L49" s="10"/>
      <c r="M49" s="11" t="str">
        <f>IF(Table13[[#This Row],[template]]="","",VLOOKUP(Table13[[#This Row],[template]],Table2915[],3,FALSE))</f>
        <v/>
      </c>
      <c r="N49" s="10"/>
      <c r="O49" s="11"/>
      <c r="P49" s="9" t="str">
        <f>IF(Table13[[#This Row],[template]]="","",Table13[[#This Row],[IP]]&amp;"_"&amp;Table13[[#This Row],[PARAM_NAME]]&amp;IF(Table13[[#This Row],[SUB]]="","","_"&amp;Table13[[#This Row],[SUB]]))</f>
        <v/>
      </c>
      <c r="S49" s="6"/>
      <c r="T49" s="4"/>
      <c r="U49" s="6"/>
      <c r="W49" s="16"/>
      <c r="X49" s="6"/>
      <c r="AA49" s="11" t="str">
        <f>IF(Table13[[#This Row],[template]]="","",VLOOKUP(Table13[[#This Row],[IP]],Table51117[],2,FALSE))</f>
        <v/>
      </c>
      <c r="AB49" s="13" t="str">
        <f>IF(Table13[[#This Row],[template]]="","",DEC2HEX(VLOOKUP(Table13[[#This Row],[D1-Type]],Table351218[],2,FALSE),1)&amp;DEC2HEX(VLOOKUP(Table13[[#This Row],[D2-Type]],Table31016[],2,FALSE),1)&amp; DEC2HEX(Table13[[#This Row],[D2-Offset]],2)&amp;DEC2HEX(VLOOKUP(Table13[[#This Row],[D3-Type]],Table371319[],2,FALSE),1))</f>
        <v/>
      </c>
      <c r="AC49" s="14" t="str">
        <f>IF(Table13[[#This Row],[template]]="","",HEX2DEC(Table13[[#This Row],[Addr_Hex]]))</f>
        <v/>
      </c>
    </row>
    <row r="50" spans="2:29" x14ac:dyDescent="0.3">
      <c r="B50" s="4">
        <v>110</v>
      </c>
      <c r="C50" s="4" t="s">
        <v>233</v>
      </c>
      <c r="D50" s="9" t="str">
        <f>UPPER(Table13[[#This Row],[SIGNAL]])</f>
        <v>EV_SEQTRGSEL_0</v>
      </c>
      <c r="E50" s="9" t="str">
        <f>IF(Table13[[#This Row],[template]]="","","0x"&amp;Table13[[#This Row],[IP_Index]]&amp;DEC2HEX(Table13[[#This Row],[Addr_Dec]]*4,7))</f>
        <v>0x1000010C</v>
      </c>
      <c r="F50" s="9" t="str">
        <f>IF(Table13[[#This Row],[template]]="","",VLOOKUP(Table13[[#This Row],[template]],Table2915[],2,FALSE))</f>
        <v>asynParamInt32</v>
      </c>
      <c r="G50" s="18" t="str">
        <f>IF(Table13[[#This Row],[template]]="","","1")</f>
        <v>1</v>
      </c>
      <c r="H50" s="10"/>
      <c r="I50" s="13" t="str">
        <f>IF(Table13[[#This Row],[template]]="","","0x"&amp;Table13[[#This Row],[D_Index]]&amp;"000")</f>
        <v>0x04000000</v>
      </c>
      <c r="J50" s="18"/>
      <c r="K50" s="10">
        <v>0</v>
      </c>
      <c r="L50" s="10"/>
      <c r="M50" s="11" t="str">
        <f>IF(Table13[[#This Row],[template]]="","",VLOOKUP(Table13[[#This Row],[template]],Table2915[],3,FALSE))</f>
        <v xml:space="preserve"> </v>
      </c>
      <c r="N50" s="10"/>
      <c r="O50" s="11"/>
      <c r="P50" s="9" t="str">
        <f>IF(Table13[[#This Row],[template]]="","",Table13[[#This Row],[IP]]&amp;"_"&amp;Table13[[#This Row],[PARAM_NAME]]&amp;IF(Table13[[#This Row],[SUB]]="","","_"&amp;Table13[[#This Row],[SUB]]))</f>
        <v>ev_seqTrgSel_0</v>
      </c>
      <c r="Q50" s="1" t="s">
        <v>262</v>
      </c>
      <c r="R50" s="1" t="s">
        <v>394</v>
      </c>
      <c r="S50" s="6" t="s">
        <v>367</v>
      </c>
      <c r="T50" s="4">
        <v>43</v>
      </c>
      <c r="U50" s="6" t="s">
        <v>363</v>
      </c>
      <c r="V50" s="1" t="s">
        <v>313</v>
      </c>
      <c r="W50" s="16">
        <v>0</v>
      </c>
      <c r="X50" s="6" t="s">
        <v>363</v>
      </c>
      <c r="AA50" s="11">
        <f>IF(Table13[[#This Row],[template]]="","",VLOOKUP(Table13[[#This Row],[IP]],Table51117[],2,FALSE))</f>
        <v>1</v>
      </c>
      <c r="AB50" s="13" t="str">
        <f>IF(Table13[[#This Row],[template]]="","",DEC2HEX(VLOOKUP(Table13[[#This Row],[D1-Type]],Table351218[],2,FALSE),1)&amp;DEC2HEX(VLOOKUP(Table13[[#This Row],[D2-Type]],Table31016[],2,FALSE),1)&amp; DEC2HEX(Table13[[#This Row],[D2-Offset]],2)&amp;DEC2HEX(VLOOKUP(Table13[[#This Row],[D3-Type]],Table371319[],2,FALSE),1))</f>
        <v>04000</v>
      </c>
      <c r="AC50" s="14">
        <f>IF(Table13[[#This Row],[template]]="","",HEX2DEC(Table13[[#This Row],[Addr_Hex]]))</f>
        <v>67</v>
      </c>
    </row>
    <row r="51" spans="2:29" x14ac:dyDescent="0.3">
      <c r="B51" s="4">
        <v>111</v>
      </c>
      <c r="C51" s="4" t="s">
        <v>233</v>
      </c>
      <c r="D51" s="9" t="str">
        <f>UPPER(Table13[[#This Row],[SIGNAL]])</f>
        <v>EV_SEQTRGSEL_1</v>
      </c>
      <c r="E51" s="9" t="str">
        <f>IF(Table13[[#This Row],[template]]="","","0x"&amp;Table13[[#This Row],[IP_Index]]&amp;DEC2HEX(Table13[[#This Row],[Addr_Dec]]*4,7))</f>
        <v>0x1000010C</v>
      </c>
      <c r="F51" s="9" t="str">
        <f>IF(Table13[[#This Row],[template]]="","",VLOOKUP(Table13[[#This Row],[template]],Table2915[],2,FALSE))</f>
        <v>asynParamInt32</v>
      </c>
      <c r="G51" s="18" t="str">
        <f>IF(Table13[[#This Row],[template]]="","","1")</f>
        <v>1</v>
      </c>
      <c r="H51" s="10"/>
      <c r="I51" s="13" t="str">
        <f>IF(Table13[[#This Row],[template]]="","","0x"&amp;Table13[[#This Row],[D_Index]]&amp;"000")</f>
        <v>0x04040000</v>
      </c>
      <c r="J51" s="18"/>
      <c r="K51" s="10">
        <v>0</v>
      </c>
      <c r="L51" s="10"/>
      <c r="M51" s="11" t="str">
        <f>IF(Table13[[#This Row],[template]]="","",VLOOKUP(Table13[[#This Row],[template]],Table2915[],3,FALSE))</f>
        <v xml:space="preserve"> </v>
      </c>
      <c r="N51" s="10"/>
      <c r="O51" s="11"/>
      <c r="P51" s="9" t="str">
        <f>IF(Table13[[#This Row],[template]]="","",Table13[[#This Row],[IP]]&amp;"_"&amp;Table13[[#This Row],[PARAM_NAME]]&amp;IF(Table13[[#This Row],[SUB]]="","","_"&amp;Table13[[#This Row],[SUB]]))</f>
        <v>ev_seqTrgSel_1</v>
      </c>
      <c r="Q51" s="1" t="s">
        <v>262</v>
      </c>
      <c r="R51" s="1" t="s">
        <v>394</v>
      </c>
      <c r="S51" s="6" t="s">
        <v>271</v>
      </c>
      <c r="T51" s="4">
        <v>43</v>
      </c>
      <c r="U51" s="6" t="s">
        <v>363</v>
      </c>
      <c r="V51" s="1" t="s">
        <v>313</v>
      </c>
      <c r="W51" s="16">
        <v>4</v>
      </c>
      <c r="X51" s="6" t="s">
        <v>363</v>
      </c>
      <c r="AA51" s="11">
        <f>IF(Table13[[#This Row],[template]]="","",VLOOKUP(Table13[[#This Row],[IP]],Table51117[],2,FALSE))</f>
        <v>1</v>
      </c>
      <c r="AB51" s="13" t="str">
        <f>IF(Table13[[#This Row],[template]]="","",DEC2HEX(VLOOKUP(Table13[[#This Row],[D1-Type]],Table351218[],2,FALSE),1)&amp;DEC2HEX(VLOOKUP(Table13[[#This Row],[D2-Type]],Table31016[],2,FALSE),1)&amp; DEC2HEX(Table13[[#This Row],[D2-Offset]],2)&amp;DEC2HEX(VLOOKUP(Table13[[#This Row],[D3-Type]],Table371319[],2,FALSE),1))</f>
        <v>04040</v>
      </c>
      <c r="AC51" s="14">
        <f>IF(Table13[[#This Row],[template]]="","",HEX2DEC(Table13[[#This Row],[Addr_Hex]]))</f>
        <v>67</v>
      </c>
    </row>
    <row r="52" spans="2:29" x14ac:dyDescent="0.3">
      <c r="B52" s="4">
        <v>112</v>
      </c>
      <c r="C52" s="4"/>
      <c r="D52" s="9" t="str">
        <f>UPPER(Table13[[#This Row],[SIGNAL]])</f>
        <v/>
      </c>
      <c r="E52" s="9" t="str">
        <f>IF(Table13[[#This Row],[template]]="","","0x"&amp;Table13[[#This Row],[IP_Index]]&amp;DEC2HEX(Table13[[#This Row],[Addr_Dec]]*4,7))</f>
        <v/>
      </c>
      <c r="F52" s="9" t="str">
        <f>IF(Table13[[#This Row],[template]]="","",VLOOKUP(Table13[[#This Row],[template]],Table2915[],2,FALSE))</f>
        <v/>
      </c>
      <c r="G52" s="18" t="str">
        <f>IF(Table13[[#This Row],[template]]="","","1")</f>
        <v/>
      </c>
      <c r="H52" s="10"/>
      <c r="I52" s="13" t="str">
        <f>IF(Table13[[#This Row],[template]]="","","0x"&amp;Table13[[#This Row],[D_Index]]&amp;"000")</f>
        <v/>
      </c>
      <c r="J52" s="18"/>
      <c r="K52" s="10">
        <v>0</v>
      </c>
      <c r="L52" s="10"/>
      <c r="M52" s="11" t="str">
        <f>IF(Table13[[#This Row],[template]]="","",VLOOKUP(Table13[[#This Row],[template]],Table2915[],3,FALSE))</f>
        <v/>
      </c>
      <c r="N52" s="10"/>
      <c r="O52" s="11"/>
      <c r="P52" s="9" t="str">
        <f>IF(Table13[[#This Row],[template]]="","",Table13[[#This Row],[IP]]&amp;"_"&amp;Table13[[#This Row],[PARAM_NAME]]&amp;IF(Table13[[#This Row],[SUB]]="","","_"&amp;Table13[[#This Row],[SUB]]))</f>
        <v/>
      </c>
      <c r="S52" s="6"/>
      <c r="T52" s="4"/>
      <c r="U52" s="6"/>
      <c r="W52" s="16"/>
      <c r="X52" s="6"/>
      <c r="AA52" s="11" t="str">
        <f>IF(Table13[[#This Row],[template]]="","",VLOOKUP(Table13[[#This Row],[IP]],Table51117[],2,FALSE))</f>
        <v/>
      </c>
      <c r="AB52" s="13" t="str">
        <f>IF(Table13[[#This Row],[template]]="","",DEC2HEX(VLOOKUP(Table13[[#This Row],[D1-Type]],Table351218[],2,FALSE),1)&amp;DEC2HEX(VLOOKUP(Table13[[#This Row],[D2-Type]],Table31016[],2,FALSE),1)&amp; DEC2HEX(Table13[[#This Row],[D2-Offset]],2)&amp;DEC2HEX(VLOOKUP(Table13[[#This Row],[D3-Type]],Table371319[],2,FALSE),1))</f>
        <v/>
      </c>
      <c r="AC52" s="14" t="str">
        <f>IF(Table13[[#This Row],[template]]="","",HEX2DEC(Table13[[#This Row],[Addr_Hex]]))</f>
        <v/>
      </c>
    </row>
    <row r="53" spans="2:29" x14ac:dyDescent="0.3">
      <c r="B53" s="4">
        <v>113</v>
      </c>
      <c r="C53" s="4" t="s">
        <v>233</v>
      </c>
      <c r="D53" s="9" t="str">
        <f>UPPER(Table13[[#This Row],[SIGNAL]])</f>
        <v>EV_SEQTRGMSKA_0</v>
      </c>
      <c r="E53" s="9" t="str">
        <f>IF(Table13[[#This Row],[template]]="","","0x"&amp;Table13[[#This Row],[IP_Index]]&amp;DEC2HEX(Table13[[#This Row],[Addr_Dec]]*4,7))</f>
        <v>0x10000110</v>
      </c>
      <c r="F53" s="9" t="str">
        <f>IF(Table13[[#This Row],[template]]="","",VLOOKUP(Table13[[#This Row],[template]],Table2915[],2,FALSE))</f>
        <v>asynParamInt32</v>
      </c>
      <c r="G53" s="18" t="str">
        <f>IF(Table13[[#This Row],[template]]="","","1")</f>
        <v>1</v>
      </c>
      <c r="H53" s="10"/>
      <c r="I53" s="13" t="str">
        <f>IF(Table13[[#This Row],[template]]="","","0x"&amp;Table13[[#This Row],[D_Index]]&amp;"000")</f>
        <v>0x01000000</v>
      </c>
      <c r="J53" s="18"/>
      <c r="K53" s="10">
        <v>0</v>
      </c>
      <c r="L53" s="10"/>
      <c r="M53" s="11" t="str">
        <f>IF(Table13[[#This Row],[template]]="","",VLOOKUP(Table13[[#This Row],[template]],Table2915[],3,FALSE))</f>
        <v xml:space="preserve"> </v>
      </c>
      <c r="N53" s="10"/>
      <c r="O53" s="11"/>
      <c r="P53" s="9" t="str">
        <f>IF(Table13[[#This Row],[template]]="","",Table13[[#This Row],[IP]]&amp;"_"&amp;Table13[[#This Row],[PARAM_NAME]]&amp;IF(Table13[[#This Row],[SUB]]="","","_"&amp;Table13[[#This Row],[SUB]]))</f>
        <v>ev_seqTrgMskA_0</v>
      </c>
      <c r="Q53" s="1" t="s">
        <v>262</v>
      </c>
      <c r="R53" s="1" t="s">
        <v>395</v>
      </c>
      <c r="S53" s="6" t="s">
        <v>367</v>
      </c>
      <c r="T53" s="4">
        <v>44</v>
      </c>
      <c r="U53" s="6" t="s">
        <v>363</v>
      </c>
      <c r="V53" s="1" t="s">
        <v>254</v>
      </c>
      <c r="W53" s="16">
        <v>0</v>
      </c>
      <c r="X53" s="6" t="s">
        <v>363</v>
      </c>
      <c r="AA53" s="11">
        <f>IF(Table13[[#This Row],[template]]="","",VLOOKUP(Table13[[#This Row],[IP]],Table51117[],2,FALSE))</f>
        <v>1</v>
      </c>
      <c r="AB53" s="13" t="str">
        <f>IF(Table13[[#This Row],[template]]="","",DEC2HEX(VLOOKUP(Table13[[#This Row],[D1-Type]],Table351218[],2,FALSE),1)&amp;DEC2HEX(VLOOKUP(Table13[[#This Row],[D2-Type]],Table31016[],2,FALSE),1)&amp; DEC2HEX(Table13[[#This Row],[D2-Offset]],2)&amp;DEC2HEX(VLOOKUP(Table13[[#This Row],[D3-Type]],Table371319[],2,FALSE),1))</f>
        <v>01000</v>
      </c>
      <c r="AC53" s="14">
        <f>IF(Table13[[#This Row],[template]]="","",HEX2DEC(Table13[[#This Row],[Addr_Hex]]))</f>
        <v>68</v>
      </c>
    </row>
    <row r="54" spans="2:29" x14ac:dyDescent="0.3">
      <c r="B54" s="4">
        <v>114</v>
      </c>
      <c r="C54" s="4" t="s">
        <v>233</v>
      </c>
      <c r="D54" s="9" t="str">
        <f>UPPER(Table13[[#This Row],[SIGNAL]])</f>
        <v>EV_SEQTRGMSKA_1</v>
      </c>
      <c r="E54" s="9" t="str">
        <f>IF(Table13[[#This Row],[template]]="","","0x"&amp;Table13[[#This Row],[IP_Index]]&amp;DEC2HEX(Table13[[#This Row],[Addr_Dec]]*4,7))</f>
        <v>0x10000114</v>
      </c>
      <c r="F54" s="9" t="str">
        <f>IF(Table13[[#This Row],[template]]="","",VLOOKUP(Table13[[#This Row],[template]],Table2915[],2,FALSE))</f>
        <v>asynParamInt32</v>
      </c>
      <c r="G54" s="18" t="str">
        <f>IF(Table13[[#This Row],[template]]="","","1")</f>
        <v>1</v>
      </c>
      <c r="H54" s="10"/>
      <c r="I54" s="13" t="str">
        <f>IF(Table13[[#This Row],[template]]="","","0x"&amp;Table13[[#This Row],[D_Index]]&amp;"000")</f>
        <v>0x01000000</v>
      </c>
      <c r="J54" s="18"/>
      <c r="K54" s="10">
        <v>0</v>
      </c>
      <c r="L54" s="10"/>
      <c r="M54" s="11" t="str">
        <f>IF(Table13[[#This Row],[template]]="","",VLOOKUP(Table13[[#This Row],[template]],Table2915[],3,FALSE))</f>
        <v xml:space="preserve"> </v>
      </c>
      <c r="N54" s="10"/>
      <c r="O54" s="11"/>
      <c r="P54" s="9" t="str">
        <f>IF(Table13[[#This Row],[template]]="","",Table13[[#This Row],[IP]]&amp;"_"&amp;Table13[[#This Row],[PARAM_NAME]]&amp;IF(Table13[[#This Row],[SUB]]="","","_"&amp;Table13[[#This Row],[SUB]]))</f>
        <v>ev_seqTrgMskA_1</v>
      </c>
      <c r="Q54" s="1" t="s">
        <v>262</v>
      </c>
      <c r="R54" s="1" t="s">
        <v>395</v>
      </c>
      <c r="S54" s="6" t="s">
        <v>271</v>
      </c>
      <c r="T54" s="4">
        <v>45</v>
      </c>
      <c r="U54" s="6" t="s">
        <v>363</v>
      </c>
      <c r="V54" s="1" t="s">
        <v>254</v>
      </c>
      <c r="W54" s="16">
        <v>0</v>
      </c>
      <c r="X54" s="6" t="s">
        <v>363</v>
      </c>
      <c r="AA54" s="11">
        <f>IF(Table13[[#This Row],[template]]="","",VLOOKUP(Table13[[#This Row],[IP]],Table51117[],2,FALSE))</f>
        <v>1</v>
      </c>
      <c r="AB54" s="13" t="str">
        <f>IF(Table13[[#This Row],[template]]="","",DEC2HEX(VLOOKUP(Table13[[#This Row],[D1-Type]],Table351218[],2,FALSE),1)&amp;DEC2HEX(VLOOKUP(Table13[[#This Row],[D2-Type]],Table31016[],2,FALSE),1)&amp; DEC2HEX(Table13[[#This Row],[D2-Offset]],2)&amp;DEC2HEX(VLOOKUP(Table13[[#This Row],[D3-Type]],Table371319[],2,FALSE),1))</f>
        <v>01000</v>
      </c>
      <c r="AC54" s="14">
        <f>IF(Table13[[#This Row],[template]]="","",HEX2DEC(Table13[[#This Row],[Addr_Hex]]))</f>
        <v>69</v>
      </c>
    </row>
    <row r="55" spans="2:29" x14ac:dyDescent="0.3">
      <c r="B55" s="4">
        <v>115</v>
      </c>
      <c r="C55" s="4" t="s">
        <v>233</v>
      </c>
      <c r="D55" s="9" t="str">
        <f>UPPER(Table13[[#This Row],[SIGNAL]])</f>
        <v>EV_SEQTRGMSKB_0</v>
      </c>
      <c r="E55" s="9" t="str">
        <f>IF(Table13[[#This Row],[template]]="","","0x"&amp;Table13[[#This Row],[IP_Index]]&amp;DEC2HEX(Table13[[#This Row],[Addr_Dec]]*4,7))</f>
        <v>0x10000118</v>
      </c>
      <c r="F55" s="9" t="str">
        <f>IF(Table13[[#This Row],[template]]="","",VLOOKUP(Table13[[#This Row],[template]],Table2915[],2,FALSE))</f>
        <v>asynParamInt32</v>
      </c>
      <c r="G55" s="18" t="str">
        <f>IF(Table13[[#This Row],[template]]="","","1")</f>
        <v>1</v>
      </c>
      <c r="H55" s="10"/>
      <c r="I55" s="13" t="str">
        <f>IF(Table13[[#This Row],[template]]="","","0x"&amp;Table13[[#This Row],[D_Index]]&amp;"000")</f>
        <v>0x01000000</v>
      </c>
      <c r="J55" s="18"/>
      <c r="K55" s="10">
        <v>0</v>
      </c>
      <c r="L55" s="10"/>
      <c r="M55" s="11" t="str">
        <f>IF(Table13[[#This Row],[template]]="","",VLOOKUP(Table13[[#This Row],[template]],Table2915[],3,FALSE))</f>
        <v xml:space="preserve"> </v>
      </c>
      <c r="N55" s="10"/>
      <c r="O55" s="11"/>
      <c r="P55" s="9" t="str">
        <f>IF(Table13[[#This Row],[template]]="","",Table13[[#This Row],[IP]]&amp;"_"&amp;Table13[[#This Row],[PARAM_NAME]]&amp;IF(Table13[[#This Row],[SUB]]="","","_"&amp;Table13[[#This Row],[SUB]]))</f>
        <v>ev_seqTrgMskB_0</v>
      </c>
      <c r="Q55" s="1" t="s">
        <v>262</v>
      </c>
      <c r="R55" s="1" t="s">
        <v>396</v>
      </c>
      <c r="S55" s="6" t="s">
        <v>367</v>
      </c>
      <c r="T55" s="4">
        <v>46</v>
      </c>
      <c r="U55" s="6" t="s">
        <v>363</v>
      </c>
      <c r="V55" s="1" t="s">
        <v>254</v>
      </c>
      <c r="W55" s="16">
        <v>0</v>
      </c>
      <c r="X55" s="6" t="s">
        <v>363</v>
      </c>
      <c r="AA55" s="11">
        <f>IF(Table13[[#This Row],[template]]="","",VLOOKUP(Table13[[#This Row],[IP]],Table51117[],2,FALSE))</f>
        <v>1</v>
      </c>
      <c r="AB55" s="13" t="str">
        <f>IF(Table13[[#This Row],[template]]="","",DEC2HEX(VLOOKUP(Table13[[#This Row],[D1-Type]],Table351218[],2,FALSE),1)&amp;DEC2HEX(VLOOKUP(Table13[[#This Row],[D2-Type]],Table31016[],2,FALSE),1)&amp; DEC2HEX(Table13[[#This Row],[D2-Offset]],2)&amp;DEC2HEX(VLOOKUP(Table13[[#This Row],[D3-Type]],Table371319[],2,FALSE),1))</f>
        <v>01000</v>
      </c>
      <c r="AC55" s="14">
        <f>IF(Table13[[#This Row],[template]]="","",HEX2DEC(Table13[[#This Row],[Addr_Hex]]))</f>
        <v>70</v>
      </c>
    </row>
    <row r="56" spans="2:29" x14ac:dyDescent="0.3">
      <c r="B56" s="4">
        <v>116</v>
      </c>
      <c r="C56" s="4" t="s">
        <v>233</v>
      </c>
      <c r="D56" s="9" t="str">
        <f>UPPER(Table13[[#This Row],[SIGNAL]])</f>
        <v>EV_SEQTRGMSKB_1</v>
      </c>
      <c r="E56" s="9" t="str">
        <f>IF(Table13[[#This Row],[template]]="","","0x"&amp;Table13[[#This Row],[IP_Index]]&amp;DEC2HEX(Table13[[#This Row],[Addr_Dec]]*4,7))</f>
        <v>0x1000011C</v>
      </c>
      <c r="F56" s="9" t="str">
        <f>IF(Table13[[#This Row],[template]]="","",VLOOKUP(Table13[[#This Row],[template]],Table2915[],2,FALSE))</f>
        <v>asynParamInt32</v>
      </c>
      <c r="G56" s="18" t="str">
        <f>IF(Table13[[#This Row],[template]]="","","1")</f>
        <v>1</v>
      </c>
      <c r="H56" s="10"/>
      <c r="I56" s="13" t="str">
        <f>IF(Table13[[#This Row],[template]]="","","0x"&amp;Table13[[#This Row],[D_Index]]&amp;"000")</f>
        <v>0x01000000</v>
      </c>
      <c r="J56" s="18"/>
      <c r="K56" s="10">
        <v>0</v>
      </c>
      <c r="L56" s="10"/>
      <c r="M56" s="11" t="str">
        <f>IF(Table13[[#This Row],[template]]="","",VLOOKUP(Table13[[#This Row],[template]],Table2915[],3,FALSE))</f>
        <v xml:space="preserve"> </v>
      </c>
      <c r="N56" s="10"/>
      <c r="O56" s="11"/>
      <c r="P56" s="9" t="str">
        <f>IF(Table13[[#This Row],[template]]="","",Table13[[#This Row],[IP]]&amp;"_"&amp;Table13[[#This Row],[PARAM_NAME]]&amp;IF(Table13[[#This Row],[SUB]]="","","_"&amp;Table13[[#This Row],[SUB]]))</f>
        <v>ev_seqTrgMskB_1</v>
      </c>
      <c r="Q56" s="1" t="s">
        <v>262</v>
      </c>
      <c r="R56" s="1" t="s">
        <v>396</v>
      </c>
      <c r="S56" s="6" t="s">
        <v>271</v>
      </c>
      <c r="T56" s="4">
        <v>47</v>
      </c>
      <c r="U56" s="6" t="s">
        <v>363</v>
      </c>
      <c r="V56" s="1" t="s">
        <v>254</v>
      </c>
      <c r="W56" s="16">
        <v>0</v>
      </c>
      <c r="X56" s="6" t="s">
        <v>363</v>
      </c>
      <c r="AA56" s="11">
        <f>IF(Table13[[#This Row],[template]]="","",VLOOKUP(Table13[[#This Row],[IP]],Table51117[],2,FALSE))</f>
        <v>1</v>
      </c>
      <c r="AB56" s="13" t="str">
        <f>IF(Table13[[#This Row],[template]]="","",DEC2HEX(VLOOKUP(Table13[[#This Row],[D1-Type]],Table351218[],2,FALSE),1)&amp;DEC2HEX(VLOOKUP(Table13[[#This Row],[D2-Type]],Table31016[],2,FALSE),1)&amp; DEC2HEX(Table13[[#This Row],[D2-Offset]],2)&amp;DEC2HEX(VLOOKUP(Table13[[#This Row],[D3-Type]],Table371319[],2,FALSE),1))</f>
        <v>01000</v>
      </c>
      <c r="AC56" s="14">
        <f>IF(Table13[[#This Row],[template]]="","",HEX2DEC(Table13[[#This Row],[Addr_Hex]]))</f>
        <v>71</v>
      </c>
    </row>
    <row r="57" spans="2:29" x14ac:dyDescent="0.3">
      <c r="B57" s="4">
        <v>117</v>
      </c>
      <c r="C57" s="4" t="s">
        <v>233</v>
      </c>
      <c r="D57" s="9" t="str">
        <f>UPPER(Table13[[#This Row],[SIGNAL]])</f>
        <v>EV_SEQ_REPEATREG_0</v>
      </c>
      <c r="E57" s="9" t="str">
        <f>IF(Table13[[#This Row],[template]]="","","0x"&amp;Table13[[#This Row],[IP_Index]]&amp;DEC2HEX(Table13[[#This Row],[Addr_Dec]]*4,7))</f>
        <v>0x10000120</v>
      </c>
      <c r="F57" s="9" t="str">
        <f>IF(Table13[[#This Row],[template]]="","",VLOOKUP(Table13[[#This Row],[template]],Table2915[],2,FALSE))</f>
        <v>asynParamInt32</v>
      </c>
      <c r="G57" s="18" t="str">
        <f>IF(Table13[[#This Row],[template]]="","","1")</f>
        <v>1</v>
      </c>
      <c r="H57" s="10"/>
      <c r="I57" s="13" t="str">
        <f>IF(Table13[[#This Row],[template]]="","","0x"&amp;Table13[[#This Row],[D_Index]]&amp;"000")</f>
        <v>0x01000000</v>
      </c>
      <c r="J57" s="18"/>
      <c r="K57" s="10">
        <v>0</v>
      </c>
      <c r="L57" s="10"/>
      <c r="M57" s="11" t="str">
        <f>IF(Table13[[#This Row],[template]]="","",VLOOKUP(Table13[[#This Row],[template]],Table2915[],3,FALSE))</f>
        <v xml:space="preserve"> </v>
      </c>
      <c r="N57" s="10"/>
      <c r="O57" s="11"/>
      <c r="P57" s="9" t="str">
        <f>IF(Table13[[#This Row],[template]]="","",Table13[[#This Row],[IP]]&amp;"_"&amp;Table13[[#This Row],[PARAM_NAME]]&amp;IF(Table13[[#This Row],[SUB]]="","","_"&amp;Table13[[#This Row],[SUB]]))</f>
        <v>ev_seq_repeatReg_0</v>
      </c>
      <c r="Q57" s="1" t="s">
        <v>262</v>
      </c>
      <c r="R57" s="1" t="s">
        <v>397</v>
      </c>
      <c r="S57" s="6" t="s">
        <v>367</v>
      </c>
      <c r="T57" s="4">
        <v>48</v>
      </c>
      <c r="U57" s="6" t="s">
        <v>363</v>
      </c>
      <c r="V57" s="1" t="s">
        <v>254</v>
      </c>
      <c r="W57" s="16">
        <v>0</v>
      </c>
      <c r="X57" s="6" t="s">
        <v>363</v>
      </c>
      <c r="AA57" s="11">
        <f>IF(Table13[[#This Row],[template]]="","",VLOOKUP(Table13[[#This Row],[IP]],Table51117[],2,FALSE))</f>
        <v>1</v>
      </c>
      <c r="AB57" s="13" t="str">
        <f>IF(Table13[[#This Row],[template]]="","",DEC2HEX(VLOOKUP(Table13[[#This Row],[D1-Type]],Table351218[],2,FALSE),1)&amp;DEC2HEX(VLOOKUP(Table13[[#This Row],[D2-Type]],Table31016[],2,FALSE),1)&amp; DEC2HEX(Table13[[#This Row],[D2-Offset]],2)&amp;DEC2HEX(VLOOKUP(Table13[[#This Row],[D3-Type]],Table371319[],2,FALSE),1))</f>
        <v>01000</v>
      </c>
      <c r="AC57" s="14">
        <f>IF(Table13[[#This Row],[template]]="","",HEX2DEC(Table13[[#This Row],[Addr_Hex]]))</f>
        <v>72</v>
      </c>
    </row>
    <row r="58" spans="2:29" x14ac:dyDescent="0.3">
      <c r="B58" s="4">
        <v>118</v>
      </c>
      <c r="C58" s="4" t="s">
        <v>233</v>
      </c>
      <c r="D58" s="9" t="str">
        <f>UPPER(Table13[[#This Row],[SIGNAL]])</f>
        <v>EV_SEQ_REPEATREG_1</v>
      </c>
      <c r="E58" s="9" t="str">
        <f>IF(Table13[[#This Row],[template]]="","","0x"&amp;Table13[[#This Row],[IP_Index]]&amp;DEC2HEX(Table13[[#This Row],[Addr_Dec]]*4,7))</f>
        <v>0x10000124</v>
      </c>
      <c r="F58" s="9" t="str">
        <f>IF(Table13[[#This Row],[template]]="","",VLOOKUP(Table13[[#This Row],[template]],Table2915[],2,FALSE))</f>
        <v>asynParamInt32</v>
      </c>
      <c r="G58" s="18" t="str">
        <f>IF(Table13[[#This Row],[template]]="","","1")</f>
        <v>1</v>
      </c>
      <c r="H58" s="10"/>
      <c r="I58" s="13" t="str">
        <f>IF(Table13[[#This Row],[template]]="","","0x"&amp;Table13[[#This Row],[D_Index]]&amp;"000")</f>
        <v>0x01000000</v>
      </c>
      <c r="J58" s="18"/>
      <c r="K58" s="10">
        <v>0</v>
      </c>
      <c r="L58" s="10"/>
      <c r="M58" s="11" t="str">
        <f>IF(Table13[[#This Row],[template]]="","",VLOOKUP(Table13[[#This Row],[template]],Table2915[],3,FALSE))</f>
        <v xml:space="preserve"> </v>
      </c>
      <c r="N58" s="10"/>
      <c r="O58" s="11"/>
      <c r="P58" s="9" t="str">
        <f>IF(Table13[[#This Row],[template]]="","",Table13[[#This Row],[IP]]&amp;"_"&amp;Table13[[#This Row],[PARAM_NAME]]&amp;IF(Table13[[#This Row],[SUB]]="","","_"&amp;Table13[[#This Row],[SUB]]))</f>
        <v>ev_seq_repeatReg_1</v>
      </c>
      <c r="Q58" s="1" t="s">
        <v>262</v>
      </c>
      <c r="R58" s="1" t="s">
        <v>397</v>
      </c>
      <c r="S58" s="6" t="s">
        <v>271</v>
      </c>
      <c r="T58" s="4">
        <v>49</v>
      </c>
      <c r="U58" s="6" t="s">
        <v>363</v>
      </c>
      <c r="V58" s="1" t="s">
        <v>254</v>
      </c>
      <c r="W58" s="16">
        <v>0</v>
      </c>
      <c r="X58" s="6" t="s">
        <v>363</v>
      </c>
      <c r="AA58" s="11">
        <f>IF(Table13[[#This Row],[template]]="","",VLOOKUP(Table13[[#This Row],[IP]],Table51117[],2,FALSE))</f>
        <v>1</v>
      </c>
      <c r="AB58" s="13" t="str">
        <f>IF(Table13[[#This Row],[template]]="","",DEC2HEX(VLOOKUP(Table13[[#This Row],[D1-Type]],Table351218[],2,FALSE),1)&amp;DEC2HEX(VLOOKUP(Table13[[#This Row],[D2-Type]],Table31016[],2,FALSE),1)&amp; DEC2HEX(Table13[[#This Row],[D2-Offset]],2)&amp;DEC2HEX(VLOOKUP(Table13[[#This Row],[D3-Type]],Table371319[],2,FALSE),1))</f>
        <v>01000</v>
      </c>
      <c r="AC58" s="14">
        <f>IF(Table13[[#This Row],[template]]="","",HEX2DEC(Table13[[#This Row],[Addr_Hex]]))</f>
        <v>73</v>
      </c>
    </row>
    <row r="59" spans="2:29" x14ac:dyDescent="0.3">
      <c r="B59" s="4">
        <v>119</v>
      </c>
      <c r="C59" s="4"/>
      <c r="D59" s="9" t="str">
        <f>UPPER(Table13[[#This Row],[SIGNAL]])</f>
        <v/>
      </c>
      <c r="E59" s="9" t="str">
        <f>IF(Table13[[#This Row],[template]]="","","0x"&amp;Table13[[#This Row],[IP_Index]]&amp;DEC2HEX(Table13[[#This Row],[Addr_Dec]]*4,7))</f>
        <v/>
      </c>
      <c r="F59" s="9" t="str">
        <f>IF(Table13[[#This Row],[template]]="","",VLOOKUP(Table13[[#This Row],[template]],Table2915[],2,FALSE))</f>
        <v/>
      </c>
      <c r="G59" s="18" t="str">
        <f>IF(Table13[[#This Row],[template]]="","","1")</f>
        <v/>
      </c>
      <c r="H59" s="10"/>
      <c r="I59" s="13" t="str">
        <f>IF(Table13[[#This Row],[template]]="","","0x"&amp;Table13[[#This Row],[D_Index]]&amp;"000")</f>
        <v/>
      </c>
      <c r="J59" s="18"/>
      <c r="K59" s="10">
        <v>0</v>
      </c>
      <c r="L59" s="10"/>
      <c r="M59" s="11" t="str">
        <f>IF(Table13[[#This Row],[template]]="","",VLOOKUP(Table13[[#This Row],[template]],Table2915[],3,FALSE))</f>
        <v/>
      </c>
      <c r="N59" s="10"/>
      <c r="O59" s="11"/>
      <c r="P59" s="9" t="str">
        <f>IF(Table13[[#This Row],[template]]="","",Table13[[#This Row],[IP]]&amp;"_"&amp;Table13[[#This Row],[PARAM_NAME]]&amp;IF(Table13[[#This Row],[SUB]]="","","_"&amp;Table13[[#This Row],[SUB]]))</f>
        <v/>
      </c>
      <c r="S59" s="6"/>
      <c r="T59" s="4"/>
      <c r="U59" s="6"/>
      <c r="W59" s="16"/>
      <c r="X59" s="6"/>
      <c r="AA59" s="11" t="str">
        <f>IF(Table13[[#This Row],[template]]="","",VLOOKUP(Table13[[#This Row],[IP]],Table51117[],2,FALSE))</f>
        <v/>
      </c>
      <c r="AB59" s="13" t="str">
        <f>IF(Table13[[#This Row],[template]]="","",DEC2HEX(VLOOKUP(Table13[[#This Row],[D1-Type]],Table351218[],2,FALSE),1)&amp;DEC2HEX(VLOOKUP(Table13[[#This Row],[D2-Type]],Table31016[],2,FALSE),1)&amp; DEC2HEX(Table13[[#This Row],[D2-Offset]],2)&amp;DEC2HEX(VLOOKUP(Table13[[#This Row],[D3-Type]],Table371319[],2,FALSE),1))</f>
        <v/>
      </c>
      <c r="AC59" s="14" t="str">
        <f>IF(Table13[[#This Row],[template]]="","",HEX2DEC(Table13[[#This Row],[Addr_Hex]]))</f>
        <v/>
      </c>
    </row>
    <row r="60" spans="2:29" x14ac:dyDescent="0.3">
      <c r="B60" s="4">
        <v>120</v>
      </c>
      <c r="C60" s="4" t="s">
        <v>233</v>
      </c>
      <c r="D60" s="9" t="str">
        <f>UPPER(Table13[[#This Row],[SIGNAL]])</f>
        <v>EV_MXC14_PRESCALERREG_0</v>
      </c>
      <c r="E60" s="9" t="str">
        <f>IF(Table13[[#This Row],[template]]="","","0x"&amp;Table13[[#This Row],[IP_Index]]&amp;DEC2HEX(Table13[[#This Row],[Addr_Dec]]*4,7))</f>
        <v>0x10000140</v>
      </c>
      <c r="F60" s="9" t="str">
        <f>IF(Table13[[#This Row],[template]]="","",VLOOKUP(Table13[[#This Row],[template]],Table2915[],2,FALSE))</f>
        <v>asynParamInt32</v>
      </c>
      <c r="G60" s="18" t="str">
        <f>IF(Table13[[#This Row],[template]]="","","1")</f>
        <v>1</v>
      </c>
      <c r="H60" s="10"/>
      <c r="I60" s="13" t="str">
        <f>IF(Table13[[#This Row],[template]]="","","0x"&amp;Table13[[#This Row],[D_Index]]&amp;"000")</f>
        <v>0x01000000</v>
      </c>
      <c r="J60" s="18"/>
      <c r="K60" s="10">
        <v>0</v>
      </c>
      <c r="L60" s="10"/>
      <c r="M60" s="11" t="str">
        <f>IF(Table13[[#This Row],[template]]="","",VLOOKUP(Table13[[#This Row],[template]],Table2915[],3,FALSE))</f>
        <v xml:space="preserve"> </v>
      </c>
      <c r="N60" s="10"/>
      <c r="O60" s="11"/>
      <c r="P60" s="9" t="str">
        <f>IF(Table13[[#This Row],[template]]="","",Table13[[#This Row],[IP]]&amp;"_"&amp;Table13[[#This Row],[PARAM_NAME]]&amp;IF(Table13[[#This Row],[SUB]]="","","_"&amp;Table13[[#This Row],[SUB]]))</f>
        <v>ev_mxc14_prescalerReg_0</v>
      </c>
      <c r="Q60" s="1" t="s">
        <v>262</v>
      </c>
      <c r="R60" s="1" t="s">
        <v>398</v>
      </c>
      <c r="S60" s="6" t="s">
        <v>367</v>
      </c>
      <c r="T60" s="4">
        <v>50</v>
      </c>
      <c r="U60" s="6" t="s">
        <v>363</v>
      </c>
      <c r="V60" s="1" t="s">
        <v>254</v>
      </c>
      <c r="W60" s="16">
        <v>0</v>
      </c>
      <c r="X60" s="6" t="s">
        <v>363</v>
      </c>
      <c r="AA60" s="11">
        <f>IF(Table13[[#This Row],[template]]="","",VLOOKUP(Table13[[#This Row],[IP]],Table51117[],2,FALSE))</f>
        <v>1</v>
      </c>
      <c r="AB60" s="13" t="str">
        <f>IF(Table13[[#This Row],[template]]="","",DEC2HEX(VLOOKUP(Table13[[#This Row],[D1-Type]],Table351218[],2,FALSE),1)&amp;DEC2HEX(VLOOKUP(Table13[[#This Row],[D2-Type]],Table31016[],2,FALSE),1)&amp; DEC2HEX(Table13[[#This Row],[D2-Offset]],2)&amp;DEC2HEX(VLOOKUP(Table13[[#This Row],[D3-Type]],Table371319[],2,FALSE),1))</f>
        <v>01000</v>
      </c>
      <c r="AC60" s="14">
        <f>IF(Table13[[#This Row],[template]]="","",HEX2DEC(Table13[[#This Row],[Addr_Hex]]))</f>
        <v>80</v>
      </c>
    </row>
    <row r="61" spans="2:29" x14ac:dyDescent="0.3">
      <c r="B61" s="4">
        <v>121</v>
      </c>
      <c r="C61" s="4" t="s">
        <v>233</v>
      </c>
      <c r="D61" s="9" t="str">
        <f>UPPER(Table13[[#This Row],[SIGNAL]])</f>
        <v>EV_MXC14_PRESCALERREG_1</v>
      </c>
      <c r="E61" s="9" t="str">
        <f>IF(Table13[[#This Row],[template]]="","","0x"&amp;Table13[[#This Row],[IP_Index]]&amp;DEC2HEX(Table13[[#This Row],[Addr_Dec]]*4,7))</f>
        <v>0x10000144</v>
      </c>
      <c r="F61" s="9" t="str">
        <f>IF(Table13[[#This Row],[template]]="","",VLOOKUP(Table13[[#This Row],[template]],Table2915[],2,FALSE))</f>
        <v>asynParamInt32</v>
      </c>
      <c r="G61" s="18" t="str">
        <f>IF(Table13[[#This Row],[template]]="","","1")</f>
        <v>1</v>
      </c>
      <c r="H61" s="10"/>
      <c r="I61" s="13" t="str">
        <f>IF(Table13[[#This Row],[template]]="","","0x"&amp;Table13[[#This Row],[D_Index]]&amp;"000")</f>
        <v>0x01000000</v>
      </c>
      <c r="J61" s="18"/>
      <c r="K61" s="10">
        <v>0</v>
      </c>
      <c r="L61" s="10"/>
      <c r="M61" s="11" t="str">
        <f>IF(Table13[[#This Row],[template]]="","",VLOOKUP(Table13[[#This Row],[template]],Table2915[],3,FALSE))</f>
        <v xml:space="preserve"> </v>
      </c>
      <c r="N61" s="10"/>
      <c r="O61" s="11"/>
      <c r="P61" s="9" t="str">
        <f>IF(Table13[[#This Row],[template]]="","",Table13[[#This Row],[IP]]&amp;"_"&amp;Table13[[#This Row],[PARAM_NAME]]&amp;IF(Table13[[#This Row],[SUB]]="","","_"&amp;Table13[[#This Row],[SUB]]))</f>
        <v>ev_mxc14_prescalerReg_1</v>
      </c>
      <c r="Q61" s="1" t="s">
        <v>262</v>
      </c>
      <c r="R61" s="1" t="s">
        <v>398</v>
      </c>
      <c r="S61" s="6" t="s">
        <v>271</v>
      </c>
      <c r="T61" s="4">
        <v>51</v>
      </c>
      <c r="U61" s="6" t="s">
        <v>363</v>
      </c>
      <c r="V61" s="1" t="s">
        <v>254</v>
      </c>
      <c r="W61" s="16">
        <v>0</v>
      </c>
      <c r="X61" s="6" t="s">
        <v>363</v>
      </c>
      <c r="AA61" s="11">
        <f>IF(Table13[[#This Row],[template]]="","",VLOOKUP(Table13[[#This Row],[IP]],Table51117[],2,FALSE))</f>
        <v>1</v>
      </c>
      <c r="AB61" s="13" t="str">
        <f>IF(Table13[[#This Row],[template]]="","",DEC2HEX(VLOOKUP(Table13[[#This Row],[D1-Type]],Table351218[],2,FALSE),1)&amp;DEC2HEX(VLOOKUP(Table13[[#This Row],[D2-Type]],Table31016[],2,FALSE),1)&amp; DEC2HEX(Table13[[#This Row],[D2-Offset]],2)&amp;DEC2HEX(VLOOKUP(Table13[[#This Row],[D3-Type]],Table371319[],2,FALSE),1))</f>
        <v>01000</v>
      </c>
      <c r="AC61" s="14">
        <f>IF(Table13[[#This Row],[template]]="","",HEX2DEC(Table13[[#This Row],[Addr_Hex]]))</f>
        <v>81</v>
      </c>
    </row>
    <row r="62" spans="2:29" x14ac:dyDescent="0.3">
      <c r="B62" s="4">
        <v>122</v>
      </c>
      <c r="C62" s="4" t="s">
        <v>233</v>
      </c>
      <c r="D62" s="9" t="str">
        <f>UPPER(Table13[[#This Row],[SIGNAL]])</f>
        <v>EV_MXC14_PRESCALERREG_2</v>
      </c>
      <c r="E62" s="9" t="str">
        <f>IF(Table13[[#This Row],[template]]="","","0x"&amp;Table13[[#This Row],[IP_Index]]&amp;DEC2HEX(Table13[[#This Row],[Addr_Dec]]*4,7))</f>
        <v>0x10000148</v>
      </c>
      <c r="F62" s="9" t="str">
        <f>IF(Table13[[#This Row],[template]]="","",VLOOKUP(Table13[[#This Row],[template]],Table2915[],2,FALSE))</f>
        <v>asynParamInt32</v>
      </c>
      <c r="G62" s="18" t="str">
        <f>IF(Table13[[#This Row],[template]]="","","1")</f>
        <v>1</v>
      </c>
      <c r="H62" s="10"/>
      <c r="I62" s="13" t="str">
        <f>IF(Table13[[#This Row],[template]]="","","0x"&amp;Table13[[#This Row],[D_Index]]&amp;"000")</f>
        <v>0x01000000</v>
      </c>
      <c r="J62" s="18"/>
      <c r="K62" s="10">
        <v>0</v>
      </c>
      <c r="L62" s="10"/>
      <c r="M62" s="11" t="str">
        <f>IF(Table13[[#This Row],[template]]="","",VLOOKUP(Table13[[#This Row],[template]],Table2915[],3,FALSE))</f>
        <v xml:space="preserve"> </v>
      </c>
      <c r="N62" s="10"/>
      <c r="O62" s="11"/>
      <c r="P62" s="9" t="str">
        <f>IF(Table13[[#This Row],[template]]="","",Table13[[#This Row],[IP]]&amp;"_"&amp;Table13[[#This Row],[PARAM_NAME]]&amp;IF(Table13[[#This Row],[SUB]]="","","_"&amp;Table13[[#This Row],[SUB]]))</f>
        <v>ev_mxc14_prescalerReg_2</v>
      </c>
      <c r="Q62" s="1" t="s">
        <v>262</v>
      </c>
      <c r="R62" s="1" t="s">
        <v>398</v>
      </c>
      <c r="S62" s="6" t="s">
        <v>243</v>
      </c>
      <c r="T62" s="4">
        <v>52</v>
      </c>
      <c r="U62" s="6" t="s">
        <v>363</v>
      </c>
      <c r="V62" s="1" t="s">
        <v>254</v>
      </c>
      <c r="W62" s="16">
        <v>0</v>
      </c>
      <c r="X62" s="6" t="s">
        <v>363</v>
      </c>
      <c r="AA62" s="11">
        <f>IF(Table13[[#This Row],[template]]="","",VLOOKUP(Table13[[#This Row],[IP]],Table51117[],2,FALSE))</f>
        <v>1</v>
      </c>
      <c r="AB62" s="13" t="str">
        <f>IF(Table13[[#This Row],[template]]="","",DEC2HEX(VLOOKUP(Table13[[#This Row],[D1-Type]],Table351218[],2,FALSE),1)&amp;DEC2HEX(VLOOKUP(Table13[[#This Row],[D2-Type]],Table31016[],2,FALSE),1)&amp; DEC2HEX(Table13[[#This Row],[D2-Offset]],2)&amp;DEC2HEX(VLOOKUP(Table13[[#This Row],[D3-Type]],Table371319[],2,FALSE),1))</f>
        <v>01000</v>
      </c>
      <c r="AC62" s="14">
        <f>IF(Table13[[#This Row],[template]]="","",HEX2DEC(Table13[[#This Row],[Addr_Hex]]))</f>
        <v>82</v>
      </c>
    </row>
    <row r="63" spans="2:29" x14ac:dyDescent="0.3">
      <c r="B63" s="4">
        <v>123</v>
      </c>
      <c r="C63" s="4" t="s">
        <v>233</v>
      </c>
      <c r="D63" s="9" t="str">
        <f>UPPER(Table13[[#This Row],[SIGNAL]])</f>
        <v>EV_MXC14_PRESCALERREG_3</v>
      </c>
      <c r="E63" s="9" t="str">
        <f>IF(Table13[[#This Row],[template]]="","","0x"&amp;Table13[[#This Row],[IP_Index]]&amp;DEC2HEX(Table13[[#This Row],[Addr_Dec]]*4,7))</f>
        <v>0x1000014C</v>
      </c>
      <c r="F63" s="9" t="str">
        <f>IF(Table13[[#This Row],[template]]="","",VLOOKUP(Table13[[#This Row],[template]],Table2915[],2,FALSE))</f>
        <v>asynParamInt32</v>
      </c>
      <c r="G63" s="18" t="str">
        <f>IF(Table13[[#This Row],[template]]="","","1")</f>
        <v>1</v>
      </c>
      <c r="H63" s="10"/>
      <c r="I63" s="13" t="str">
        <f>IF(Table13[[#This Row],[template]]="","","0x"&amp;Table13[[#This Row],[D_Index]]&amp;"000")</f>
        <v>0x01000000</v>
      </c>
      <c r="J63" s="18"/>
      <c r="K63" s="10">
        <v>0</v>
      </c>
      <c r="L63" s="10"/>
      <c r="M63" s="11" t="str">
        <f>IF(Table13[[#This Row],[template]]="","",VLOOKUP(Table13[[#This Row],[template]],Table2915[],3,FALSE))</f>
        <v xml:space="preserve"> </v>
      </c>
      <c r="N63" s="10"/>
      <c r="O63" s="11"/>
      <c r="P63" s="9" t="str">
        <f>IF(Table13[[#This Row],[template]]="","",Table13[[#This Row],[IP]]&amp;"_"&amp;Table13[[#This Row],[PARAM_NAME]]&amp;IF(Table13[[#This Row],[SUB]]="","","_"&amp;Table13[[#This Row],[SUB]]))</f>
        <v>ev_mxc14_prescalerReg_3</v>
      </c>
      <c r="Q63" s="1" t="s">
        <v>262</v>
      </c>
      <c r="R63" s="1" t="s">
        <v>398</v>
      </c>
      <c r="S63" s="6" t="s">
        <v>244</v>
      </c>
      <c r="T63" s="4">
        <v>53</v>
      </c>
      <c r="U63" s="6" t="s">
        <v>363</v>
      </c>
      <c r="V63" s="1" t="s">
        <v>254</v>
      </c>
      <c r="W63" s="16">
        <v>0</v>
      </c>
      <c r="X63" s="6" t="s">
        <v>363</v>
      </c>
      <c r="AA63" s="11">
        <f>IF(Table13[[#This Row],[template]]="","",VLOOKUP(Table13[[#This Row],[IP]],Table51117[],2,FALSE))</f>
        <v>1</v>
      </c>
      <c r="AB63" s="13" t="str">
        <f>IF(Table13[[#This Row],[template]]="","",DEC2HEX(VLOOKUP(Table13[[#This Row],[D1-Type]],Table351218[],2,FALSE),1)&amp;DEC2HEX(VLOOKUP(Table13[[#This Row],[D2-Type]],Table31016[],2,FALSE),1)&amp; DEC2HEX(Table13[[#This Row],[D2-Offset]],2)&amp;DEC2HEX(VLOOKUP(Table13[[#This Row],[D3-Type]],Table371319[],2,FALSE),1))</f>
        <v>01000</v>
      </c>
      <c r="AC63" s="14">
        <f>IF(Table13[[#This Row],[template]]="","",HEX2DEC(Table13[[#This Row],[Addr_Hex]]))</f>
        <v>83</v>
      </c>
    </row>
    <row r="64" spans="2:29" x14ac:dyDescent="0.3">
      <c r="B64" s="4">
        <v>124</v>
      </c>
      <c r="C64" s="4" t="s">
        <v>233</v>
      </c>
      <c r="D64" s="9" t="str">
        <f>UPPER(Table13[[#This Row],[SIGNAL]])</f>
        <v>EV_MXC14_PRESCALERREG_4</v>
      </c>
      <c r="E64" s="9" t="str">
        <f>IF(Table13[[#This Row],[template]]="","","0x"&amp;Table13[[#This Row],[IP_Index]]&amp;DEC2HEX(Table13[[#This Row],[Addr_Dec]]*4,7))</f>
        <v>0x10000150</v>
      </c>
      <c r="F64" s="9" t="str">
        <f>IF(Table13[[#This Row],[template]]="","",VLOOKUP(Table13[[#This Row],[template]],Table2915[],2,FALSE))</f>
        <v>asynParamInt32</v>
      </c>
      <c r="G64" s="18" t="str">
        <f>IF(Table13[[#This Row],[template]]="","","1")</f>
        <v>1</v>
      </c>
      <c r="H64" s="10"/>
      <c r="I64" s="13" t="str">
        <f>IF(Table13[[#This Row],[template]]="","","0x"&amp;Table13[[#This Row],[D_Index]]&amp;"000")</f>
        <v>0x01000000</v>
      </c>
      <c r="J64" s="18"/>
      <c r="K64" s="10">
        <v>0</v>
      </c>
      <c r="L64" s="10"/>
      <c r="M64" s="11" t="str">
        <f>IF(Table13[[#This Row],[template]]="","",VLOOKUP(Table13[[#This Row],[template]],Table2915[],3,FALSE))</f>
        <v xml:space="preserve"> </v>
      </c>
      <c r="N64" s="10"/>
      <c r="O64" s="11"/>
      <c r="P64" s="9" t="str">
        <f>IF(Table13[[#This Row],[template]]="","",Table13[[#This Row],[IP]]&amp;"_"&amp;Table13[[#This Row],[PARAM_NAME]]&amp;IF(Table13[[#This Row],[SUB]]="","","_"&amp;Table13[[#This Row],[SUB]]))</f>
        <v>ev_mxc14_prescalerReg_4</v>
      </c>
      <c r="Q64" s="1" t="s">
        <v>262</v>
      </c>
      <c r="R64" s="1" t="s">
        <v>398</v>
      </c>
      <c r="S64" s="6" t="s">
        <v>245</v>
      </c>
      <c r="T64" s="4">
        <v>54</v>
      </c>
      <c r="U64" s="6" t="s">
        <v>363</v>
      </c>
      <c r="V64" s="1" t="s">
        <v>254</v>
      </c>
      <c r="W64" s="16">
        <v>0</v>
      </c>
      <c r="X64" s="6" t="s">
        <v>363</v>
      </c>
      <c r="AA64" s="11">
        <f>IF(Table13[[#This Row],[template]]="","",VLOOKUP(Table13[[#This Row],[IP]],Table51117[],2,FALSE))</f>
        <v>1</v>
      </c>
      <c r="AB64" s="13" t="str">
        <f>IF(Table13[[#This Row],[template]]="","",DEC2HEX(VLOOKUP(Table13[[#This Row],[D1-Type]],Table351218[],2,FALSE),1)&amp;DEC2HEX(VLOOKUP(Table13[[#This Row],[D2-Type]],Table31016[],2,FALSE),1)&amp; DEC2HEX(Table13[[#This Row],[D2-Offset]],2)&amp;DEC2HEX(VLOOKUP(Table13[[#This Row],[D3-Type]],Table371319[],2,FALSE),1))</f>
        <v>01000</v>
      </c>
      <c r="AC64" s="14">
        <f>IF(Table13[[#This Row],[template]]="","",HEX2DEC(Table13[[#This Row],[Addr_Hex]]))</f>
        <v>84</v>
      </c>
    </row>
    <row r="65" spans="2:29" x14ac:dyDescent="0.3">
      <c r="B65" s="4">
        <v>125</v>
      </c>
      <c r="C65" s="4" t="s">
        <v>233</v>
      </c>
      <c r="D65" s="9" t="str">
        <f>UPPER(Table13[[#This Row],[SIGNAL]])</f>
        <v>EV_MXC14_PRESCALERREG_5</v>
      </c>
      <c r="E65" s="9" t="str">
        <f>IF(Table13[[#This Row],[template]]="","","0x"&amp;Table13[[#This Row],[IP_Index]]&amp;DEC2HEX(Table13[[#This Row],[Addr_Dec]]*4,7))</f>
        <v>0x10000154</v>
      </c>
      <c r="F65" s="9" t="str">
        <f>IF(Table13[[#This Row],[template]]="","",VLOOKUP(Table13[[#This Row],[template]],Table2915[],2,FALSE))</f>
        <v>asynParamInt32</v>
      </c>
      <c r="G65" s="18" t="str">
        <f>IF(Table13[[#This Row],[template]]="","","1")</f>
        <v>1</v>
      </c>
      <c r="H65" s="10"/>
      <c r="I65" s="13" t="str">
        <f>IF(Table13[[#This Row],[template]]="","","0x"&amp;Table13[[#This Row],[D_Index]]&amp;"000")</f>
        <v>0x01000000</v>
      </c>
      <c r="J65" s="18"/>
      <c r="K65" s="10">
        <v>0</v>
      </c>
      <c r="L65" s="10"/>
      <c r="M65" s="11" t="str">
        <f>IF(Table13[[#This Row],[template]]="","",VLOOKUP(Table13[[#This Row],[template]],Table2915[],3,FALSE))</f>
        <v xml:space="preserve"> </v>
      </c>
      <c r="N65" s="10"/>
      <c r="O65" s="11"/>
      <c r="P65" s="9" t="str">
        <f>IF(Table13[[#This Row],[template]]="","",Table13[[#This Row],[IP]]&amp;"_"&amp;Table13[[#This Row],[PARAM_NAME]]&amp;IF(Table13[[#This Row],[SUB]]="","","_"&amp;Table13[[#This Row],[SUB]]))</f>
        <v>ev_mxc14_prescalerReg_5</v>
      </c>
      <c r="Q65" s="1" t="s">
        <v>262</v>
      </c>
      <c r="R65" s="1" t="s">
        <v>398</v>
      </c>
      <c r="S65" s="6" t="s">
        <v>246</v>
      </c>
      <c r="T65" s="4">
        <v>55</v>
      </c>
      <c r="U65" s="6" t="s">
        <v>363</v>
      </c>
      <c r="V65" s="1" t="s">
        <v>254</v>
      </c>
      <c r="W65" s="16">
        <v>0</v>
      </c>
      <c r="X65" s="6" t="s">
        <v>363</v>
      </c>
      <c r="AA65" s="11">
        <f>IF(Table13[[#This Row],[template]]="","",VLOOKUP(Table13[[#This Row],[IP]],Table51117[],2,FALSE))</f>
        <v>1</v>
      </c>
      <c r="AB65" s="13" t="str">
        <f>IF(Table13[[#This Row],[template]]="","",DEC2HEX(VLOOKUP(Table13[[#This Row],[D1-Type]],Table351218[],2,FALSE),1)&amp;DEC2HEX(VLOOKUP(Table13[[#This Row],[D2-Type]],Table31016[],2,FALSE),1)&amp; DEC2HEX(Table13[[#This Row],[D2-Offset]],2)&amp;DEC2HEX(VLOOKUP(Table13[[#This Row],[D3-Type]],Table371319[],2,FALSE),1))</f>
        <v>01000</v>
      </c>
      <c r="AC65" s="14">
        <f>IF(Table13[[#This Row],[template]]="","",HEX2DEC(Table13[[#This Row],[Addr_Hex]]))</f>
        <v>85</v>
      </c>
    </row>
    <row r="66" spans="2:29" x14ac:dyDescent="0.3">
      <c r="B66" s="4">
        <v>126</v>
      </c>
      <c r="C66" s="4" t="s">
        <v>233</v>
      </c>
      <c r="D66" s="9" t="str">
        <f>UPPER(Table13[[#This Row],[SIGNAL]])</f>
        <v>EV_MXC14_PRESCALERREG_6</v>
      </c>
      <c r="E66" s="9" t="str">
        <f>IF(Table13[[#This Row],[template]]="","","0x"&amp;Table13[[#This Row],[IP_Index]]&amp;DEC2HEX(Table13[[#This Row],[Addr_Dec]]*4,7))</f>
        <v>0x10000158</v>
      </c>
      <c r="F66" s="9" t="str">
        <f>IF(Table13[[#This Row],[template]]="","",VLOOKUP(Table13[[#This Row],[template]],Table2915[],2,FALSE))</f>
        <v>asynParamInt32</v>
      </c>
      <c r="G66" s="18" t="str">
        <f>IF(Table13[[#This Row],[template]]="","","1")</f>
        <v>1</v>
      </c>
      <c r="H66" s="10"/>
      <c r="I66" s="13" t="str">
        <f>IF(Table13[[#This Row],[template]]="","","0x"&amp;Table13[[#This Row],[D_Index]]&amp;"000")</f>
        <v>0x01000000</v>
      </c>
      <c r="J66" s="18"/>
      <c r="K66" s="10">
        <v>0</v>
      </c>
      <c r="L66" s="10"/>
      <c r="M66" s="11" t="str">
        <f>IF(Table13[[#This Row],[template]]="","",VLOOKUP(Table13[[#This Row],[template]],Table2915[],3,FALSE))</f>
        <v xml:space="preserve"> </v>
      </c>
      <c r="N66" s="10"/>
      <c r="O66" s="11"/>
      <c r="P66" s="9" t="str">
        <f>IF(Table13[[#This Row],[template]]="","",Table13[[#This Row],[IP]]&amp;"_"&amp;Table13[[#This Row],[PARAM_NAME]]&amp;IF(Table13[[#This Row],[SUB]]="","","_"&amp;Table13[[#This Row],[SUB]]))</f>
        <v>ev_mxc14_prescalerReg_6</v>
      </c>
      <c r="Q66" s="1" t="s">
        <v>262</v>
      </c>
      <c r="R66" s="1" t="s">
        <v>398</v>
      </c>
      <c r="S66" s="6" t="s">
        <v>247</v>
      </c>
      <c r="T66" s="4">
        <v>56</v>
      </c>
      <c r="U66" s="6" t="s">
        <v>363</v>
      </c>
      <c r="V66" s="1" t="s">
        <v>254</v>
      </c>
      <c r="W66" s="16">
        <v>0</v>
      </c>
      <c r="X66" s="6" t="s">
        <v>363</v>
      </c>
      <c r="AA66" s="11">
        <f>IF(Table13[[#This Row],[template]]="","",VLOOKUP(Table13[[#This Row],[IP]],Table51117[],2,FALSE))</f>
        <v>1</v>
      </c>
      <c r="AB66" s="13" t="str">
        <f>IF(Table13[[#This Row],[template]]="","",DEC2HEX(VLOOKUP(Table13[[#This Row],[D1-Type]],Table351218[],2,FALSE),1)&amp;DEC2HEX(VLOOKUP(Table13[[#This Row],[D2-Type]],Table31016[],2,FALSE),1)&amp; DEC2HEX(Table13[[#This Row],[D2-Offset]],2)&amp;DEC2HEX(VLOOKUP(Table13[[#This Row],[D3-Type]],Table371319[],2,FALSE),1))</f>
        <v>01000</v>
      </c>
      <c r="AC66" s="14">
        <f>IF(Table13[[#This Row],[template]]="","",HEX2DEC(Table13[[#This Row],[Addr_Hex]]))</f>
        <v>86</v>
      </c>
    </row>
    <row r="67" spans="2:29" x14ac:dyDescent="0.3">
      <c r="B67" s="4">
        <v>127</v>
      </c>
      <c r="C67" s="4" t="s">
        <v>233</v>
      </c>
      <c r="D67" s="9" t="str">
        <f>UPPER(Table13[[#This Row],[SIGNAL]])</f>
        <v>EV_MXC14_PRESCALERREG_7</v>
      </c>
      <c r="E67" s="9" t="str">
        <f>IF(Table13[[#This Row],[template]]="","","0x"&amp;Table13[[#This Row],[IP_Index]]&amp;DEC2HEX(Table13[[#This Row],[Addr_Dec]]*4,7))</f>
        <v>0x1000015C</v>
      </c>
      <c r="F67" s="9" t="str">
        <f>IF(Table13[[#This Row],[template]]="","",VLOOKUP(Table13[[#This Row],[template]],Table2915[],2,FALSE))</f>
        <v>asynParamInt32</v>
      </c>
      <c r="G67" s="18" t="str">
        <f>IF(Table13[[#This Row],[template]]="","","1")</f>
        <v>1</v>
      </c>
      <c r="H67" s="10"/>
      <c r="I67" s="13" t="str">
        <f>IF(Table13[[#This Row],[template]]="","","0x"&amp;Table13[[#This Row],[D_Index]]&amp;"000")</f>
        <v>0x01000000</v>
      </c>
      <c r="J67" s="18"/>
      <c r="K67" s="10">
        <v>0</v>
      </c>
      <c r="L67" s="10"/>
      <c r="M67" s="11" t="str">
        <f>IF(Table13[[#This Row],[template]]="","",VLOOKUP(Table13[[#This Row],[template]],Table2915[],3,FALSE))</f>
        <v xml:space="preserve"> </v>
      </c>
      <c r="N67" s="10"/>
      <c r="O67" s="11"/>
      <c r="P67" s="9" t="str">
        <f>IF(Table13[[#This Row],[template]]="","",Table13[[#This Row],[IP]]&amp;"_"&amp;Table13[[#This Row],[PARAM_NAME]]&amp;IF(Table13[[#This Row],[SUB]]="","","_"&amp;Table13[[#This Row],[SUB]]))</f>
        <v>ev_mxc14_prescalerReg_7</v>
      </c>
      <c r="Q67" s="1" t="s">
        <v>262</v>
      </c>
      <c r="R67" s="1" t="s">
        <v>398</v>
      </c>
      <c r="S67" s="6" t="s">
        <v>248</v>
      </c>
      <c r="T67" s="4">
        <v>57</v>
      </c>
      <c r="U67" s="6" t="s">
        <v>363</v>
      </c>
      <c r="V67" s="1" t="s">
        <v>254</v>
      </c>
      <c r="W67" s="16">
        <v>0</v>
      </c>
      <c r="X67" s="6" t="s">
        <v>363</v>
      </c>
      <c r="AA67" s="11">
        <f>IF(Table13[[#This Row],[template]]="","",VLOOKUP(Table13[[#This Row],[IP]],Table51117[],2,FALSE))</f>
        <v>1</v>
      </c>
      <c r="AB67" s="13" t="str">
        <f>IF(Table13[[#This Row],[template]]="","",DEC2HEX(VLOOKUP(Table13[[#This Row],[D1-Type]],Table351218[],2,FALSE),1)&amp;DEC2HEX(VLOOKUP(Table13[[#This Row],[D2-Type]],Table31016[],2,FALSE),1)&amp; DEC2HEX(Table13[[#This Row],[D2-Offset]],2)&amp;DEC2HEX(VLOOKUP(Table13[[#This Row],[D3-Type]],Table371319[],2,FALSE),1))</f>
        <v>01000</v>
      </c>
      <c r="AC67" s="14">
        <f>IF(Table13[[#This Row],[template]]="","",HEX2DEC(Table13[[#This Row],[Addr_Hex]]))</f>
        <v>87</v>
      </c>
    </row>
    <row r="68" spans="2:29" x14ac:dyDescent="0.3">
      <c r="B68" s="4">
        <v>128</v>
      </c>
      <c r="C68" s="4" t="s">
        <v>233</v>
      </c>
      <c r="D68" s="9" t="str">
        <f>UPPER(Table13[[#This Row],[SIGNAL]])</f>
        <v>EV_MXC14_PRESCALERREG_8</v>
      </c>
      <c r="E68" s="9" t="str">
        <f>IF(Table13[[#This Row],[template]]="","","0x"&amp;Table13[[#This Row],[IP_Index]]&amp;DEC2HEX(Table13[[#This Row],[Addr_Dec]]*4,7))</f>
        <v>0x10000160</v>
      </c>
      <c r="F68" s="9" t="str">
        <f>IF(Table13[[#This Row],[template]]="","",VLOOKUP(Table13[[#This Row],[template]],Table2915[],2,FALSE))</f>
        <v>asynParamInt32</v>
      </c>
      <c r="G68" s="18" t="str">
        <f>IF(Table13[[#This Row],[template]]="","","1")</f>
        <v>1</v>
      </c>
      <c r="H68" s="10"/>
      <c r="I68" s="13" t="str">
        <f>IF(Table13[[#This Row],[template]]="","","0x"&amp;Table13[[#This Row],[D_Index]]&amp;"000")</f>
        <v>0x01000000</v>
      </c>
      <c r="J68" s="18"/>
      <c r="K68" s="10">
        <v>0</v>
      </c>
      <c r="L68" s="10"/>
      <c r="M68" s="11" t="str">
        <f>IF(Table13[[#This Row],[template]]="","",VLOOKUP(Table13[[#This Row],[template]],Table2915[],3,FALSE))</f>
        <v xml:space="preserve"> </v>
      </c>
      <c r="N68" s="10"/>
      <c r="O68" s="11"/>
      <c r="P68" s="9" t="str">
        <f>IF(Table13[[#This Row],[template]]="","",Table13[[#This Row],[IP]]&amp;"_"&amp;Table13[[#This Row],[PARAM_NAME]]&amp;IF(Table13[[#This Row],[SUB]]="","","_"&amp;Table13[[#This Row],[SUB]]))</f>
        <v>ev_mxc14_prescalerReg_8</v>
      </c>
      <c r="Q68" s="1" t="s">
        <v>262</v>
      </c>
      <c r="R68" s="1" t="s">
        <v>398</v>
      </c>
      <c r="S68" s="6" t="s">
        <v>249</v>
      </c>
      <c r="T68" s="4">
        <v>58</v>
      </c>
      <c r="U68" s="6" t="s">
        <v>363</v>
      </c>
      <c r="V68" s="1" t="s">
        <v>254</v>
      </c>
      <c r="W68" s="16">
        <v>0</v>
      </c>
      <c r="X68" s="6" t="s">
        <v>363</v>
      </c>
      <c r="AA68" s="11">
        <f>IF(Table13[[#This Row],[template]]="","",VLOOKUP(Table13[[#This Row],[IP]],Table51117[],2,FALSE))</f>
        <v>1</v>
      </c>
      <c r="AB68" s="13" t="str">
        <f>IF(Table13[[#This Row],[template]]="","",DEC2HEX(VLOOKUP(Table13[[#This Row],[D1-Type]],Table351218[],2,FALSE),1)&amp;DEC2HEX(VLOOKUP(Table13[[#This Row],[D2-Type]],Table31016[],2,FALSE),1)&amp; DEC2HEX(Table13[[#This Row],[D2-Offset]],2)&amp;DEC2HEX(VLOOKUP(Table13[[#This Row],[D3-Type]],Table371319[],2,FALSE),1))</f>
        <v>01000</v>
      </c>
      <c r="AC68" s="14">
        <f>IF(Table13[[#This Row],[template]]="","",HEX2DEC(Table13[[#This Row],[Addr_Hex]]))</f>
        <v>88</v>
      </c>
    </row>
    <row r="69" spans="2:29" x14ac:dyDescent="0.3">
      <c r="B69" s="4">
        <v>129</v>
      </c>
      <c r="C69" s="4" t="s">
        <v>233</v>
      </c>
      <c r="D69" s="9" t="str">
        <f>UPPER(Table13[[#This Row],[SIGNAL]])</f>
        <v>EV_MXC14_PRESCALERREG_9</v>
      </c>
      <c r="E69" s="9" t="str">
        <f>IF(Table13[[#This Row],[template]]="","","0x"&amp;Table13[[#This Row],[IP_Index]]&amp;DEC2HEX(Table13[[#This Row],[Addr_Dec]]*4,7))</f>
        <v>0x10000164</v>
      </c>
      <c r="F69" s="9" t="str">
        <f>IF(Table13[[#This Row],[template]]="","",VLOOKUP(Table13[[#This Row],[template]],Table2915[],2,FALSE))</f>
        <v>asynParamInt32</v>
      </c>
      <c r="G69" s="18" t="str">
        <f>IF(Table13[[#This Row],[template]]="","","1")</f>
        <v>1</v>
      </c>
      <c r="H69" s="10"/>
      <c r="I69" s="13" t="str">
        <f>IF(Table13[[#This Row],[template]]="","","0x"&amp;Table13[[#This Row],[D_Index]]&amp;"000")</f>
        <v>0x01000000</v>
      </c>
      <c r="J69" s="18"/>
      <c r="K69" s="10">
        <v>0</v>
      </c>
      <c r="L69" s="10"/>
      <c r="M69" s="11" t="str">
        <f>IF(Table13[[#This Row],[template]]="","",VLOOKUP(Table13[[#This Row],[template]],Table2915[],3,FALSE))</f>
        <v xml:space="preserve"> </v>
      </c>
      <c r="N69" s="10"/>
      <c r="O69" s="11"/>
      <c r="P69" s="9" t="str">
        <f>IF(Table13[[#This Row],[template]]="","",Table13[[#This Row],[IP]]&amp;"_"&amp;Table13[[#This Row],[PARAM_NAME]]&amp;IF(Table13[[#This Row],[SUB]]="","","_"&amp;Table13[[#This Row],[SUB]]))</f>
        <v>ev_mxc14_prescalerReg_9</v>
      </c>
      <c r="Q69" s="1" t="s">
        <v>262</v>
      </c>
      <c r="R69" s="1" t="s">
        <v>398</v>
      </c>
      <c r="S69" s="6" t="s">
        <v>250</v>
      </c>
      <c r="T69" s="4">
        <v>59</v>
      </c>
      <c r="U69" s="6" t="s">
        <v>363</v>
      </c>
      <c r="V69" s="1" t="s">
        <v>254</v>
      </c>
      <c r="W69" s="16">
        <v>0</v>
      </c>
      <c r="X69" s="6" t="s">
        <v>363</v>
      </c>
      <c r="AA69" s="11">
        <f>IF(Table13[[#This Row],[template]]="","",VLOOKUP(Table13[[#This Row],[IP]],Table51117[],2,FALSE))</f>
        <v>1</v>
      </c>
      <c r="AB69" s="13" t="str">
        <f>IF(Table13[[#This Row],[template]]="","",DEC2HEX(VLOOKUP(Table13[[#This Row],[D1-Type]],Table351218[],2,FALSE),1)&amp;DEC2HEX(VLOOKUP(Table13[[#This Row],[D2-Type]],Table31016[],2,FALSE),1)&amp; DEC2HEX(Table13[[#This Row],[D2-Offset]],2)&amp;DEC2HEX(VLOOKUP(Table13[[#This Row],[D3-Type]],Table371319[],2,FALSE),1))</f>
        <v>01000</v>
      </c>
      <c r="AC69" s="14">
        <f>IF(Table13[[#This Row],[template]]="","",HEX2DEC(Table13[[#This Row],[Addr_Hex]]))</f>
        <v>89</v>
      </c>
    </row>
    <row r="70" spans="2:29" x14ac:dyDescent="0.3">
      <c r="B70" s="4">
        <v>130</v>
      </c>
      <c r="C70" s="4" t="s">
        <v>233</v>
      </c>
      <c r="D70" s="9" t="str">
        <f>UPPER(Table13[[#This Row],[SIGNAL]])</f>
        <v>EV_MXC14_PRESCALERREG_10</v>
      </c>
      <c r="E70" s="9" t="str">
        <f>IF(Table13[[#This Row],[template]]="","","0x"&amp;Table13[[#This Row],[IP_Index]]&amp;DEC2HEX(Table13[[#This Row],[Addr_Dec]]*4,7))</f>
        <v>0x10000168</v>
      </c>
      <c r="F70" s="9" t="str">
        <f>IF(Table13[[#This Row],[template]]="","",VLOOKUP(Table13[[#This Row],[template]],Table2915[],2,FALSE))</f>
        <v>asynParamInt32</v>
      </c>
      <c r="G70" s="18" t="str">
        <f>IF(Table13[[#This Row],[template]]="","","1")</f>
        <v>1</v>
      </c>
      <c r="H70" s="10"/>
      <c r="I70" s="13" t="str">
        <f>IF(Table13[[#This Row],[template]]="","","0x"&amp;Table13[[#This Row],[D_Index]]&amp;"000")</f>
        <v>0x01000000</v>
      </c>
      <c r="J70" s="18"/>
      <c r="K70" s="10">
        <v>0</v>
      </c>
      <c r="L70" s="10"/>
      <c r="M70" s="11" t="str">
        <f>IF(Table13[[#This Row],[template]]="","",VLOOKUP(Table13[[#This Row],[template]],Table2915[],3,FALSE))</f>
        <v xml:space="preserve"> </v>
      </c>
      <c r="N70" s="10"/>
      <c r="O70" s="11"/>
      <c r="P70" s="9" t="str">
        <f>IF(Table13[[#This Row],[template]]="","",Table13[[#This Row],[IP]]&amp;"_"&amp;Table13[[#This Row],[PARAM_NAME]]&amp;IF(Table13[[#This Row],[SUB]]="","","_"&amp;Table13[[#This Row],[SUB]]))</f>
        <v>ev_mxc14_prescalerReg_10</v>
      </c>
      <c r="Q70" s="1" t="s">
        <v>262</v>
      </c>
      <c r="R70" s="1" t="s">
        <v>398</v>
      </c>
      <c r="S70" s="6" t="s">
        <v>273</v>
      </c>
      <c r="T70" s="4" t="s">
        <v>399</v>
      </c>
      <c r="U70" s="6" t="s">
        <v>363</v>
      </c>
      <c r="V70" s="1" t="s">
        <v>254</v>
      </c>
      <c r="W70" s="16">
        <v>0</v>
      </c>
      <c r="X70" s="6" t="s">
        <v>363</v>
      </c>
      <c r="AA70" s="11">
        <f>IF(Table13[[#This Row],[template]]="","",VLOOKUP(Table13[[#This Row],[IP]],Table51117[],2,FALSE))</f>
        <v>1</v>
      </c>
      <c r="AB70" s="13" t="str">
        <f>IF(Table13[[#This Row],[template]]="","",DEC2HEX(VLOOKUP(Table13[[#This Row],[D1-Type]],Table351218[],2,FALSE),1)&amp;DEC2HEX(VLOOKUP(Table13[[#This Row],[D2-Type]],Table31016[],2,FALSE),1)&amp; DEC2HEX(Table13[[#This Row],[D2-Offset]],2)&amp;DEC2HEX(VLOOKUP(Table13[[#This Row],[D3-Type]],Table371319[],2,FALSE),1))</f>
        <v>01000</v>
      </c>
      <c r="AC70" s="14">
        <f>IF(Table13[[#This Row],[template]]="","",HEX2DEC(Table13[[#This Row],[Addr_Hex]]))</f>
        <v>90</v>
      </c>
    </row>
    <row r="71" spans="2:29" x14ac:dyDescent="0.3">
      <c r="B71" s="4">
        <v>131</v>
      </c>
      <c r="C71" s="4" t="s">
        <v>233</v>
      </c>
      <c r="D71" s="9" t="str">
        <f>UPPER(Table13[[#This Row],[SIGNAL]])</f>
        <v>EV_MXC14_PRESCALERREG_11</v>
      </c>
      <c r="E71" s="9" t="str">
        <f>IF(Table13[[#This Row],[template]]="","","0x"&amp;Table13[[#This Row],[IP_Index]]&amp;DEC2HEX(Table13[[#This Row],[Addr_Dec]]*4,7))</f>
        <v>0x1000016C</v>
      </c>
      <c r="F71" s="9" t="str">
        <f>IF(Table13[[#This Row],[template]]="","",VLOOKUP(Table13[[#This Row],[template]],Table2915[],2,FALSE))</f>
        <v>asynParamInt32</v>
      </c>
      <c r="G71" s="18" t="str">
        <f>IF(Table13[[#This Row],[template]]="","","1")</f>
        <v>1</v>
      </c>
      <c r="H71" s="10"/>
      <c r="I71" s="13" t="str">
        <f>IF(Table13[[#This Row],[template]]="","","0x"&amp;Table13[[#This Row],[D_Index]]&amp;"000")</f>
        <v>0x01000000</v>
      </c>
      <c r="J71" s="18"/>
      <c r="K71" s="10">
        <v>0</v>
      </c>
      <c r="L71" s="10"/>
      <c r="M71" s="11" t="str">
        <f>IF(Table13[[#This Row],[template]]="","",VLOOKUP(Table13[[#This Row],[template]],Table2915[],3,FALSE))</f>
        <v xml:space="preserve"> </v>
      </c>
      <c r="N71" s="10"/>
      <c r="O71" s="11"/>
      <c r="P71" s="9" t="str">
        <f>IF(Table13[[#This Row],[template]]="","",Table13[[#This Row],[IP]]&amp;"_"&amp;Table13[[#This Row],[PARAM_NAME]]&amp;IF(Table13[[#This Row],[SUB]]="","","_"&amp;Table13[[#This Row],[SUB]]))</f>
        <v>ev_mxc14_prescalerReg_11</v>
      </c>
      <c r="Q71" s="1" t="s">
        <v>262</v>
      </c>
      <c r="R71" s="1" t="s">
        <v>398</v>
      </c>
      <c r="S71" s="6" t="s">
        <v>274</v>
      </c>
      <c r="T71" s="4" t="s">
        <v>400</v>
      </c>
      <c r="U71" s="6" t="s">
        <v>363</v>
      </c>
      <c r="V71" s="1" t="s">
        <v>254</v>
      </c>
      <c r="W71" s="16">
        <v>0</v>
      </c>
      <c r="X71" s="6" t="s">
        <v>363</v>
      </c>
      <c r="AA71" s="11">
        <f>IF(Table13[[#This Row],[template]]="","",VLOOKUP(Table13[[#This Row],[IP]],Table51117[],2,FALSE))</f>
        <v>1</v>
      </c>
      <c r="AB71" s="13" t="str">
        <f>IF(Table13[[#This Row],[template]]="","",DEC2HEX(VLOOKUP(Table13[[#This Row],[D1-Type]],Table351218[],2,FALSE),1)&amp;DEC2HEX(VLOOKUP(Table13[[#This Row],[D2-Type]],Table31016[],2,FALSE),1)&amp; DEC2HEX(Table13[[#This Row],[D2-Offset]],2)&amp;DEC2HEX(VLOOKUP(Table13[[#This Row],[D3-Type]],Table371319[],2,FALSE),1))</f>
        <v>01000</v>
      </c>
      <c r="AC71" s="14">
        <f>IF(Table13[[#This Row],[template]]="","",HEX2DEC(Table13[[#This Row],[Addr_Hex]]))</f>
        <v>91</v>
      </c>
    </row>
    <row r="72" spans="2:29" x14ac:dyDescent="0.3">
      <c r="B72" s="4">
        <v>132</v>
      </c>
      <c r="C72" s="4" t="s">
        <v>233</v>
      </c>
      <c r="D72" s="9" t="str">
        <f>UPPER(Table13[[#This Row],[SIGNAL]])</f>
        <v>EV_MXC14_PRESCALERREG_12</v>
      </c>
      <c r="E72" s="9" t="str">
        <f>IF(Table13[[#This Row],[template]]="","","0x"&amp;Table13[[#This Row],[IP_Index]]&amp;DEC2HEX(Table13[[#This Row],[Addr_Dec]]*4,7))</f>
        <v>0x10000170</v>
      </c>
      <c r="F72" s="9" t="str">
        <f>IF(Table13[[#This Row],[template]]="","",VLOOKUP(Table13[[#This Row],[template]],Table2915[],2,FALSE))</f>
        <v>asynParamInt32</v>
      </c>
      <c r="G72" s="18" t="str">
        <f>IF(Table13[[#This Row],[template]]="","","1")</f>
        <v>1</v>
      </c>
      <c r="H72" s="10"/>
      <c r="I72" s="13" t="str">
        <f>IF(Table13[[#This Row],[template]]="","","0x"&amp;Table13[[#This Row],[D_Index]]&amp;"000")</f>
        <v>0x01000000</v>
      </c>
      <c r="J72" s="18"/>
      <c r="K72" s="10">
        <v>0</v>
      </c>
      <c r="L72" s="10"/>
      <c r="M72" s="11" t="str">
        <f>IF(Table13[[#This Row],[template]]="","",VLOOKUP(Table13[[#This Row],[template]],Table2915[],3,FALSE))</f>
        <v xml:space="preserve"> </v>
      </c>
      <c r="N72" s="10"/>
      <c r="O72" s="11"/>
      <c r="P72" s="9" t="str">
        <f>IF(Table13[[#This Row],[template]]="","",Table13[[#This Row],[IP]]&amp;"_"&amp;Table13[[#This Row],[PARAM_NAME]]&amp;IF(Table13[[#This Row],[SUB]]="","","_"&amp;Table13[[#This Row],[SUB]]))</f>
        <v>ev_mxc14_prescalerReg_12</v>
      </c>
      <c r="Q72" s="1" t="s">
        <v>262</v>
      </c>
      <c r="R72" s="1" t="s">
        <v>398</v>
      </c>
      <c r="S72" s="6" t="s">
        <v>275</v>
      </c>
      <c r="T72" s="4" t="s">
        <v>401</v>
      </c>
      <c r="U72" s="6" t="s">
        <v>363</v>
      </c>
      <c r="V72" s="1" t="s">
        <v>254</v>
      </c>
      <c r="W72" s="16">
        <v>0</v>
      </c>
      <c r="X72" s="6" t="s">
        <v>363</v>
      </c>
      <c r="AA72" s="11">
        <f>IF(Table13[[#This Row],[template]]="","",VLOOKUP(Table13[[#This Row],[IP]],Table51117[],2,FALSE))</f>
        <v>1</v>
      </c>
      <c r="AB72" s="13" t="str">
        <f>IF(Table13[[#This Row],[template]]="","",DEC2HEX(VLOOKUP(Table13[[#This Row],[D1-Type]],Table351218[],2,FALSE),1)&amp;DEC2HEX(VLOOKUP(Table13[[#This Row],[D2-Type]],Table31016[],2,FALSE),1)&amp; DEC2HEX(Table13[[#This Row],[D2-Offset]],2)&amp;DEC2HEX(VLOOKUP(Table13[[#This Row],[D3-Type]],Table371319[],2,FALSE),1))</f>
        <v>01000</v>
      </c>
      <c r="AC72" s="14">
        <f>IF(Table13[[#This Row],[template]]="","",HEX2DEC(Table13[[#This Row],[Addr_Hex]]))</f>
        <v>92</v>
      </c>
    </row>
    <row r="73" spans="2:29" x14ac:dyDescent="0.3">
      <c r="B73" s="4">
        <v>133</v>
      </c>
      <c r="C73" s="4" t="s">
        <v>233</v>
      </c>
      <c r="D73" s="9" t="str">
        <f>UPPER(Table13[[#This Row],[SIGNAL]])</f>
        <v>EV_MXC14_PRESCALERREG_13</v>
      </c>
      <c r="E73" s="9" t="str">
        <f>IF(Table13[[#This Row],[template]]="","","0x"&amp;Table13[[#This Row],[IP_Index]]&amp;DEC2HEX(Table13[[#This Row],[Addr_Dec]]*4,7))</f>
        <v>0x10000174</v>
      </c>
      <c r="F73" s="9" t="str">
        <f>IF(Table13[[#This Row],[template]]="","",VLOOKUP(Table13[[#This Row],[template]],Table2915[],2,FALSE))</f>
        <v>asynParamInt32</v>
      </c>
      <c r="G73" s="18" t="str">
        <f>IF(Table13[[#This Row],[template]]="","","1")</f>
        <v>1</v>
      </c>
      <c r="H73" s="10"/>
      <c r="I73" s="13" t="str">
        <f>IF(Table13[[#This Row],[template]]="","","0x"&amp;Table13[[#This Row],[D_Index]]&amp;"000")</f>
        <v>0x01000000</v>
      </c>
      <c r="J73" s="18"/>
      <c r="K73" s="10">
        <v>0</v>
      </c>
      <c r="L73" s="10"/>
      <c r="M73" s="11" t="str">
        <f>IF(Table13[[#This Row],[template]]="","",VLOOKUP(Table13[[#This Row],[template]],Table2915[],3,FALSE))</f>
        <v xml:space="preserve"> </v>
      </c>
      <c r="N73" s="10"/>
      <c r="O73" s="11"/>
      <c r="P73" s="9" t="str">
        <f>IF(Table13[[#This Row],[template]]="","",Table13[[#This Row],[IP]]&amp;"_"&amp;Table13[[#This Row],[PARAM_NAME]]&amp;IF(Table13[[#This Row],[SUB]]="","","_"&amp;Table13[[#This Row],[SUB]]))</f>
        <v>ev_mxc14_prescalerReg_13</v>
      </c>
      <c r="Q73" s="1" t="s">
        <v>262</v>
      </c>
      <c r="R73" s="1" t="s">
        <v>398</v>
      </c>
      <c r="S73" s="6" t="s">
        <v>276</v>
      </c>
      <c r="T73" s="4" t="s">
        <v>402</v>
      </c>
      <c r="U73" s="6" t="s">
        <v>363</v>
      </c>
      <c r="V73" s="1" t="s">
        <v>254</v>
      </c>
      <c r="W73" s="16">
        <v>0</v>
      </c>
      <c r="X73" s="6" t="s">
        <v>363</v>
      </c>
      <c r="AA73" s="11">
        <f>IF(Table13[[#This Row],[template]]="","",VLOOKUP(Table13[[#This Row],[IP]],Table51117[],2,FALSE))</f>
        <v>1</v>
      </c>
      <c r="AB73" s="13" t="str">
        <f>IF(Table13[[#This Row],[template]]="","",DEC2HEX(VLOOKUP(Table13[[#This Row],[D1-Type]],Table351218[],2,FALSE),1)&amp;DEC2HEX(VLOOKUP(Table13[[#This Row],[D2-Type]],Table31016[],2,FALSE),1)&amp; DEC2HEX(Table13[[#This Row],[D2-Offset]],2)&amp;DEC2HEX(VLOOKUP(Table13[[#This Row],[D3-Type]],Table371319[],2,FALSE),1))</f>
        <v>01000</v>
      </c>
      <c r="AC73" s="14">
        <f>IF(Table13[[#This Row],[template]]="","",HEX2DEC(Table13[[#This Row],[Addr_Hex]]))</f>
        <v>93</v>
      </c>
    </row>
    <row r="74" spans="2:29" x14ac:dyDescent="0.3">
      <c r="B74" s="4">
        <v>134</v>
      </c>
      <c r="C74" s="4"/>
      <c r="D74" s="9" t="str">
        <f>UPPER(Table13[[#This Row],[SIGNAL]])</f>
        <v/>
      </c>
      <c r="E74" s="9" t="str">
        <f>IF(Table13[[#This Row],[template]]="","","0x"&amp;Table13[[#This Row],[IP_Index]]&amp;DEC2HEX(Table13[[#This Row],[Addr_Dec]]*4,7))</f>
        <v/>
      </c>
      <c r="F74" s="9" t="str">
        <f>IF(Table13[[#This Row],[template]]="","",VLOOKUP(Table13[[#This Row],[template]],Table2915[],2,FALSE))</f>
        <v/>
      </c>
      <c r="G74" s="18" t="str">
        <f>IF(Table13[[#This Row],[template]]="","","1")</f>
        <v/>
      </c>
      <c r="H74" s="10"/>
      <c r="I74" s="13" t="str">
        <f>IF(Table13[[#This Row],[template]]="","","0x"&amp;Table13[[#This Row],[D_Index]]&amp;"000")</f>
        <v/>
      </c>
      <c r="J74" s="18"/>
      <c r="K74" s="10">
        <v>0</v>
      </c>
      <c r="L74" s="10"/>
      <c r="M74" s="11" t="str">
        <f>IF(Table13[[#This Row],[template]]="","",VLOOKUP(Table13[[#This Row],[template]],Table2915[],3,FALSE))</f>
        <v/>
      </c>
      <c r="N74" s="10"/>
      <c r="O74" s="11"/>
      <c r="P74" s="9" t="str">
        <f>IF(Table13[[#This Row],[template]]="","",Table13[[#This Row],[IP]]&amp;"_"&amp;Table13[[#This Row],[PARAM_NAME]]&amp;IF(Table13[[#This Row],[SUB]]="","","_"&amp;Table13[[#This Row],[SUB]]))</f>
        <v/>
      </c>
      <c r="S74" s="6"/>
      <c r="T74" s="4"/>
      <c r="U74" s="6"/>
      <c r="W74" s="16"/>
      <c r="X74" s="6"/>
      <c r="AA74" s="11" t="str">
        <f>IF(Table13[[#This Row],[template]]="","",VLOOKUP(Table13[[#This Row],[IP]],Table51117[],2,FALSE))</f>
        <v/>
      </c>
      <c r="AB74" s="13" t="str">
        <f>IF(Table13[[#This Row],[template]]="","",DEC2HEX(VLOOKUP(Table13[[#This Row],[D1-Type]],Table351218[],2,FALSE),1)&amp;DEC2HEX(VLOOKUP(Table13[[#This Row],[D2-Type]],Table31016[],2,FALSE),1)&amp; DEC2HEX(Table13[[#This Row],[D2-Offset]],2)&amp;DEC2HEX(VLOOKUP(Table13[[#This Row],[D3-Type]],Table371319[],2,FALSE),1))</f>
        <v/>
      </c>
      <c r="AC74" s="14" t="str">
        <f>IF(Table13[[#This Row],[template]]="","",HEX2DEC(Table13[[#This Row],[Addr_Hex]]))</f>
        <v/>
      </c>
    </row>
    <row r="75" spans="2:29" x14ac:dyDescent="0.3">
      <c r="B75" s="4">
        <v>135</v>
      </c>
      <c r="C75" s="4" t="s">
        <v>233</v>
      </c>
      <c r="D75" s="9" t="str">
        <f>UPPER(Table13[[#This Row],[SIGNAL]])</f>
        <v>EV_EVRW_RST</v>
      </c>
      <c r="E75" s="9" t="str">
        <f>IF(Table13[[#This Row],[template]]="","","0x"&amp;Table13[[#This Row],[IP_Index]]&amp;DEC2HEX(Table13[[#This Row],[Addr_Dec]]*4,7))</f>
        <v>0x10000180</v>
      </c>
      <c r="F75" s="9" t="str">
        <f>IF(Table13[[#This Row],[template]]="","",VLOOKUP(Table13[[#This Row],[template]],Table2915[],2,FALSE))</f>
        <v>asynParamInt32</v>
      </c>
      <c r="G75" s="18" t="str">
        <f>IF(Table13[[#This Row],[template]]="","","1")</f>
        <v>1</v>
      </c>
      <c r="H75" s="10"/>
      <c r="I75" s="13" t="str">
        <f>IF(Table13[[#This Row],[template]]="","","0x"&amp;Table13[[#This Row],[D_Index]]&amp;"000")</f>
        <v>0x061F1000</v>
      </c>
      <c r="J75" s="18"/>
      <c r="K75" s="10">
        <v>0</v>
      </c>
      <c r="L75" s="10"/>
      <c r="M75" s="11" t="str">
        <f>IF(Table13[[#This Row],[template]]="","",VLOOKUP(Table13[[#This Row],[template]],Table2915[],3,FALSE))</f>
        <v xml:space="preserve"> </v>
      </c>
      <c r="N75" s="10"/>
      <c r="O75" s="11"/>
      <c r="P75" s="9" t="str">
        <f>IF(Table13[[#This Row],[template]]="","",Table13[[#This Row],[IP]]&amp;"_"&amp;Table13[[#This Row],[PARAM_NAME]]&amp;IF(Table13[[#This Row],[SUB]]="","","_"&amp;Table13[[#This Row],[SUB]]))</f>
        <v>ev_evrW_rst</v>
      </c>
      <c r="Q75" s="1" t="s">
        <v>262</v>
      </c>
      <c r="R75" s="1" t="s">
        <v>403</v>
      </c>
      <c r="S75" s="6"/>
      <c r="T75" s="4">
        <v>60</v>
      </c>
      <c r="U75" s="6" t="s">
        <v>363</v>
      </c>
      <c r="V75" s="1" t="s">
        <v>315</v>
      </c>
      <c r="W75" s="16">
        <v>31</v>
      </c>
      <c r="X75" s="6" t="s">
        <v>336</v>
      </c>
      <c r="AA75" s="11">
        <f>IF(Table13[[#This Row],[template]]="","",VLOOKUP(Table13[[#This Row],[IP]],Table51117[],2,FALSE))</f>
        <v>1</v>
      </c>
      <c r="AB75" s="13" t="str">
        <f>IF(Table13[[#This Row],[template]]="","",DEC2HEX(VLOOKUP(Table13[[#This Row],[D1-Type]],Table351218[],2,FALSE),1)&amp;DEC2HEX(VLOOKUP(Table13[[#This Row],[D2-Type]],Table31016[],2,FALSE),1)&amp; DEC2HEX(Table13[[#This Row],[D2-Offset]],2)&amp;DEC2HEX(VLOOKUP(Table13[[#This Row],[D3-Type]],Table371319[],2,FALSE),1))</f>
        <v>061F1</v>
      </c>
      <c r="AC75" s="14">
        <f>IF(Table13[[#This Row],[template]]="","",HEX2DEC(Table13[[#This Row],[Addr_Hex]]))</f>
        <v>96</v>
      </c>
    </row>
    <row r="76" spans="2:29" x14ac:dyDescent="0.3">
      <c r="B76" s="4">
        <v>136</v>
      </c>
      <c r="C76" s="4" t="s">
        <v>233</v>
      </c>
      <c r="D76" s="9" t="str">
        <f>UPPER(Table13[[#This Row],[SIGNAL]])</f>
        <v>EV_EVR_GETSTATREG</v>
      </c>
      <c r="E76" s="9" t="str">
        <f>IF(Table13[[#This Row],[template]]="","","0x"&amp;Table13[[#This Row],[IP_Index]]&amp;DEC2HEX(Table13[[#This Row],[Addr_Dec]]*4,7))</f>
        <v>0x10000180</v>
      </c>
      <c r="F76" s="9" t="str">
        <f>IF(Table13[[#This Row],[template]]="","",VLOOKUP(Table13[[#This Row],[template]],Table2915[],2,FALSE))</f>
        <v>asynParamInt32</v>
      </c>
      <c r="G76" s="18" t="str">
        <f>IF(Table13[[#This Row],[template]]="","","1")</f>
        <v>1</v>
      </c>
      <c r="H76" s="10"/>
      <c r="I76" s="13" t="str">
        <f>IF(Table13[[#This Row],[template]]="","","0x"&amp;Table13[[#This Row],[D_Index]]&amp;"000")</f>
        <v>0x06041000</v>
      </c>
      <c r="J76" s="18"/>
      <c r="K76" s="10">
        <v>0</v>
      </c>
      <c r="L76" s="10"/>
      <c r="M76" s="11" t="str">
        <f>IF(Table13[[#This Row],[template]]="","",VLOOKUP(Table13[[#This Row],[template]],Table2915[],3,FALSE))</f>
        <v xml:space="preserve"> </v>
      </c>
      <c r="N76" s="10"/>
      <c r="O76" s="11"/>
      <c r="P76" s="9" t="str">
        <f>IF(Table13[[#This Row],[template]]="","",Table13[[#This Row],[IP]]&amp;"_"&amp;Table13[[#This Row],[PARAM_NAME]]&amp;IF(Table13[[#This Row],[SUB]]="","","_"&amp;Table13[[#This Row],[SUB]]))</f>
        <v>ev_evr_getStatReg</v>
      </c>
      <c r="Q76" s="1" t="s">
        <v>262</v>
      </c>
      <c r="R76" s="1" t="s">
        <v>404</v>
      </c>
      <c r="S76" s="6"/>
      <c r="T76" s="4">
        <v>60</v>
      </c>
      <c r="U76" s="6" t="s">
        <v>363</v>
      </c>
      <c r="V76" s="1" t="s">
        <v>315</v>
      </c>
      <c r="W76" s="16">
        <v>4</v>
      </c>
      <c r="X76" s="6" t="s">
        <v>336</v>
      </c>
      <c r="AA76" s="11">
        <f>IF(Table13[[#This Row],[template]]="","",VLOOKUP(Table13[[#This Row],[IP]],Table51117[],2,FALSE))</f>
        <v>1</v>
      </c>
      <c r="AB76" s="13" t="str">
        <f>IF(Table13[[#This Row],[template]]="","",DEC2HEX(VLOOKUP(Table13[[#This Row],[D1-Type]],Table351218[],2,FALSE),1)&amp;DEC2HEX(VLOOKUP(Table13[[#This Row],[D2-Type]],Table31016[],2,FALSE),1)&amp; DEC2HEX(Table13[[#This Row],[D2-Offset]],2)&amp;DEC2HEX(VLOOKUP(Table13[[#This Row],[D3-Type]],Table371319[],2,FALSE),1))</f>
        <v>06041</v>
      </c>
      <c r="AC76" s="14">
        <f>IF(Table13[[#This Row],[template]]="","",HEX2DEC(Table13[[#This Row],[Addr_Hex]]))</f>
        <v>96</v>
      </c>
    </row>
    <row r="77" spans="2:29" x14ac:dyDescent="0.3">
      <c r="B77" s="4">
        <v>137</v>
      </c>
      <c r="C77" s="4" t="s">
        <v>233</v>
      </c>
      <c r="D77" s="9" t="str">
        <f>UPPER(Table13[[#This Row],[SIGNAL]])</f>
        <v>EV_EVR_SETCTRLREG</v>
      </c>
      <c r="E77" s="9" t="str">
        <f>IF(Table13[[#This Row],[template]]="","","0x"&amp;Table13[[#This Row],[IP_Index]]&amp;DEC2HEX(Table13[[#This Row],[Addr_Dec]]*4,7))</f>
        <v>0x10000180</v>
      </c>
      <c r="F77" s="9" t="str">
        <f>IF(Table13[[#This Row],[template]]="","",VLOOKUP(Table13[[#This Row],[template]],Table2915[],2,FALSE))</f>
        <v>asynParamInt32</v>
      </c>
      <c r="G77" s="18" t="str">
        <f>IF(Table13[[#This Row],[template]]="","","1")</f>
        <v>1</v>
      </c>
      <c r="H77" s="10"/>
      <c r="I77" s="13" t="str">
        <f>IF(Table13[[#This Row],[template]]="","","0x"&amp;Table13[[#This Row],[D_Index]]&amp;"000")</f>
        <v>0x06001000</v>
      </c>
      <c r="J77" s="18"/>
      <c r="K77" s="10">
        <v>0</v>
      </c>
      <c r="L77" s="10"/>
      <c r="M77" s="11" t="str">
        <f>IF(Table13[[#This Row],[template]]="","",VLOOKUP(Table13[[#This Row],[template]],Table2915[],3,FALSE))</f>
        <v xml:space="preserve"> </v>
      </c>
      <c r="N77" s="10"/>
      <c r="O77" s="11"/>
      <c r="P77" s="9" t="str">
        <f>IF(Table13[[#This Row],[template]]="","",Table13[[#This Row],[IP]]&amp;"_"&amp;Table13[[#This Row],[PARAM_NAME]]&amp;IF(Table13[[#This Row],[SUB]]="","","_"&amp;Table13[[#This Row],[SUB]]))</f>
        <v>ev_evr_setCtrlReg</v>
      </c>
      <c r="Q77" s="1" t="s">
        <v>262</v>
      </c>
      <c r="R77" s="1" t="s">
        <v>405</v>
      </c>
      <c r="S77" s="6"/>
      <c r="T77" s="4">
        <v>60</v>
      </c>
      <c r="U77" s="6" t="s">
        <v>363</v>
      </c>
      <c r="V77" s="1" t="s">
        <v>315</v>
      </c>
      <c r="W77" s="16">
        <v>0</v>
      </c>
      <c r="X77" s="6" t="s">
        <v>336</v>
      </c>
      <c r="AA77" s="11">
        <f>IF(Table13[[#This Row],[template]]="","",VLOOKUP(Table13[[#This Row],[IP]],Table51117[],2,FALSE))</f>
        <v>1</v>
      </c>
      <c r="AB77" s="13" t="str">
        <f>IF(Table13[[#This Row],[template]]="","",DEC2HEX(VLOOKUP(Table13[[#This Row],[D1-Type]],Table351218[],2,FALSE),1)&amp;DEC2HEX(VLOOKUP(Table13[[#This Row],[D2-Type]],Table31016[],2,FALSE),1)&amp; DEC2HEX(Table13[[#This Row],[D2-Offset]],2)&amp;DEC2HEX(VLOOKUP(Table13[[#This Row],[D3-Type]],Table371319[],2,FALSE),1))</f>
        <v>06001</v>
      </c>
      <c r="AC77" s="14">
        <f>IF(Table13[[#This Row],[template]]="","",HEX2DEC(Table13[[#This Row],[Addr_Hex]]))</f>
        <v>96</v>
      </c>
    </row>
    <row r="78" spans="2:29" x14ac:dyDescent="0.3">
      <c r="B78" s="4">
        <v>138</v>
      </c>
      <c r="C78" s="4"/>
      <c r="D78" s="9" t="str">
        <f>UPPER(Table13[[#This Row],[SIGNAL]])</f>
        <v/>
      </c>
      <c r="E78" s="9" t="str">
        <f>IF(Table13[[#This Row],[template]]="","","0x"&amp;Table13[[#This Row],[IP_Index]]&amp;DEC2HEX(Table13[[#This Row],[Addr_Dec]]*4,7))</f>
        <v/>
      </c>
      <c r="F78" s="9" t="str">
        <f>IF(Table13[[#This Row],[template]]="","",VLOOKUP(Table13[[#This Row],[template]],Table2915[],2,FALSE))</f>
        <v/>
      </c>
      <c r="G78" s="18" t="str">
        <f>IF(Table13[[#This Row],[template]]="","","1")</f>
        <v/>
      </c>
      <c r="H78" s="10"/>
      <c r="I78" s="13" t="str">
        <f>IF(Table13[[#This Row],[template]]="","","0x"&amp;Table13[[#This Row],[D_Index]]&amp;"000")</f>
        <v/>
      </c>
      <c r="J78" s="18"/>
      <c r="K78" s="10">
        <v>0</v>
      </c>
      <c r="L78" s="10"/>
      <c r="M78" s="11" t="str">
        <f>IF(Table13[[#This Row],[template]]="","",VLOOKUP(Table13[[#This Row],[template]],Table2915[],3,FALSE))</f>
        <v/>
      </c>
      <c r="N78" s="10"/>
      <c r="O78" s="11"/>
      <c r="P78" s="9" t="str">
        <f>IF(Table13[[#This Row],[template]]="","",Table13[[#This Row],[IP]]&amp;"_"&amp;Table13[[#This Row],[PARAM_NAME]]&amp;IF(Table13[[#This Row],[SUB]]="","","_"&amp;Table13[[#This Row],[SUB]]))</f>
        <v/>
      </c>
      <c r="S78" s="6"/>
      <c r="T78" s="4"/>
      <c r="U78" s="6"/>
      <c r="W78" s="16"/>
      <c r="X78" s="6"/>
      <c r="AA78" s="11" t="str">
        <f>IF(Table13[[#This Row],[template]]="","",VLOOKUP(Table13[[#This Row],[IP]],Table51117[],2,FALSE))</f>
        <v/>
      </c>
      <c r="AB78" s="13" t="str">
        <f>IF(Table13[[#This Row],[template]]="","",DEC2HEX(VLOOKUP(Table13[[#This Row],[D1-Type]],Table351218[],2,FALSE),1)&amp;DEC2HEX(VLOOKUP(Table13[[#This Row],[D2-Type]],Table31016[],2,FALSE),1)&amp; DEC2HEX(Table13[[#This Row],[D2-Offset]],2)&amp;DEC2HEX(VLOOKUP(Table13[[#This Row],[D3-Type]],Table371319[],2,FALSE),1))</f>
        <v/>
      </c>
      <c r="AC78" s="14" t="str">
        <f>IF(Table13[[#This Row],[template]]="","",HEX2DEC(Table13[[#This Row],[Addr_Hex]]))</f>
        <v/>
      </c>
    </row>
    <row r="79" spans="2:29" x14ac:dyDescent="0.3">
      <c r="B79" s="4">
        <v>139</v>
      </c>
      <c r="C79" s="4" t="s">
        <v>233</v>
      </c>
      <c r="D79" s="9" t="str">
        <f>UPPER(Table13[[#This Row],[SIGNAL]])</f>
        <v>EV_RXENABLE_DBUS</v>
      </c>
      <c r="E79" s="9" t="str">
        <f>IF(Table13[[#This Row],[template]]="","","0x"&amp;Table13[[#This Row],[IP_Index]]&amp;DEC2HEX(Table13[[#This Row],[Addr_Dec]]*4,7))</f>
        <v>0x10000184</v>
      </c>
      <c r="F79" s="9" t="str">
        <f>IF(Table13[[#This Row],[template]]="","",VLOOKUP(Table13[[#This Row],[template]],Table2915[],2,FALSE))</f>
        <v>asynParamInt32</v>
      </c>
      <c r="G79" s="18" t="str">
        <f>IF(Table13[[#This Row],[template]]="","","1")</f>
        <v>1</v>
      </c>
      <c r="H79" s="10"/>
      <c r="I79" s="13" t="str">
        <f>IF(Table13[[#This Row],[template]]="","","0x"&amp;Table13[[#This Row],[D_Index]]&amp;"000")</f>
        <v>0x061F0000</v>
      </c>
      <c r="J79" s="18"/>
      <c r="K79" s="10">
        <v>0</v>
      </c>
      <c r="L79" s="10"/>
      <c r="M79" s="11" t="str">
        <f>IF(Table13[[#This Row],[template]]="","",VLOOKUP(Table13[[#This Row],[template]],Table2915[],3,FALSE))</f>
        <v xml:space="preserve"> </v>
      </c>
      <c r="N79" s="10"/>
      <c r="O79" s="11"/>
      <c r="P79" s="9" t="str">
        <f>IF(Table13[[#This Row],[template]]="","",Table13[[#This Row],[IP]]&amp;"_"&amp;Table13[[#This Row],[PARAM_NAME]]&amp;IF(Table13[[#This Row],[SUB]]="","","_"&amp;Table13[[#This Row],[SUB]]))</f>
        <v>ev_rxEnable_Dbus</v>
      </c>
      <c r="Q79" s="1" t="s">
        <v>262</v>
      </c>
      <c r="R79" s="1" t="s">
        <v>406</v>
      </c>
      <c r="S79" s="6"/>
      <c r="T79" s="4">
        <v>61</v>
      </c>
      <c r="U79" s="6" t="s">
        <v>363</v>
      </c>
      <c r="V79" s="1" t="s">
        <v>315</v>
      </c>
      <c r="W79" s="16">
        <v>31</v>
      </c>
      <c r="X79" s="6" t="s">
        <v>363</v>
      </c>
      <c r="AA79" s="11">
        <f>IF(Table13[[#This Row],[template]]="","",VLOOKUP(Table13[[#This Row],[IP]],Table51117[],2,FALSE))</f>
        <v>1</v>
      </c>
      <c r="AB79" s="13" t="str">
        <f>IF(Table13[[#This Row],[template]]="","",DEC2HEX(VLOOKUP(Table13[[#This Row],[D1-Type]],Table351218[],2,FALSE),1)&amp;DEC2HEX(VLOOKUP(Table13[[#This Row],[D2-Type]],Table31016[],2,FALSE),1)&amp; DEC2HEX(Table13[[#This Row],[D2-Offset]],2)&amp;DEC2HEX(VLOOKUP(Table13[[#This Row],[D3-Type]],Table371319[],2,FALSE),1))</f>
        <v>061F0</v>
      </c>
      <c r="AC79" s="14">
        <f>IF(Table13[[#This Row],[template]]="","",HEX2DEC(Table13[[#This Row],[Addr_Hex]]))</f>
        <v>97</v>
      </c>
    </row>
    <row r="80" spans="2:29" x14ac:dyDescent="0.3">
      <c r="B80" s="4">
        <v>140</v>
      </c>
      <c r="C80" s="4" t="s">
        <v>233</v>
      </c>
      <c r="D80" s="9" t="str">
        <f>UPPER(Table13[[#This Row],[SIGNAL]])</f>
        <v>EV_RXENABLE_EVCODEA</v>
      </c>
      <c r="E80" s="9" t="str">
        <f>IF(Table13[[#This Row],[template]]="","","0x"&amp;Table13[[#This Row],[IP_Index]]&amp;DEC2HEX(Table13[[#This Row],[Addr_Dec]]*4,7))</f>
        <v>0x10000184</v>
      </c>
      <c r="F80" s="9" t="str">
        <f>IF(Table13[[#This Row],[template]]="","",VLOOKUP(Table13[[#This Row],[template]],Table2915[],2,FALSE))</f>
        <v>asynParamInt32</v>
      </c>
      <c r="G80" s="18" t="str">
        <f>IF(Table13[[#This Row],[template]]="","","1")</f>
        <v>1</v>
      </c>
      <c r="H80" s="10"/>
      <c r="I80" s="13" t="str">
        <f>IF(Table13[[#This Row],[template]]="","","0x"&amp;Table13[[#This Row],[D_Index]]&amp;"000")</f>
        <v>0x061E0000</v>
      </c>
      <c r="J80" s="18"/>
      <c r="K80" s="10">
        <v>0</v>
      </c>
      <c r="L80" s="10"/>
      <c r="M80" s="11" t="str">
        <f>IF(Table13[[#This Row],[template]]="","",VLOOKUP(Table13[[#This Row],[template]],Table2915[],3,FALSE))</f>
        <v xml:space="preserve"> </v>
      </c>
      <c r="N80" s="10"/>
      <c r="O80" s="11"/>
      <c r="P80" s="9" t="str">
        <f>IF(Table13[[#This Row],[template]]="","",Table13[[#This Row],[IP]]&amp;"_"&amp;Table13[[#This Row],[PARAM_NAME]]&amp;IF(Table13[[#This Row],[SUB]]="","","_"&amp;Table13[[#This Row],[SUB]]))</f>
        <v>ev_rxEnable_evCodeA</v>
      </c>
      <c r="Q80" s="1" t="s">
        <v>262</v>
      </c>
      <c r="R80" s="1" t="s">
        <v>407</v>
      </c>
      <c r="S80" s="6"/>
      <c r="T80" s="4">
        <v>61</v>
      </c>
      <c r="U80" s="6" t="s">
        <v>363</v>
      </c>
      <c r="V80" s="1" t="s">
        <v>315</v>
      </c>
      <c r="W80" s="16">
        <v>30</v>
      </c>
      <c r="X80" s="6" t="s">
        <v>363</v>
      </c>
      <c r="AA80" s="11">
        <f>IF(Table13[[#This Row],[template]]="","",VLOOKUP(Table13[[#This Row],[IP]],Table51117[],2,FALSE))</f>
        <v>1</v>
      </c>
      <c r="AB80" s="13" t="str">
        <f>IF(Table13[[#This Row],[template]]="","",DEC2HEX(VLOOKUP(Table13[[#This Row],[D1-Type]],Table351218[],2,FALSE),1)&amp;DEC2HEX(VLOOKUP(Table13[[#This Row],[D2-Type]],Table31016[],2,FALSE),1)&amp; DEC2HEX(Table13[[#This Row],[D2-Offset]],2)&amp;DEC2HEX(VLOOKUP(Table13[[#This Row],[D3-Type]],Table371319[],2,FALSE),1))</f>
        <v>061E0</v>
      </c>
      <c r="AC80" s="14">
        <f>IF(Table13[[#This Row],[template]]="","",HEX2DEC(Table13[[#This Row],[Addr_Hex]]))</f>
        <v>97</v>
      </c>
    </row>
    <row r="81" spans="2:29" x14ac:dyDescent="0.3">
      <c r="B81" s="4">
        <v>141</v>
      </c>
      <c r="C81" s="4" t="s">
        <v>233</v>
      </c>
      <c r="D81" s="9" t="str">
        <f>UPPER(Table13[[#This Row],[SIGNAL]])</f>
        <v>EV_RXENABLE_EVCODEB</v>
      </c>
      <c r="E81" s="9" t="str">
        <f>IF(Table13[[#This Row],[template]]="","","0x"&amp;Table13[[#This Row],[IP_Index]]&amp;DEC2HEX(Table13[[#This Row],[Addr_Dec]]*4,7))</f>
        <v>0x10000184</v>
      </c>
      <c r="F81" s="9" t="str">
        <f>IF(Table13[[#This Row],[template]]="","",VLOOKUP(Table13[[#This Row],[template]],Table2915[],2,FALSE))</f>
        <v>asynParamInt32</v>
      </c>
      <c r="G81" s="18" t="str">
        <f>IF(Table13[[#This Row],[template]]="","","1")</f>
        <v>1</v>
      </c>
      <c r="H81" s="10"/>
      <c r="I81" s="13" t="str">
        <f>IF(Table13[[#This Row],[template]]="","","0x"&amp;Table13[[#This Row],[D_Index]]&amp;"000")</f>
        <v>0x061D0000</v>
      </c>
      <c r="J81" s="18"/>
      <c r="K81" s="10">
        <v>0</v>
      </c>
      <c r="L81" s="10"/>
      <c r="M81" s="11" t="str">
        <f>IF(Table13[[#This Row],[template]]="","",VLOOKUP(Table13[[#This Row],[template]],Table2915[],3,FALSE))</f>
        <v xml:space="preserve"> </v>
      </c>
      <c r="N81" s="10"/>
      <c r="O81" s="11"/>
      <c r="P81" s="9" t="str">
        <f>IF(Table13[[#This Row],[template]]="","",Table13[[#This Row],[IP]]&amp;"_"&amp;Table13[[#This Row],[PARAM_NAME]]&amp;IF(Table13[[#This Row],[SUB]]="","","_"&amp;Table13[[#This Row],[SUB]]))</f>
        <v>ev_rxEnable_evCodeB</v>
      </c>
      <c r="Q81" s="1" t="s">
        <v>262</v>
      </c>
      <c r="R81" s="1" t="s">
        <v>408</v>
      </c>
      <c r="S81" s="6"/>
      <c r="T81" s="4">
        <v>61</v>
      </c>
      <c r="U81" s="6" t="s">
        <v>363</v>
      </c>
      <c r="V81" s="1" t="s">
        <v>315</v>
      </c>
      <c r="W81" s="16">
        <v>29</v>
      </c>
      <c r="X81" s="6" t="s">
        <v>363</v>
      </c>
      <c r="AA81" s="11">
        <f>IF(Table13[[#This Row],[template]]="","",VLOOKUP(Table13[[#This Row],[IP]],Table51117[],2,FALSE))</f>
        <v>1</v>
      </c>
      <c r="AB81" s="13" t="str">
        <f>IF(Table13[[#This Row],[template]]="","",DEC2HEX(VLOOKUP(Table13[[#This Row],[D1-Type]],Table351218[],2,FALSE),1)&amp;DEC2HEX(VLOOKUP(Table13[[#This Row],[D2-Type]],Table31016[],2,FALSE),1)&amp; DEC2HEX(Table13[[#This Row],[D2-Offset]],2)&amp;DEC2HEX(VLOOKUP(Table13[[#This Row],[D3-Type]],Table371319[],2,FALSE),1))</f>
        <v>061D0</v>
      </c>
      <c r="AC81" s="14">
        <f>IF(Table13[[#This Row],[template]]="","",HEX2DEC(Table13[[#This Row],[Addr_Hex]]))</f>
        <v>97</v>
      </c>
    </row>
    <row r="82" spans="2:29" x14ac:dyDescent="0.3">
      <c r="B82" s="4">
        <v>142</v>
      </c>
      <c r="C82" s="4" t="s">
        <v>233</v>
      </c>
      <c r="D82" s="9" t="str">
        <f>UPPER(Table13[[#This Row],[SIGNAL]])</f>
        <v>EV_RXENABLE_STREAMDATA</v>
      </c>
      <c r="E82" s="9" t="str">
        <f>IF(Table13[[#This Row],[template]]="","","0x"&amp;Table13[[#This Row],[IP_Index]]&amp;DEC2HEX(Table13[[#This Row],[Addr_Dec]]*4,7))</f>
        <v>0x10000184</v>
      </c>
      <c r="F82" s="9" t="str">
        <f>IF(Table13[[#This Row],[template]]="","",VLOOKUP(Table13[[#This Row],[template]],Table2915[],2,FALSE))</f>
        <v>asynParamInt32</v>
      </c>
      <c r="G82" s="18" t="str">
        <f>IF(Table13[[#This Row],[template]]="","","1")</f>
        <v>1</v>
      </c>
      <c r="H82" s="10"/>
      <c r="I82" s="13" t="str">
        <f>IF(Table13[[#This Row],[template]]="","","0x"&amp;Table13[[#This Row],[D_Index]]&amp;"000")</f>
        <v>0x061B0000</v>
      </c>
      <c r="J82" s="18"/>
      <c r="K82" s="10">
        <v>0</v>
      </c>
      <c r="L82" s="10"/>
      <c r="M82" s="11" t="str">
        <f>IF(Table13[[#This Row],[template]]="","",VLOOKUP(Table13[[#This Row],[template]],Table2915[],3,FALSE))</f>
        <v xml:space="preserve"> </v>
      </c>
      <c r="N82" s="10"/>
      <c r="O82" s="11"/>
      <c r="P82" s="9" t="str">
        <f>IF(Table13[[#This Row],[template]]="","",Table13[[#This Row],[IP]]&amp;"_"&amp;Table13[[#This Row],[PARAM_NAME]]&amp;IF(Table13[[#This Row],[SUB]]="","","_"&amp;Table13[[#This Row],[SUB]]))</f>
        <v>ev_rxEnable_streamData</v>
      </c>
      <c r="Q82" s="1" t="s">
        <v>262</v>
      </c>
      <c r="R82" s="1" t="s">
        <v>409</v>
      </c>
      <c r="S82" s="6"/>
      <c r="T82" s="4">
        <v>61</v>
      </c>
      <c r="U82" s="6" t="s">
        <v>363</v>
      </c>
      <c r="V82" s="1" t="s">
        <v>315</v>
      </c>
      <c r="W82" s="16">
        <v>27</v>
      </c>
      <c r="X82" s="6" t="s">
        <v>363</v>
      </c>
      <c r="AA82" s="11">
        <f>IF(Table13[[#This Row],[template]]="","",VLOOKUP(Table13[[#This Row],[IP]],Table51117[],2,FALSE))</f>
        <v>1</v>
      </c>
      <c r="AB82" s="13" t="str">
        <f>IF(Table13[[#This Row],[template]]="","",DEC2HEX(VLOOKUP(Table13[[#This Row],[D1-Type]],Table351218[],2,FALSE),1)&amp;DEC2HEX(VLOOKUP(Table13[[#This Row],[D2-Type]],Table31016[],2,FALSE),1)&amp; DEC2HEX(Table13[[#This Row],[D2-Offset]],2)&amp;DEC2HEX(VLOOKUP(Table13[[#This Row],[D3-Type]],Table371319[],2,FALSE),1))</f>
        <v>061B0</v>
      </c>
      <c r="AC82" s="14">
        <f>IF(Table13[[#This Row],[template]]="","",HEX2DEC(Table13[[#This Row],[Addr_Hex]]))</f>
        <v>97</v>
      </c>
    </row>
    <row r="83" spans="2:29" x14ac:dyDescent="0.3">
      <c r="B83" s="4">
        <v>143</v>
      </c>
      <c r="C83" s="4" t="s">
        <v>233</v>
      </c>
      <c r="D83" s="9" t="str">
        <f>UPPER(Table13[[#This Row],[SIGNAL]])</f>
        <v>EV_PDPENABLE</v>
      </c>
      <c r="E83" s="9" t="str">
        <f>IF(Table13[[#This Row],[template]]="","","0x"&amp;Table13[[#This Row],[IP_Index]]&amp;DEC2HEX(Table13[[#This Row],[Addr_Dec]]*4,7))</f>
        <v>0x10000184</v>
      </c>
      <c r="F83" s="9" t="str">
        <f>IF(Table13[[#This Row],[template]]="","",VLOOKUP(Table13[[#This Row],[template]],Table2915[],2,FALSE))</f>
        <v>asynParamInt32</v>
      </c>
      <c r="G83" s="18" t="str">
        <f>IF(Table13[[#This Row],[template]]="","","1")</f>
        <v>1</v>
      </c>
      <c r="H83" s="10"/>
      <c r="I83" s="13" t="str">
        <f>IF(Table13[[#This Row],[template]]="","","0x"&amp;Table13[[#This Row],[D_Index]]&amp;"000")</f>
        <v>0x06000000</v>
      </c>
      <c r="J83" s="18"/>
      <c r="K83" s="10">
        <v>0</v>
      </c>
      <c r="L83" s="10"/>
      <c r="M83" s="11" t="str">
        <f>IF(Table13[[#This Row],[template]]="","",VLOOKUP(Table13[[#This Row],[template]],Table2915[],3,FALSE))</f>
        <v xml:space="preserve"> </v>
      </c>
      <c r="N83" s="10"/>
      <c r="O83" s="11"/>
      <c r="P83" s="9" t="str">
        <f>IF(Table13[[#This Row],[template]]="","",Table13[[#This Row],[IP]]&amp;"_"&amp;Table13[[#This Row],[PARAM_NAME]]&amp;IF(Table13[[#This Row],[SUB]]="","","_"&amp;Table13[[#This Row],[SUB]]))</f>
        <v>ev_pdpEnable</v>
      </c>
      <c r="Q83" s="1" t="s">
        <v>262</v>
      </c>
      <c r="R83" s="1" t="s">
        <v>410</v>
      </c>
      <c r="S83" s="6"/>
      <c r="T83" s="4">
        <v>61</v>
      </c>
      <c r="U83" s="6" t="s">
        <v>363</v>
      </c>
      <c r="V83" s="1" t="s">
        <v>315</v>
      </c>
      <c r="W83" s="16">
        <v>0</v>
      </c>
      <c r="X83" s="6" t="s">
        <v>363</v>
      </c>
      <c r="AA83" s="11">
        <f>IF(Table13[[#This Row],[template]]="","",VLOOKUP(Table13[[#This Row],[IP]],Table51117[],2,FALSE))</f>
        <v>1</v>
      </c>
      <c r="AB83" s="13" t="str">
        <f>IF(Table13[[#This Row],[template]]="","",DEC2HEX(VLOOKUP(Table13[[#This Row],[D1-Type]],Table351218[],2,FALSE),1)&amp;DEC2HEX(VLOOKUP(Table13[[#This Row],[D2-Type]],Table31016[],2,FALSE),1)&amp; DEC2HEX(Table13[[#This Row],[D2-Offset]],2)&amp;DEC2HEX(VLOOKUP(Table13[[#This Row],[D3-Type]],Table371319[],2,FALSE),1))</f>
        <v>06000</v>
      </c>
      <c r="AC83" s="14">
        <f>IF(Table13[[#This Row],[template]]="","",HEX2DEC(Table13[[#This Row],[Addr_Hex]]))</f>
        <v>97</v>
      </c>
    </row>
    <row r="84" spans="2:29" x14ac:dyDescent="0.3">
      <c r="B84" s="4">
        <v>144</v>
      </c>
      <c r="C84" s="4"/>
      <c r="D84" s="9" t="str">
        <f>UPPER(Table13[[#This Row],[SIGNAL]])</f>
        <v/>
      </c>
      <c r="E84" s="9" t="str">
        <f>IF(Table13[[#This Row],[template]]="","","0x"&amp;Table13[[#This Row],[IP_Index]]&amp;DEC2HEX(Table13[[#This Row],[Addr_Dec]]*4,7))</f>
        <v/>
      </c>
      <c r="F84" s="9" t="str">
        <f>IF(Table13[[#This Row],[template]]="","",VLOOKUP(Table13[[#This Row],[template]],Table2915[],2,FALSE))</f>
        <v/>
      </c>
      <c r="G84" s="18" t="str">
        <f>IF(Table13[[#This Row],[template]]="","","1")</f>
        <v/>
      </c>
      <c r="H84" s="10"/>
      <c r="I84" s="13" t="str">
        <f>IF(Table13[[#This Row],[template]]="","","0x"&amp;Table13[[#This Row],[D_Index]]&amp;"000")</f>
        <v/>
      </c>
      <c r="J84" s="18"/>
      <c r="K84" s="10">
        <v>0</v>
      </c>
      <c r="L84" s="10"/>
      <c r="M84" s="11" t="str">
        <f>IF(Table13[[#This Row],[template]]="","",VLOOKUP(Table13[[#This Row],[template]],Table2915[],3,FALSE))</f>
        <v/>
      </c>
      <c r="N84" s="10"/>
      <c r="O84" s="11"/>
      <c r="P84" s="9" t="str">
        <f>IF(Table13[[#This Row],[template]]="","",Table13[[#This Row],[IP]]&amp;"_"&amp;Table13[[#This Row],[PARAM_NAME]]&amp;IF(Table13[[#This Row],[SUB]]="","","_"&amp;Table13[[#This Row],[SUB]]))</f>
        <v/>
      </c>
      <c r="S84" s="6"/>
      <c r="T84" s="4"/>
      <c r="U84" s="6"/>
      <c r="W84" s="16"/>
      <c r="X84" s="6"/>
      <c r="AA84" s="11" t="str">
        <f>IF(Table13[[#This Row],[template]]="","",VLOOKUP(Table13[[#This Row],[IP]],Table51117[],2,FALSE))</f>
        <v/>
      </c>
      <c r="AB84" s="13" t="str">
        <f>IF(Table13[[#This Row],[template]]="","",DEC2HEX(VLOOKUP(Table13[[#This Row],[D1-Type]],Table351218[],2,FALSE),1)&amp;DEC2HEX(VLOOKUP(Table13[[#This Row],[D2-Type]],Table31016[],2,FALSE),1)&amp; DEC2HEX(Table13[[#This Row],[D2-Offset]],2)&amp;DEC2HEX(VLOOKUP(Table13[[#This Row],[D3-Type]],Table371319[],2,FALSE),1))</f>
        <v/>
      </c>
      <c r="AC84" s="14" t="str">
        <f>IF(Table13[[#This Row],[template]]="","",HEX2DEC(Table13[[#This Row],[Addr_Hex]]))</f>
        <v/>
      </c>
    </row>
    <row r="85" spans="2:29" x14ac:dyDescent="0.3">
      <c r="B85" s="4">
        <v>145</v>
      </c>
      <c r="C85" s="4" t="s">
        <v>233</v>
      </c>
      <c r="D85" s="9" t="str">
        <f>UPPER(Table13[[#This Row],[SIGNAL]])</f>
        <v>EV_EXTOUTSEL_1PPS</v>
      </c>
      <c r="E85" s="9" t="str">
        <f>IF(Table13[[#This Row],[template]]="","","0x"&amp;Table13[[#This Row],[IP_Index]]&amp;DEC2HEX(Table13[[#This Row],[Addr_Dec]]*4,7))</f>
        <v>0x10000188</v>
      </c>
      <c r="F85" s="9" t="str">
        <f>IF(Table13[[#This Row],[template]]="","",VLOOKUP(Table13[[#This Row],[template]],Table2915[],2,FALSE))</f>
        <v>asynParamInt32</v>
      </c>
      <c r="G85" s="18" t="str">
        <f>IF(Table13[[#This Row],[template]]="","","1")</f>
        <v>1</v>
      </c>
      <c r="H85" s="10"/>
      <c r="I85" s="13" t="str">
        <f>IF(Table13[[#This Row],[template]]="","","0x"&amp;Table13[[#This Row],[D_Index]]&amp;"000")</f>
        <v>0x061E0000</v>
      </c>
      <c r="J85" s="18"/>
      <c r="K85" s="10">
        <v>0</v>
      </c>
      <c r="L85" s="10"/>
      <c r="M85" s="11" t="str">
        <f>IF(Table13[[#This Row],[template]]="","",VLOOKUP(Table13[[#This Row],[template]],Table2915[],3,FALSE))</f>
        <v xml:space="preserve"> </v>
      </c>
      <c r="N85" s="10"/>
      <c r="O85" s="11"/>
      <c r="P85" s="9" t="str">
        <f>IF(Table13[[#This Row],[template]]="","",Table13[[#This Row],[IP]]&amp;"_"&amp;Table13[[#This Row],[PARAM_NAME]]&amp;IF(Table13[[#This Row],[SUB]]="","","_"&amp;Table13[[#This Row],[SUB]]))</f>
        <v>ev_extOutSel_1pps</v>
      </c>
      <c r="Q85" s="1" t="s">
        <v>262</v>
      </c>
      <c r="R85" s="1" t="s">
        <v>411</v>
      </c>
      <c r="S85" s="6"/>
      <c r="T85" s="4">
        <v>62</v>
      </c>
      <c r="U85" s="6" t="s">
        <v>363</v>
      </c>
      <c r="V85" s="1" t="s">
        <v>315</v>
      </c>
      <c r="W85" s="16">
        <v>30</v>
      </c>
      <c r="X85" s="6" t="s">
        <v>363</v>
      </c>
      <c r="AA85" s="11">
        <f>IF(Table13[[#This Row],[template]]="","",VLOOKUP(Table13[[#This Row],[IP]],Table51117[],2,FALSE))</f>
        <v>1</v>
      </c>
      <c r="AB85" s="13" t="str">
        <f>IF(Table13[[#This Row],[template]]="","",DEC2HEX(VLOOKUP(Table13[[#This Row],[D1-Type]],Table351218[],2,FALSE),1)&amp;DEC2HEX(VLOOKUP(Table13[[#This Row],[D2-Type]],Table31016[],2,FALSE),1)&amp; DEC2HEX(Table13[[#This Row],[D2-Offset]],2)&amp;DEC2HEX(VLOOKUP(Table13[[#This Row],[D3-Type]],Table371319[],2,FALSE),1))</f>
        <v>061E0</v>
      </c>
      <c r="AC85" s="14">
        <f>IF(Table13[[#This Row],[template]]="","",HEX2DEC(Table13[[#This Row],[Addr_Hex]]))</f>
        <v>98</v>
      </c>
    </row>
    <row r="86" spans="2:29" x14ac:dyDescent="0.3">
      <c r="B86" s="4">
        <v>146</v>
      </c>
      <c r="C86" s="4" t="s">
        <v>233</v>
      </c>
      <c r="D86" s="9" t="str">
        <f>UPPER(Table13[[#This Row],[SIGNAL]])</f>
        <v>EV_EVR_PDPTRGSRCSEL</v>
      </c>
      <c r="E86" s="9" t="str">
        <f>IF(Table13[[#This Row],[template]]="","","0x"&amp;Table13[[#This Row],[IP_Index]]&amp;DEC2HEX(Table13[[#This Row],[Addr_Dec]]*4,7))</f>
        <v>0x10000188</v>
      </c>
      <c r="F86" s="9" t="str">
        <f>IF(Table13[[#This Row],[template]]="","",VLOOKUP(Table13[[#This Row],[template]],Table2915[],2,FALSE))</f>
        <v>asynParamInt32</v>
      </c>
      <c r="G86" s="18" t="str">
        <f>IF(Table13[[#This Row],[template]]="","","1")</f>
        <v>1</v>
      </c>
      <c r="H86" s="10"/>
      <c r="I86" s="13" t="str">
        <f>IF(Table13[[#This Row],[template]]="","","0x"&amp;Table13[[#This Row],[D_Index]]&amp;"000")</f>
        <v>0x06080000</v>
      </c>
      <c r="J86" s="18"/>
      <c r="K86" s="10">
        <v>0</v>
      </c>
      <c r="L86" s="10"/>
      <c r="M86" s="11" t="str">
        <f>IF(Table13[[#This Row],[template]]="","",VLOOKUP(Table13[[#This Row],[template]],Table2915[],3,FALSE))</f>
        <v xml:space="preserve"> </v>
      </c>
      <c r="N86" s="10"/>
      <c r="O86" s="11"/>
      <c r="P86" s="9" t="str">
        <f>IF(Table13[[#This Row],[template]]="","",Table13[[#This Row],[IP]]&amp;"_"&amp;Table13[[#This Row],[PARAM_NAME]]&amp;IF(Table13[[#This Row],[SUB]]="","","_"&amp;Table13[[#This Row],[SUB]]))</f>
        <v>ev_evr_pdpTrgSrcSel</v>
      </c>
      <c r="Q86" s="1" t="s">
        <v>262</v>
      </c>
      <c r="R86" s="1" t="s">
        <v>412</v>
      </c>
      <c r="S86" s="6"/>
      <c r="T86" s="4">
        <v>62</v>
      </c>
      <c r="U86" s="6" t="s">
        <v>363</v>
      </c>
      <c r="V86" s="1" t="s">
        <v>315</v>
      </c>
      <c r="W86" s="16">
        <v>8</v>
      </c>
      <c r="X86" s="6" t="s">
        <v>363</v>
      </c>
      <c r="AA86" s="11">
        <f>IF(Table13[[#This Row],[template]]="","",VLOOKUP(Table13[[#This Row],[IP]],Table51117[],2,FALSE))</f>
        <v>1</v>
      </c>
      <c r="AB86" s="13" t="str">
        <f>IF(Table13[[#This Row],[template]]="","",DEC2HEX(VLOOKUP(Table13[[#This Row],[D1-Type]],Table351218[],2,FALSE),1)&amp;DEC2HEX(VLOOKUP(Table13[[#This Row],[D2-Type]],Table31016[],2,FALSE),1)&amp; DEC2HEX(Table13[[#This Row],[D2-Offset]],2)&amp;DEC2HEX(VLOOKUP(Table13[[#This Row],[D3-Type]],Table371319[],2,FALSE),1))</f>
        <v>06080</v>
      </c>
      <c r="AC86" s="14">
        <f>IF(Table13[[#This Row],[template]]="","",HEX2DEC(Table13[[#This Row],[Addr_Hex]]))</f>
        <v>98</v>
      </c>
    </row>
    <row r="87" spans="2:29" x14ac:dyDescent="0.3">
      <c r="B87" s="4">
        <v>147</v>
      </c>
      <c r="C87" s="4" t="s">
        <v>233</v>
      </c>
      <c r="D87" s="9" t="str">
        <f>UPPER(Table13[[#This Row],[SIGNAL]])</f>
        <v>EV_RX_DBUSSEL_0</v>
      </c>
      <c r="E87" s="9" t="str">
        <f>IF(Table13[[#This Row],[template]]="","","0x"&amp;Table13[[#This Row],[IP_Index]]&amp;DEC2HEX(Table13[[#This Row],[Addr_Dec]]*4,7))</f>
        <v>0x10000188</v>
      </c>
      <c r="F87" s="9" t="str">
        <f>IF(Table13[[#This Row],[template]]="","",VLOOKUP(Table13[[#This Row],[template]],Table2915[],2,FALSE))</f>
        <v>asynParamInt32</v>
      </c>
      <c r="G87" s="18" t="str">
        <f>IF(Table13[[#This Row],[template]]="","","1")</f>
        <v>1</v>
      </c>
      <c r="H87" s="10"/>
      <c r="I87" s="13" t="str">
        <f>IF(Table13[[#This Row],[template]]="","","0x"&amp;Table13[[#This Row],[D_Index]]&amp;"000")</f>
        <v>0x06000000</v>
      </c>
      <c r="J87" s="18"/>
      <c r="K87" s="10">
        <v>0</v>
      </c>
      <c r="L87" s="10"/>
      <c r="M87" s="11" t="str">
        <f>IF(Table13[[#This Row],[template]]="","",VLOOKUP(Table13[[#This Row],[template]],Table2915[],3,FALSE))</f>
        <v xml:space="preserve"> </v>
      </c>
      <c r="N87" s="10"/>
      <c r="O87" s="11"/>
      <c r="P87" s="9" t="str">
        <f>IF(Table13[[#This Row],[template]]="","",Table13[[#This Row],[IP]]&amp;"_"&amp;Table13[[#This Row],[PARAM_NAME]]&amp;IF(Table13[[#This Row],[SUB]]="","","_"&amp;Table13[[#This Row],[SUB]]))</f>
        <v>ev_rx_DBusSel_0</v>
      </c>
      <c r="Q87" s="1" t="s">
        <v>262</v>
      </c>
      <c r="R87" s="1" t="s">
        <v>783</v>
      </c>
      <c r="S87" s="16">
        <v>0</v>
      </c>
      <c r="T87" s="4">
        <v>62</v>
      </c>
      <c r="U87" s="6" t="s">
        <v>363</v>
      </c>
      <c r="V87" s="1" t="s">
        <v>315</v>
      </c>
      <c r="W87" s="16">
        <v>0</v>
      </c>
      <c r="X87" s="6" t="s">
        <v>363</v>
      </c>
      <c r="AA87" s="11">
        <f>IF(Table13[[#This Row],[template]]="","",VLOOKUP(Table13[[#This Row],[IP]],Table51117[],2,FALSE))</f>
        <v>1</v>
      </c>
      <c r="AB87" s="13" t="str">
        <f>IF(Table13[[#This Row],[template]]="","",DEC2HEX(VLOOKUP(Table13[[#This Row],[D1-Type]],Table351218[],2,FALSE),1)&amp;DEC2HEX(VLOOKUP(Table13[[#This Row],[D2-Type]],Table31016[],2,FALSE),1)&amp; DEC2HEX(Table13[[#This Row],[D2-Offset]],2)&amp;DEC2HEX(VLOOKUP(Table13[[#This Row],[D3-Type]],Table371319[],2,FALSE),1))</f>
        <v>06000</v>
      </c>
      <c r="AC87" s="14">
        <f>IF(Table13[[#This Row],[template]]="","",HEX2DEC(Table13[[#This Row],[Addr_Hex]]))</f>
        <v>98</v>
      </c>
    </row>
    <row r="88" spans="2:29" x14ac:dyDescent="0.3">
      <c r="B88" s="4">
        <v>147</v>
      </c>
      <c r="C88" s="4" t="s">
        <v>233</v>
      </c>
      <c r="D88" s="9" t="str">
        <f>UPPER(Table13[[#This Row],[SIGNAL]])</f>
        <v>EV_RX_DBUSSEL_1</v>
      </c>
      <c r="E88" s="9" t="str">
        <f>IF(Table13[[#This Row],[template]]="","","0x"&amp;Table13[[#This Row],[IP_Index]]&amp;DEC2HEX(Table13[[#This Row],[Addr_Dec]]*4,7))</f>
        <v>0x10000188</v>
      </c>
      <c r="F88" s="9" t="str">
        <f>IF(Table13[[#This Row],[template]]="","",VLOOKUP(Table13[[#This Row],[template]],Table2915[],2,FALSE))</f>
        <v>asynParamInt32</v>
      </c>
      <c r="G88" s="18" t="str">
        <f>IF(Table13[[#This Row],[template]]="","","1")</f>
        <v>1</v>
      </c>
      <c r="H88" s="10"/>
      <c r="I88" s="13" t="str">
        <f>IF(Table13[[#This Row],[template]]="","","0x"&amp;Table13[[#This Row],[D_Index]]&amp;"000")</f>
        <v>0x06010000</v>
      </c>
      <c r="J88" s="18"/>
      <c r="K88" s="10">
        <v>0</v>
      </c>
      <c r="L88" s="10"/>
      <c r="M88" s="11" t="str">
        <f>IF(Table13[[#This Row],[template]]="","",VLOOKUP(Table13[[#This Row],[template]],Table2915[],3,FALSE))</f>
        <v xml:space="preserve"> </v>
      </c>
      <c r="N88" s="10"/>
      <c r="O88" s="11"/>
      <c r="P88" s="9" t="str">
        <f>IF(Table13[[#This Row],[template]]="","",Table13[[#This Row],[IP]]&amp;"_"&amp;Table13[[#This Row],[PARAM_NAME]]&amp;IF(Table13[[#This Row],[SUB]]="","","_"&amp;Table13[[#This Row],[SUB]]))</f>
        <v>ev_rx_DBusSel_1</v>
      </c>
      <c r="Q88" s="1" t="s">
        <v>262</v>
      </c>
      <c r="R88" s="1" t="s">
        <v>783</v>
      </c>
      <c r="S88" s="16">
        <v>1</v>
      </c>
      <c r="T88" s="4">
        <v>62</v>
      </c>
      <c r="U88" s="6" t="s">
        <v>363</v>
      </c>
      <c r="V88" s="1" t="s">
        <v>315</v>
      </c>
      <c r="W88" s="16">
        <v>1</v>
      </c>
      <c r="X88" s="6" t="s">
        <v>363</v>
      </c>
      <c r="AA88" s="11">
        <f>IF(Table13[[#This Row],[template]]="","",VLOOKUP(Table13[[#This Row],[IP]],Table51117[],2,FALSE))</f>
        <v>1</v>
      </c>
      <c r="AB88" s="13" t="str">
        <f>IF(Table13[[#This Row],[template]]="","",DEC2HEX(VLOOKUP(Table13[[#This Row],[D1-Type]],Table351218[],2,FALSE),1)&amp;DEC2HEX(VLOOKUP(Table13[[#This Row],[D2-Type]],Table31016[],2,FALSE),1)&amp; DEC2HEX(Table13[[#This Row],[D2-Offset]],2)&amp;DEC2HEX(VLOOKUP(Table13[[#This Row],[D3-Type]],Table371319[],2,FALSE),1))</f>
        <v>06010</v>
      </c>
      <c r="AC88" s="14">
        <f>IF(Table13[[#This Row],[template]]="","",HEX2DEC(Table13[[#This Row],[Addr_Hex]]))</f>
        <v>98</v>
      </c>
    </row>
    <row r="89" spans="2:29" x14ac:dyDescent="0.3">
      <c r="B89" s="4">
        <v>147</v>
      </c>
      <c r="C89" s="4" t="s">
        <v>233</v>
      </c>
      <c r="D89" s="9" t="str">
        <f>UPPER(Table13[[#This Row],[SIGNAL]])</f>
        <v>EV_RX_DBUSSEL_2</v>
      </c>
      <c r="E89" s="9" t="str">
        <f>IF(Table13[[#This Row],[template]]="","","0x"&amp;Table13[[#This Row],[IP_Index]]&amp;DEC2HEX(Table13[[#This Row],[Addr_Dec]]*4,7))</f>
        <v>0x10000188</v>
      </c>
      <c r="F89" s="9" t="str">
        <f>IF(Table13[[#This Row],[template]]="","",VLOOKUP(Table13[[#This Row],[template]],Table2915[],2,FALSE))</f>
        <v>asynParamInt32</v>
      </c>
      <c r="G89" s="18" t="str">
        <f>IF(Table13[[#This Row],[template]]="","","1")</f>
        <v>1</v>
      </c>
      <c r="H89" s="10"/>
      <c r="I89" s="13" t="str">
        <f>IF(Table13[[#This Row],[template]]="","","0x"&amp;Table13[[#This Row],[D_Index]]&amp;"000")</f>
        <v>0x06020000</v>
      </c>
      <c r="J89" s="18"/>
      <c r="K89" s="10">
        <v>0</v>
      </c>
      <c r="L89" s="10"/>
      <c r="M89" s="11" t="str">
        <f>IF(Table13[[#This Row],[template]]="","",VLOOKUP(Table13[[#This Row],[template]],Table2915[],3,FALSE))</f>
        <v xml:space="preserve"> </v>
      </c>
      <c r="N89" s="10"/>
      <c r="O89" s="11"/>
      <c r="P89" s="9" t="str">
        <f>IF(Table13[[#This Row],[template]]="","",Table13[[#This Row],[IP]]&amp;"_"&amp;Table13[[#This Row],[PARAM_NAME]]&amp;IF(Table13[[#This Row],[SUB]]="","","_"&amp;Table13[[#This Row],[SUB]]))</f>
        <v>ev_rx_DBusSel_2</v>
      </c>
      <c r="Q89" s="1" t="s">
        <v>262</v>
      </c>
      <c r="R89" s="1" t="s">
        <v>783</v>
      </c>
      <c r="S89" s="16">
        <v>2</v>
      </c>
      <c r="T89" s="4">
        <v>62</v>
      </c>
      <c r="U89" s="6" t="s">
        <v>363</v>
      </c>
      <c r="V89" s="1" t="s">
        <v>315</v>
      </c>
      <c r="W89" s="16">
        <v>2</v>
      </c>
      <c r="X89" s="6" t="s">
        <v>363</v>
      </c>
      <c r="AA89" s="11">
        <f>IF(Table13[[#This Row],[template]]="","",VLOOKUP(Table13[[#This Row],[IP]],Table51117[],2,FALSE))</f>
        <v>1</v>
      </c>
      <c r="AB89" s="13" t="str">
        <f>IF(Table13[[#This Row],[template]]="","",DEC2HEX(VLOOKUP(Table13[[#This Row],[D1-Type]],Table351218[],2,FALSE),1)&amp;DEC2HEX(VLOOKUP(Table13[[#This Row],[D2-Type]],Table31016[],2,FALSE),1)&amp; DEC2HEX(Table13[[#This Row],[D2-Offset]],2)&amp;DEC2HEX(VLOOKUP(Table13[[#This Row],[D3-Type]],Table371319[],2,FALSE),1))</f>
        <v>06020</v>
      </c>
      <c r="AC89" s="14">
        <f>IF(Table13[[#This Row],[template]]="","",HEX2DEC(Table13[[#This Row],[Addr_Hex]]))</f>
        <v>98</v>
      </c>
    </row>
    <row r="90" spans="2:29" x14ac:dyDescent="0.3">
      <c r="B90" s="4">
        <v>147</v>
      </c>
      <c r="C90" s="4" t="s">
        <v>233</v>
      </c>
      <c r="D90" s="9" t="str">
        <f>UPPER(Table13[[#This Row],[SIGNAL]])</f>
        <v>EV_RX_DBUSSEL_3</v>
      </c>
      <c r="E90" s="9" t="str">
        <f>IF(Table13[[#This Row],[template]]="","","0x"&amp;Table13[[#This Row],[IP_Index]]&amp;DEC2HEX(Table13[[#This Row],[Addr_Dec]]*4,7))</f>
        <v>0x10000188</v>
      </c>
      <c r="F90" s="9" t="str">
        <f>IF(Table13[[#This Row],[template]]="","",VLOOKUP(Table13[[#This Row],[template]],Table2915[],2,FALSE))</f>
        <v>asynParamInt32</v>
      </c>
      <c r="G90" s="18" t="str">
        <f>IF(Table13[[#This Row],[template]]="","","1")</f>
        <v>1</v>
      </c>
      <c r="H90" s="10"/>
      <c r="I90" s="13" t="str">
        <f>IF(Table13[[#This Row],[template]]="","","0x"&amp;Table13[[#This Row],[D_Index]]&amp;"000")</f>
        <v>0x06030000</v>
      </c>
      <c r="J90" s="18"/>
      <c r="K90" s="10">
        <v>0</v>
      </c>
      <c r="L90" s="10"/>
      <c r="M90" s="11" t="str">
        <f>IF(Table13[[#This Row],[template]]="","",VLOOKUP(Table13[[#This Row],[template]],Table2915[],3,FALSE))</f>
        <v xml:space="preserve"> </v>
      </c>
      <c r="N90" s="10"/>
      <c r="O90" s="11"/>
      <c r="P90" s="9" t="str">
        <f>IF(Table13[[#This Row],[template]]="","",Table13[[#This Row],[IP]]&amp;"_"&amp;Table13[[#This Row],[PARAM_NAME]]&amp;IF(Table13[[#This Row],[SUB]]="","","_"&amp;Table13[[#This Row],[SUB]]))</f>
        <v>ev_rx_DBusSel_3</v>
      </c>
      <c r="Q90" s="1" t="s">
        <v>262</v>
      </c>
      <c r="R90" s="1" t="s">
        <v>783</v>
      </c>
      <c r="S90" s="16">
        <v>3</v>
      </c>
      <c r="T90" s="4">
        <v>62</v>
      </c>
      <c r="U90" s="6" t="s">
        <v>363</v>
      </c>
      <c r="V90" s="1" t="s">
        <v>315</v>
      </c>
      <c r="W90" s="16">
        <v>3</v>
      </c>
      <c r="X90" s="6" t="s">
        <v>363</v>
      </c>
      <c r="AA90" s="11">
        <f>IF(Table13[[#This Row],[template]]="","",VLOOKUP(Table13[[#This Row],[IP]],Table51117[],2,FALSE))</f>
        <v>1</v>
      </c>
      <c r="AB90" s="13" t="str">
        <f>IF(Table13[[#This Row],[template]]="","",DEC2HEX(VLOOKUP(Table13[[#This Row],[D1-Type]],Table351218[],2,FALSE),1)&amp;DEC2HEX(VLOOKUP(Table13[[#This Row],[D2-Type]],Table31016[],2,FALSE),1)&amp; DEC2HEX(Table13[[#This Row],[D2-Offset]],2)&amp;DEC2HEX(VLOOKUP(Table13[[#This Row],[D3-Type]],Table371319[],2,FALSE),1))</f>
        <v>06030</v>
      </c>
      <c r="AC90" s="14">
        <f>IF(Table13[[#This Row],[template]]="","",HEX2DEC(Table13[[#This Row],[Addr_Hex]]))</f>
        <v>98</v>
      </c>
    </row>
    <row r="91" spans="2:29" x14ac:dyDescent="0.3">
      <c r="B91" s="4">
        <v>147</v>
      </c>
      <c r="C91" s="4" t="s">
        <v>233</v>
      </c>
      <c r="D91" s="9" t="str">
        <f>UPPER(Table13[[#This Row],[SIGNAL]])</f>
        <v>EV_RX_DBUSSEL_4</v>
      </c>
      <c r="E91" s="9" t="str">
        <f>IF(Table13[[#This Row],[template]]="","","0x"&amp;Table13[[#This Row],[IP_Index]]&amp;DEC2HEX(Table13[[#This Row],[Addr_Dec]]*4,7))</f>
        <v>0x10000188</v>
      </c>
      <c r="F91" s="9" t="str">
        <f>IF(Table13[[#This Row],[template]]="","",VLOOKUP(Table13[[#This Row],[template]],Table2915[],2,FALSE))</f>
        <v>asynParamInt32</v>
      </c>
      <c r="G91" s="18" t="str">
        <f>IF(Table13[[#This Row],[template]]="","","1")</f>
        <v>1</v>
      </c>
      <c r="H91" s="10"/>
      <c r="I91" s="13" t="str">
        <f>IF(Table13[[#This Row],[template]]="","","0x"&amp;Table13[[#This Row],[D_Index]]&amp;"000")</f>
        <v>0x06040000</v>
      </c>
      <c r="J91" s="18"/>
      <c r="K91" s="10">
        <v>0</v>
      </c>
      <c r="L91" s="10"/>
      <c r="M91" s="11" t="str">
        <f>IF(Table13[[#This Row],[template]]="","",VLOOKUP(Table13[[#This Row],[template]],Table2915[],3,FALSE))</f>
        <v xml:space="preserve"> </v>
      </c>
      <c r="N91" s="10"/>
      <c r="O91" s="11"/>
      <c r="P91" s="9" t="str">
        <f>IF(Table13[[#This Row],[template]]="","",Table13[[#This Row],[IP]]&amp;"_"&amp;Table13[[#This Row],[PARAM_NAME]]&amp;IF(Table13[[#This Row],[SUB]]="","","_"&amp;Table13[[#This Row],[SUB]]))</f>
        <v>ev_rx_DBusSel_4</v>
      </c>
      <c r="Q91" s="1" t="s">
        <v>262</v>
      </c>
      <c r="R91" s="1" t="s">
        <v>783</v>
      </c>
      <c r="S91" s="16">
        <v>4</v>
      </c>
      <c r="T91" s="4">
        <v>62</v>
      </c>
      <c r="U91" s="6" t="s">
        <v>363</v>
      </c>
      <c r="V91" s="1" t="s">
        <v>315</v>
      </c>
      <c r="W91" s="16">
        <v>4</v>
      </c>
      <c r="X91" s="6" t="s">
        <v>363</v>
      </c>
      <c r="AA91" s="11">
        <f>IF(Table13[[#This Row],[template]]="","",VLOOKUP(Table13[[#This Row],[IP]],Table51117[],2,FALSE))</f>
        <v>1</v>
      </c>
      <c r="AB91" s="13" t="str">
        <f>IF(Table13[[#This Row],[template]]="","",DEC2HEX(VLOOKUP(Table13[[#This Row],[D1-Type]],Table351218[],2,FALSE),1)&amp;DEC2HEX(VLOOKUP(Table13[[#This Row],[D2-Type]],Table31016[],2,FALSE),1)&amp; DEC2HEX(Table13[[#This Row],[D2-Offset]],2)&amp;DEC2HEX(VLOOKUP(Table13[[#This Row],[D3-Type]],Table371319[],2,FALSE),1))</f>
        <v>06040</v>
      </c>
      <c r="AC91" s="14">
        <f>IF(Table13[[#This Row],[template]]="","",HEX2DEC(Table13[[#This Row],[Addr_Hex]]))</f>
        <v>98</v>
      </c>
    </row>
    <row r="92" spans="2:29" x14ac:dyDescent="0.3">
      <c r="B92" s="4">
        <v>147</v>
      </c>
      <c r="C92" s="4" t="s">
        <v>233</v>
      </c>
      <c r="D92" s="9" t="str">
        <f>UPPER(Table13[[#This Row],[SIGNAL]])</f>
        <v>EV_RX_DBUSSEL_5</v>
      </c>
      <c r="E92" s="9" t="str">
        <f>IF(Table13[[#This Row],[template]]="","","0x"&amp;Table13[[#This Row],[IP_Index]]&amp;DEC2HEX(Table13[[#This Row],[Addr_Dec]]*4,7))</f>
        <v>0x10000188</v>
      </c>
      <c r="F92" s="9" t="str">
        <f>IF(Table13[[#This Row],[template]]="","",VLOOKUP(Table13[[#This Row],[template]],Table2915[],2,FALSE))</f>
        <v>asynParamInt32</v>
      </c>
      <c r="G92" s="18" t="str">
        <f>IF(Table13[[#This Row],[template]]="","","1")</f>
        <v>1</v>
      </c>
      <c r="H92" s="10"/>
      <c r="I92" s="13" t="str">
        <f>IF(Table13[[#This Row],[template]]="","","0x"&amp;Table13[[#This Row],[D_Index]]&amp;"000")</f>
        <v>0x06050000</v>
      </c>
      <c r="J92" s="18"/>
      <c r="K92" s="10">
        <v>0</v>
      </c>
      <c r="L92" s="10"/>
      <c r="M92" s="11" t="str">
        <f>IF(Table13[[#This Row],[template]]="","",VLOOKUP(Table13[[#This Row],[template]],Table2915[],3,FALSE))</f>
        <v xml:space="preserve"> </v>
      </c>
      <c r="N92" s="10"/>
      <c r="O92" s="11"/>
      <c r="P92" s="9" t="str">
        <f>IF(Table13[[#This Row],[template]]="","",Table13[[#This Row],[IP]]&amp;"_"&amp;Table13[[#This Row],[PARAM_NAME]]&amp;IF(Table13[[#This Row],[SUB]]="","","_"&amp;Table13[[#This Row],[SUB]]))</f>
        <v>ev_rx_DBusSel_5</v>
      </c>
      <c r="Q92" s="1" t="s">
        <v>262</v>
      </c>
      <c r="R92" s="1" t="s">
        <v>783</v>
      </c>
      <c r="S92" s="16">
        <v>5</v>
      </c>
      <c r="T92" s="4">
        <v>62</v>
      </c>
      <c r="U92" s="6" t="s">
        <v>363</v>
      </c>
      <c r="V92" s="1" t="s">
        <v>315</v>
      </c>
      <c r="W92" s="16">
        <v>5</v>
      </c>
      <c r="X92" s="6" t="s">
        <v>363</v>
      </c>
      <c r="AA92" s="11">
        <f>IF(Table13[[#This Row],[template]]="","",VLOOKUP(Table13[[#This Row],[IP]],Table51117[],2,FALSE))</f>
        <v>1</v>
      </c>
      <c r="AB92" s="13" t="str">
        <f>IF(Table13[[#This Row],[template]]="","",DEC2HEX(VLOOKUP(Table13[[#This Row],[D1-Type]],Table351218[],2,FALSE),1)&amp;DEC2HEX(VLOOKUP(Table13[[#This Row],[D2-Type]],Table31016[],2,FALSE),1)&amp; DEC2HEX(Table13[[#This Row],[D2-Offset]],2)&amp;DEC2HEX(VLOOKUP(Table13[[#This Row],[D3-Type]],Table371319[],2,FALSE),1))</f>
        <v>06050</v>
      </c>
      <c r="AC92" s="14">
        <f>IF(Table13[[#This Row],[template]]="","",HEX2DEC(Table13[[#This Row],[Addr_Hex]]))</f>
        <v>98</v>
      </c>
    </row>
    <row r="93" spans="2:29" x14ac:dyDescent="0.3">
      <c r="B93" s="4">
        <v>147</v>
      </c>
      <c r="C93" s="4" t="s">
        <v>233</v>
      </c>
      <c r="D93" s="9" t="str">
        <f>UPPER(Table13[[#This Row],[SIGNAL]])</f>
        <v>EV_RX_DBUSSEL_6</v>
      </c>
      <c r="E93" s="9" t="str">
        <f>IF(Table13[[#This Row],[template]]="","","0x"&amp;Table13[[#This Row],[IP_Index]]&amp;DEC2HEX(Table13[[#This Row],[Addr_Dec]]*4,7))</f>
        <v>0x10000188</v>
      </c>
      <c r="F93" s="9" t="str">
        <f>IF(Table13[[#This Row],[template]]="","",VLOOKUP(Table13[[#This Row],[template]],Table2915[],2,FALSE))</f>
        <v>asynParamInt32</v>
      </c>
      <c r="G93" s="18" t="str">
        <f>IF(Table13[[#This Row],[template]]="","","1")</f>
        <v>1</v>
      </c>
      <c r="H93" s="10"/>
      <c r="I93" s="13" t="str">
        <f>IF(Table13[[#This Row],[template]]="","","0x"&amp;Table13[[#This Row],[D_Index]]&amp;"000")</f>
        <v>0x06060000</v>
      </c>
      <c r="J93" s="18"/>
      <c r="K93" s="10">
        <v>0</v>
      </c>
      <c r="L93" s="10"/>
      <c r="M93" s="11" t="str">
        <f>IF(Table13[[#This Row],[template]]="","",VLOOKUP(Table13[[#This Row],[template]],Table2915[],3,FALSE))</f>
        <v xml:space="preserve"> </v>
      </c>
      <c r="N93" s="10"/>
      <c r="O93" s="11"/>
      <c r="P93" s="9" t="str">
        <f>IF(Table13[[#This Row],[template]]="","",Table13[[#This Row],[IP]]&amp;"_"&amp;Table13[[#This Row],[PARAM_NAME]]&amp;IF(Table13[[#This Row],[SUB]]="","","_"&amp;Table13[[#This Row],[SUB]]))</f>
        <v>ev_rx_DBusSel_6</v>
      </c>
      <c r="Q93" s="1" t="s">
        <v>262</v>
      </c>
      <c r="R93" s="1" t="s">
        <v>783</v>
      </c>
      <c r="S93" s="16">
        <v>6</v>
      </c>
      <c r="T93" s="4">
        <v>62</v>
      </c>
      <c r="U93" s="6" t="s">
        <v>363</v>
      </c>
      <c r="V93" s="1" t="s">
        <v>315</v>
      </c>
      <c r="W93" s="16">
        <v>6</v>
      </c>
      <c r="X93" s="6" t="s">
        <v>363</v>
      </c>
      <c r="AA93" s="11">
        <f>IF(Table13[[#This Row],[template]]="","",VLOOKUP(Table13[[#This Row],[IP]],Table51117[],2,FALSE))</f>
        <v>1</v>
      </c>
      <c r="AB93" s="13" t="str">
        <f>IF(Table13[[#This Row],[template]]="","",DEC2HEX(VLOOKUP(Table13[[#This Row],[D1-Type]],Table351218[],2,FALSE),1)&amp;DEC2HEX(VLOOKUP(Table13[[#This Row],[D2-Type]],Table31016[],2,FALSE),1)&amp; DEC2HEX(Table13[[#This Row],[D2-Offset]],2)&amp;DEC2HEX(VLOOKUP(Table13[[#This Row],[D3-Type]],Table371319[],2,FALSE),1))</f>
        <v>06060</v>
      </c>
      <c r="AC93" s="14">
        <f>IF(Table13[[#This Row],[template]]="","",HEX2DEC(Table13[[#This Row],[Addr_Hex]]))</f>
        <v>98</v>
      </c>
    </row>
    <row r="94" spans="2:29" x14ac:dyDescent="0.3">
      <c r="B94" s="4">
        <v>147</v>
      </c>
      <c r="C94" s="4" t="s">
        <v>233</v>
      </c>
      <c r="D94" s="9" t="str">
        <f>UPPER(Table13[[#This Row],[SIGNAL]])</f>
        <v>EV_RX_DBUSSEL_7</v>
      </c>
      <c r="E94" s="9" t="str">
        <f>IF(Table13[[#This Row],[template]]="","","0x"&amp;Table13[[#This Row],[IP_Index]]&amp;DEC2HEX(Table13[[#This Row],[Addr_Dec]]*4,7))</f>
        <v>0x10000188</v>
      </c>
      <c r="F94" s="9" t="str">
        <f>IF(Table13[[#This Row],[template]]="","",VLOOKUP(Table13[[#This Row],[template]],Table2915[],2,FALSE))</f>
        <v>asynParamInt32</v>
      </c>
      <c r="G94" s="18" t="str">
        <f>IF(Table13[[#This Row],[template]]="","","1")</f>
        <v>1</v>
      </c>
      <c r="H94" s="10"/>
      <c r="I94" s="13" t="str">
        <f>IF(Table13[[#This Row],[template]]="","","0x"&amp;Table13[[#This Row],[D_Index]]&amp;"000")</f>
        <v>0x06070000</v>
      </c>
      <c r="J94" s="18"/>
      <c r="K94" s="10">
        <v>0</v>
      </c>
      <c r="L94" s="10"/>
      <c r="M94" s="11" t="str">
        <f>IF(Table13[[#This Row],[template]]="","",VLOOKUP(Table13[[#This Row],[template]],Table2915[],3,FALSE))</f>
        <v xml:space="preserve"> </v>
      </c>
      <c r="N94" s="10"/>
      <c r="O94" s="11"/>
      <c r="P94" s="9" t="str">
        <f>IF(Table13[[#This Row],[template]]="","",Table13[[#This Row],[IP]]&amp;"_"&amp;Table13[[#This Row],[PARAM_NAME]]&amp;IF(Table13[[#This Row],[SUB]]="","","_"&amp;Table13[[#This Row],[SUB]]))</f>
        <v>ev_rx_DBusSel_7</v>
      </c>
      <c r="Q94" s="1" t="s">
        <v>262</v>
      </c>
      <c r="R94" s="1" t="s">
        <v>783</v>
      </c>
      <c r="S94" s="16">
        <v>7</v>
      </c>
      <c r="T94" s="4">
        <v>62</v>
      </c>
      <c r="U94" s="6" t="s">
        <v>363</v>
      </c>
      <c r="V94" s="1" t="s">
        <v>315</v>
      </c>
      <c r="W94" s="16">
        <v>7</v>
      </c>
      <c r="X94" s="6" t="s">
        <v>363</v>
      </c>
      <c r="AA94" s="11">
        <f>IF(Table13[[#This Row],[template]]="","",VLOOKUP(Table13[[#This Row],[IP]],Table51117[],2,FALSE))</f>
        <v>1</v>
      </c>
      <c r="AB94" s="13" t="str">
        <f>IF(Table13[[#This Row],[template]]="","",DEC2HEX(VLOOKUP(Table13[[#This Row],[D1-Type]],Table351218[],2,FALSE),1)&amp;DEC2HEX(VLOOKUP(Table13[[#This Row],[D2-Type]],Table31016[],2,FALSE),1)&amp; DEC2HEX(Table13[[#This Row],[D2-Offset]],2)&amp;DEC2HEX(VLOOKUP(Table13[[#This Row],[D3-Type]],Table371319[],2,FALSE),1))</f>
        <v>06070</v>
      </c>
      <c r="AC94" s="14">
        <f>IF(Table13[[#This Row],[template]]="","",HEX2DEC(Table13[[#This Row],[Addr_Hex]]))</f>
        <v>98</v>
      </c>
    </row>
    <row r="95" spans="2:29" x14ac:dyDescent="0.3">
      <c r="B95" s="4">
        <v>148</v>
      </c>
      <c r="C95" s="4"/>
      <c r="D95" s="9" t="str">
        <f>UPPER(Table13[[#This Row],[SIGNAL]])</f>
        <v/>
      </c>
      <c r="E95" s="9" t="str">
        <f>IF(Table13[[#This Row],[template]]="","","0x"&amp;Table13[[#This Row],[IP_Index]]&amp;DEC2HEX(Table13[[#This Row],[Addr_Dec]]*4,7))</f>
        <v/>
      </c>
      <c r="F95" s="9" t="str">
        <f>IF(Table13[[#This Row],[template]]="","",VLOOKUP(Table13[[#This Row],[template]],Table2915[],2,FALSE))</f>
        <v/>
      </c>
      <c r="G95" s="18" t="str">
        <f>IF(Table13[[#This Row],[template]]="","","1")</f>
        <v/>
      </c>
      <c r="H95" s="10"/>
      <c r="I95" s="13" t="str">
        <f>IF(Table13[[#This Row],[template]]="","","0x"&amp;Table13[[#This Row],[D_Index]]&amp;"000")</f>
        <v/>
      </c>
      <c r="J95" s="18"/>
      <c r="K95" s="10">
        <v>0</v>
      </c>
      <c r="L95" s="10"/>
      <c r="M95" s="11" t="str">
        <f>IF(Table13[[#This Row],[template]]="","",VLOOKUP(Table13[[#This Row],[template]],Table2915[],3,FALSE))</f>
        <v/>
      </c>
      <c r="N95" s="10"/>
      <c r="O95" s="11"/>
      <c r="P95" s="9" t="str">
        <f>IF(Table13[[#This Row],[template]]="","",Table13[[#This Row],[IP]]&amp;"_"&amp;Table13[[#This Row],[PARAM_NAME]]&amp;IF(Table13[[#This Row],[SUB]]="","","_"&amp;Table13[[#This Row],[SUB]]))</f>
        <v/>
      </c>
      <c r="S95" s="6"/>
      <c r="T95" s="4"/>
      <c r="U95" s="6"/>
      <c r="W95" s="16"/>
      <c r="X95" s="6"/>
      <c r="AA95" s="11" t="str">
        <f>IF(Table13[[#This Row],[template]]="","",VLOOKUP(Table13[[#This Row],[IP]],Table51117[],2,FALSE))</f>
        <v/>
      </c>
      <c r="AB95" s="13" t="str">
        <f>IF(Table13[[#This Row],[template]]="","",DEC2HEX(VLOOKUP(Table13[[#This Row],[D1-Type]],Table351218[],2,FALSE),1)&amp;DEC2HEX(VLOOKUP(Table13[[#This Row],[D2-Type]],Table31016[],2,FALSE),1)&amp; DEC2HEX(Table13[[#This Row],[D2-Offset]],2)&amp;DEC2HEX(VLOOKUP(Table13[[#This Row],[D3-Type]],Table371319[],2,FALSE),1))</f>
        <v/>
      </c>
      <c r="AC95" s="14" t="str">
        <f>IF(Table13[[#This Row],[template]]="","",HEX2DEC(Table13[[#This Row],[Addr_Hex]]))</f>
        <v/>
      </c>
    </row>
    <row r="96" spans="2:29" x14ac:dyDescent="0.3">
      <c r="B96" s="4">
        <v>149</v>
      </c>
      <c r="C96" s="4" t="s">
        <v>233</v>
      </c>
      <c r="D96" s="9" t="str">
        <f>UPPER(Table13[[#This Row],[SIGNAL]])</f>
        <v>EV_EVLOGFIFO_ENABLE_USER</v>
      </c>
      <c r="E96" s="9" t="str">
        <f>IF(Table13[[#This Row],[template]]="","","0x"&amp;Table13[[#This Row],[IP_Index]]&amp;DEC2HEX(Table13[[#This Row],[Addr_Dec]]*4,7))</f>
        <v>0x1000018C</v>
      </c>
      <c r="F96" s="9" t="str">
        <f>IF(Table13[[#This Row],[template]]="","",VLOOKUP(Table13[[#This Row],[template]],Table2915[],2,FALSE))</f>
        <v>asynParamInt32</v>
      </c>
      <c r="G96" s="18" t="str">
        <f>IF(Table13[[#This Row],[template]]="","","1")</f>
        <v>1</v>
      </c>
      <c r="H96" s="10"/>
      <c r="I96" s="13" t="str">
        <f>IF(Table13[[#This Row],[template]]="","","0x"&amp;Table13[[#This Row],[D_Index]]&amp;"000")</f>
        <v>0x06000000</v>
      </c>
      <c r="J96" s="18"/>
      <c r="K96" s="10">
        <v>0</v>
      </c>
      <c r="L96" s="10"/>
      <c r="M96" s="11" t="str">
        <f>IF(Table13[[#This Row],[template]]="","",VLOOKUP(Table13[[#This Row],[template]],Table2915[],3,FALSE))</f>
        <v xml:space="preserve"> </v>
      </c>
      <c r="N96" s="10"/>
      <c r="O96" s="11"/>
      <c r="P96" s="9" t="str">
        <f>IF(Table13[[#This Row],[template]]="","",Table13[[#This Row],[IP]]&amp;"_"&amp;Table13[[#This Row],[PARAM_NAME]]&amp;IF(Table13[[#This Row],[SUB]]="","","_"&amp;Table13[[#This Row],[SUB]]))</f>
        <v>ev_evLogFifo_Enable_user</v>
      </c>
      <c r="Q96" s="1" t="s">
        <v>262</v>
      </c>
      <c r="R96" s="1" t="s">
        <v>414</v>
      </c>
      <c r="S96" s="6"/>
      <c r="T96" s="4">
        <v>63</v>
      </c>
      <c r="U96" s="6" t="s">
        <v>363</v>
      </c>
      <c r="V96" s="1" t="s">
        <v>315</v>
      </c>
      <c r="W96" s="16">
        <v>0</v>
      </c>
      <c r="X96" s="6" t="s">
        <v>363</v>
      </c>
      <c r="AA96" s="11">
        <f>IF(Table13[[#This Row],[template]]="","",VLOOKUP(Table13[[#This Row],[IP]],Table51117[],2,FALSE))</f>
        <v>1</v>
      </c>
      <c r="AB96" s="13" t="str">
        <f>IF(Table13[[#This Row],[template]]="","",DEC2HEX(VLOOKUP(Table13[[#This Row],[D1-Type]],Table351218[],2,FALSE),1)&amp;DEC2HEX(VLOOKUP(Table13[[#This Row],[D2-Type]],Table31016[],2,FALSE),1)&amp; DEC2HEX(Table13[[#This Row],[D2-Offset]],2)&amp;DEC2HEX(VLOOKUP(Table13[[#This Row],[D3-Type]],Table371319[],2,FALSE),1))</f>
        <v>06000</v>
      </c>
      <c r="AC96" s="14">
        <f>IF(Table13[[#This Row],[template]]="","",HEX2DEC(Table13[[#This Row],[Addr_Hex]]))</f>
        <v>99</v>
      </c>
    </row>
    <row r="97" spans="2:29" x14ac:dyDescent="0.3">
      <c r="B97" s="4">
        <v>150</v>
      </c>
      <c r="C97" s="4"/>
      <c r="D97" s="9" t="str">
        <f>UPPER(Table13[[#This Row],[SIGNAL]])</f>
        <v/>
      </c>
      <c r="E97" s="9" t="str">
        <f>IF(Table13[[#This Row],[template]]="","","0x"&amp;Table13[[#This Row],[IP_Index]]&amp;DEC2HEX(Table13[[#This Row],[Addr_Dec]]*4,7))</f>
        <v/>
      </c>
      <c r="F97" s="9" t="str">
        <f>IF(Table13[[#This Row],[template]]="","",VLOOKUP(Table13[[#This Row],[template]],Table2915[],2,FALSE))</f>
        <v/>
      </c>
      <c r="G97" s="18" t="str">
        <f>IF(Table13[[#This Row],[template]]="","","1")</f>
        <v/>
      </c>
      <c r="H97" s="10"/>
      <c r="I97" s="13" t="str">
        <f>IF(Table13[[#This Row],[template]]="","","0x"&amp;Table13[[#This Row],[D_Index]]&amp;"000")</f>
        <v/>
      </c>
      <c r="J97" s="18"/>
      <c r="K97" s="10">
        <v>0</v>
      </c>
      <c r="L97" s="10"/>
      <c r="M97" s="11" t="str">
        <f>IF(Table13[[#This Row],[template]]="","",VLOOKUP(Table13[[#This Row],[template]],Table2915[],3,FALSE))</f>
        <v/>
      </c>
      <c r="N97" s="10"/>
      <c r="O97" s="11"/>
      <c r="P97" s="9" t="str">
        <f>IF(Table13[[#This Row],[template]]="","",Table13[[#This Row],[IP]]&amp;"_"&amp;Table13[[#This Row],[PARAM_NAME]]&amp;IF(Table13[[#This Row],[SUB]]="","","_"&amp;Table13[[#This Row],[SUB]]))</f>
        <v/>
      </c>
      <c r="S97" s="6"/>
      <c r="T97" s="4"/>
      <c r="U97" s="6"/>
      <c r="W97" s="16"/>
      <c r="X97" s="6"/>
      <c r="AA97" s="11" t="str">
        <f>IF(Table13[[#This Row],[template]]="","",VLOOKUP(Table13[[#This Row],[IP]],Table51117[],2,FALSE))</f>
        <v/>
      </c>
      <c r="AB97" s="13" t="str">
        <f>IF(Table13[[#This Row],[template]]="","",DEC2HEX(VLOOKUP(Table13[[#This Row],[D1-Type]],Table351218[],2,FALSE),1)&amp;DEC2HEX(VLOOKUP(Table13[[#This Row],[D2-Type]],Table31016[],2,FALSE),1)&amp; DEC2HEX(Table13[[#This Row],[D2-Offset]],2)&amp;DEC2HEX(VLOOKUP(Table13[[#This Row],[D3-Type]],Table371319[],2,FALSE),1))</f>
        <v/>
      </c>
      <c r="AC97" s="14" t="str">
        <f>IF(Table13[[#This Row],[template]]="","",HEX2DEC(Table13[[#This Row],[Addr_Hex]]))</f>
        <v/>
      </c>
    </row>
    <row r="98" spans="2:29" x14ac:dyDescent="0.3">
      <c r="B98" s="4">
        <v>151</v>
      </c>
      <c r="C98" s="4" t="s">
        <v>233</v>
      </c>
      <c r="D98" s="9" t="str">
        <f>UPPER(Table13[[#This Row],[SIGNAL]])</f>
        <v>EV_PDPPOLARITY_0</v>
      </c>
      <c r="E98" s="9" t="str">
        <f>IF(Table13[[#This Row],[template]]="","","0x"&amp;Table13[[#This Row],[IP_Index]]&amp;DEC2HEX(Table13[[#This Row],[Addr_Dec]]*4,7))</f>
        <v>0x10000190</v>
      </c>
      <c r="F98" s="9" t="str">
        <f>IF(Table13[[#This Row],[template]]="","",VLOOKUP(Table13[[#This Row],[template]],Table2915[],2,FALSE))</f>
        <v>asynParamInt32</v>
      </c>
      <c r="G98" s="18" t="str">
        <f>IF(Table13[[#This Row],[template]]="","","1")</f>
        <v>1</v>
      </c>
      <c r="H98" s="10"/>
      <c r="I98" s="13" t="str">
        <f>IF(Table13[[#This Row],[template]]="","","0x"&amp;Table13[[#This Row],[D_Index]]&amp;"000")</f>
        <v>0x06000000</v>
      </c>
      <c r="J98" s="18"/>
      <c r="K98" s="10">
        <v>0</v>
      </c>
      <c r="L98" s="10"/>
      <c r="M98" s="11" t="str">
        <f>IF(Table13[[#This Row],[template]]="","",VLOOKUP(Table13[[#This Row],[template]],Table2915[],3,FALSE))</f>
        <v xml:space="preserve"> </v>
      </c>
      <c r="N98" s="10"/>
      <c r="O98" s="11"/>
      <c r="P98" s="9" t="str">
        <f>IF(Table13[[#This Row],[template]]="","",Table13[[#This Row],[IP]]&amp;"_"&amp;Table13[[#This Row],[PARAM_NAME]]&amp;IF(Table13[[#This Row],[SUB]]="","","_"&amp;Table13[[#This Row],[SUB]]))</f>
        <v>ev_pdpPolarity_0</v>
      </c>
      <c r="Q98" s="1" t="s">
        <v>262</v>
      </c>
      <c r="R98" s="1" t="s">
        <v>415</v>
      </c>
      <c r="S98" s="6" t="s">
        <v>367</v>
      </c>
      <c r="T98" s="4">
        <v>64</v>
      </c>
      <c r="U98" s="6" t="s">
        <v>363</v>
      </c>
      <c r="V98" s="1" t="s">
        <v>315</v>
      </c>
      <c r="W98" s="16" t="s">
        <v>367</v>
      </c>
      <c r="X98" s="6" t="s">
        <v>363</v>
      </c>
      <c r="AA98" s="11">
        <f>IF(Table13[[#This Row],[template]]="","",VLOOKUP(Table13[[#This Row],[IP]],Table51117[],2,FALSE))</f>
        <v>1</v>
      </c>
      <c r="AB98" s="13" t="str">
        <f>IF(Table13[[#This Row],[template]]="","",DEC2HEX(VLOOKUP(Table13[[#This Row],[D1-Type]],Table351218[],2,FALSE),1)&amp;DEC2HEX(VLOOKUP(Table13[[#This Row],[D2-Type]],Table31016[],2,FALSE),1)&amp; DEC2HEX(Table13[[#This Row],[D2-Offset]],2)&amp;DEC2HEX(VLOOKUP(Table13[[#This Row],[D3-Type]],Table371319[],2,FALSE),1))</f>
        <v>06000</v>
      </c>
      <c r="AC98" s="14">
        <f>IF(Table13[[#This Row],[template]]="","",HEX2DEC(Table13[[#This Row],[Addr_Hex]]))</f>
        <v>100</v>
      </c>
    </row>
    <row r="99" spans="2:29" x14ac:dyDescent="0.3">
      <c r="B99" s="4">
        <v>152</v>
      </c>
      <c r="C99" s="4" t="s">
        <v>233</v>
      </c>
      <c r="D99" s="9" t="str">
        <f>UPPER(Table13[[#This Row],[SIGNAL]])</f>
        <v>EV_PDPPOLARITY_1</v>
      </c>
      <c r="E99" s="9" t="str">
        <f>IF(Table13[[#This Row],[template]]="","","0x"&amp;Table13[[#This Row],[IP_Index]]&amp;DEC2HEX(Table13[[#This Row],[Addr_Dec]]*4,7))</f>
        <v>0x10000190</v>
      </c>
      <c r="F99" s="9" t="str">
        <f>IF(Table13[[#This Row],[template]]="","",VLOOKUP(Table13[[#This Row],[template]],Table2915[],2,FALSE))</f>
        <v>asynParamInt32</v>
      </c>
      <c r="G99" s="18" t="str">
        <f>IF(Table13[[#This Row],[template]]="","","1")</f>
        <v>1</v>
      </c>
      <c r="H99" s="10"/>
      <c r="I99" s="13" t="str">
        <f>IF(Table13[[#This Row],[template]]="","","0x"&amp;Table13[[#This Row],[D_Index]]&amp;"000")</f>
        <v>0x06010000</v>
      </c>
      <c r="J99" s="18"/>
      <c r="K99" s="10">
        <v>0</v>
      </c>
      <c r="L99" s="10"/>
      <c r="M99" s="11" t="str">
        <f>IF(Table13[[#This Row],[template]]="","",VLOOKUP(Table13[[#This Row],[template]],Table2915[],3,FALSE))</f>
        <v xml:space="preserve"> </v>
      </c>
      <c r="N99" s="10"/>
      <c r="O99" s="11"/>
      <c r="P99" s="9" t="str">
        <f>IF(Table13[[#This Row],[template]]="","",Table13[[#This Row],[IP]]&amp;"_"&amp;Table13[[#This Row],[PARAM_NAME]]&amp;IF(Table13[[#This Row],[SUB]]="","","_"&amp;Table13[[#This Row],[SUB]]))</f>
        <v>ev_pdpPolarity_1</v>
      </c>
      <c r="Q99" s="1" t="s">
        <v>262</v>
      </c>
      <c r="R99" s="1" t="s">
        <v>415</v>
      </c>
      <c r="S99" s="6" t="s">
        <v>271</v>
      </c>
      <c r="T99" s="4">
        <v>64</v>
      </c>
      <c r="U99" s="6" t="s">
        <v>363</v>
      </c>
      <c r="V99" s="1" t="s">
        <v>315</v>
      </c>
      <c r="W99" s="16" t="s">
        <v>271</v>
      </c>
      <c r="X99" s="6" t="s">
        <v>363</v>
      </c>
      <c r="AA99" s="11">
        <f>IF(Table13[[#This Row],[template]]="","",VLOOKUP(Table13[[#This Row],[IP]],Table51117[],2,FALSE))</f>
        <v>1</v>
      </c>
      <c r="AB99" s="13" t="str">
        <f>IF(Table13[[#This Row],[template]]="","",DEC2HEX(VLOOKUP(Table13[[#This Row],[D1-Type]],Table351218[],2,FALSE),1)&amp;DEC2HEX(VLOOKUP(Table13[[#This Row],[D2-Type]],Table31016[],2,FALSE),1)&amp; DEC2HEX(Table13[[#This Row],[D2-Offset]],2)&amp;DEC2HEX(VLOOKUP(Table13[[#This Row],[D3-Type]],Table371319[],2,FALSE),1))</f>
        <v>06010</v>
      </c>
      <c r="AC99" s="14">
        <f>IF(Table13[[#This Row],[template]]="","",HEX2DEC(Table13[[#This Row],[Addr_Hex]]))</f>
        <v>100</v>
      </c>
    </row>
    <row r="100" spans="2:29" x14ac:dyDescent="0.3">
      <c r="B100" s="4">
        <v>153</v>
      </c>
      <c r="C100" s="4" t="s">
        <v>233</v>
      </c>
      <c r="D100" s="9" t="str">
        <f>UPPER(Table13[[#This Row],[SIGNAL]])</f>
        <v>EV_PDPPOLARITY_2</v>
      </c>
      <c r="E100" s="9" t="str">
        <f>IF(Table13[[#This Row],[template]]="","","0x"&amp;Table13[[#This Row],[IP_Index]]&amp;DEC2HEX(Table13[[#This Row],[Addr_Dec]]*4,7))</f>
        <v>0x10000190</v>
      </c>
      <c r="F100" s="9" t="str">
        <f>IF(Table13[[#This Row],[template]]="","",VLOOKUP(Table13[[#This Row],[template]],Table2915[],2,FALSE))</f>
        <v>asynParamInt32</v>
      </c>
      <c r="G100" s="18" t="str">
        <f>IF(Table13[[#This Row],[template]]="","","1")</f>
        <v>1</v>
      </c>
      <c r="H100" s="10"/>
      <c r="I100" s="13" t="str">
        <f>IF(Table13[[#This Row],[template]]="","","0x"&amp;Table13[[#This Row],[D_Index]]&amp;"000")</f>
        <v>0x06020000</v>
      </c>
      <c r="J100" s="18"/>
      <c r="K100" s="10">
        <v>0</v>
      </c>
      <c r="L100" s="10"/>
      <c r="M100" s="11" t="str">
        <f>IF(Table13[[#This Row],[template]]="","",VLOOKUP(Table13[[#This Row],[template]],Table2915[],3,FALSE))</f>
        <v xml:space="preserve"> </v>
      </c>
      <c r="N100" s="10"/>
      <c r="O100" s="11"/>
      <c r="P100" s="9" t="str">
        <f>IF(Table13[[#This Row],[template]]="","",Table13[[#This Row],[IP]]&amp;"_"&amp;Table13[[#This Row],[PARAM_NAME]]&amp;IF(Table13[[#This Row],[SUB]]="","","_"&amp;Table13[[#This Row],[SUB]]))</f>
        <v>ev_pdpPolarity_2</v>
      </c>
      <c r="Q100" s="1" t="s">
        <v>262</v>
      </c>
      <c r="R100" s="1" t="s">
        <v>415</v>
      </c>
      <c r="S100" s="6" t="s">
        <v>243</v>
      </c>
      <c r="T100" s="4">
        <v>64</v>
      </c>
      <c r="U100" s="6" t="s">
        <v>363</v>
      </c>
      <c r="V100" s="1" t="s">
        <v>315</v>
      </c>
      <c r="W100" s="16" t="s">
        <v>243</v>
      </c>
      <c r="X100" s="6" t="s">
        <v>363</v>
      </c>
      <c r="AA100" s="11">
        <f>IF(Table13[[#This Row],[template]]="","",VLOOKUP(Table13[[#This Row],[IP]],Table51117[],2,FALSE))</f>
        <v>1</v>
      </c>
      <c r="AB100" s="13" t="str">
        <f>IF(Table13[[#This Row],[template]]="","",DEC2HEX(VLOOKUP(Table13[[#This Row],[D1-Type]],Table351218[],2,FALSE),1)&amp;DEC2HEX(VLOOKUP(Table13[[#This Row],[D2-Type]],Table31016[],2,FALSE),1)&amp; DEC2HEX(Table13[[#This Row],[D2-Offset]],2)&amp;DEC2HEX(VLOOKUP(Table13[[#This Row],[D3-Type]],Table371319[],2,FALSE),1))</f>
        <v>06020</v>
      </c>
      <c r="AC100" s="14">
        <f>IF(Table13[[#This Row],[template]]="","",HEX2DEC(Table13[[#This Row],[Addr_Hex]]))</f>
        <v>100</v>
      </c>
    </row>
    <row r="101" spans="2:29" x14ac:dyDescent="0.3">
      <c r="B101" s="4">
        <v>154</v>
      </c>
      <c r="C101" s="4" t="s">
        <v>233</v>
      </c>
      <c r="D101" s="9" t="str">
        <f>UPPER(Table13[[#This Row],[SIGNAL]])</f>
        <v>EV_PDPPOLARITY_3</v>
      </c>
      <c r="E101" s="9" t="str">
        <f>IF(Table13[[#This Row],[template]]="","","0x"&amp;Table13[[#This Row],[IP_Index]]&amp;DEC2HEX(Table13[[#This Row],[Addr_Dec]]*4,7))</f>
        <v>0x10000190</v>
      </c>
      <c r="F101" s="9" t="str">
        <f>IF(Table13[[#This Row],[template]]="","",VLOOKUP(Table13[[#This Row],[template]],Table2915[],2,FALSE))</f>
        <v>asynParamInt32</v>
      </c>
      <c r="G101" s="18" t="str">
        <f>IF(Table13[[#This Row],[template]]="","","1")</f>
        <v>1</v>
      </c>
      <c r="H101" s="10"/>
      <c r="I101" s="13" t="str">
        <f>IF(Table13[[#This Row],[template]]="","","0x"&amp;Table13[[#This Row],[D_Index]]&amp;"000")</f>
        <v>0x06030000</v>
      </c>
      <c r="J101" s="18"/>
      <c r="K101" s="10">
        <v>0</v>
      </c>
      <c r="L101" s="10"/>
      <c r="M101" s="11" t="str">
        <f>IF(Table13[[#This Row],[template]]="","",VLOOKUP(Table13[[#This Row],[template]],Table2915[],3,FALSE))</f>
        <v xml:space="preserve"> </v>
      </c>
      <c r="N101" s="10"/>
      <c r="O101" s="11"/>
      <c r="P101" s="9" t="str">
        <f>IF(Table13[[#This Row],[template]]="","",Table13[[#This Row],[IP]]&amp;"_"&amp;Table13[[#This Row],[PARAM_NAME]]&amp;IF(Table13[[#This Row],[SUB]]="","","_"&amp;Table13[[#This Row],[SUB]]))</f>
        <v>ev_pdpPolarity_3</v>
      </c>
      <c r="Q101" s="1" t="s">
        <v>262</v>
      </c>
      <c r="R101" s="1" t="s">
        <v>415</v>
      </c>
      <c r="S101" s="6" t="s">
        <v>244</v>
      </c>
      <c r="T101" s="4">
        <v>64</v>
      </c>
      <c r="U101" s="6" t="s">
        <v>363</v>
      </c>
      <c r="V101" s="1" t="s">
        <v>315</v>
      </c>
      <c r="W101" s="16" t="s">
        <v>244</v>
      </c>
      <c r="X101" s="6" t="s">
        <v>363</v>
      </c>
      <c r="AA101" s="11">
        <f>IF(Table13[[#This Row],[template]]="","",VLOOKUP(Table13[[#This Row],[IP]],Table51117[],2,FALSE))</f>
        <v>1</v>
      </c>
      <c r="AB101" s="13" t="str">
        <f>IF(Table13[[#This Row],[template]]="","",DEC2HEX(VLOOKUP(Table13[[#This Row],[D1-Type]],Table351218[],2,FALSE),1)&amp;DEC2HEX(VLOOKUP(Table13[[#This Row],[D2-Type]],Table31016[],2,FALSE),1)&amp; DEC2HEX(Table13[[#This Row],[D2-Offset]],2)&amp;DEC2HEX(VLOOKUP(Table13[[#This Row],[D3-Type]],Table371319[],2,FALSE),1))</f>
        <v>06030</v>
      </c>
      <c r="AC101" s="14">
        <f>IF(Table13[[#This Row],[template]]="","",HEX2DEC(Table13[[#This Row],[Addr_Hex]]))</f>
        <v>100</v>
      </c>
    </row>
    <row r="102" spans="2:29" x14ac:dyDescent="0.3">
      <c r="B102" s="4">
        <v>155</v>
      </c>
      <c r="C102" s="4" t="s">
        <v>233</v>
      </c>
      <c r="D102" s="9" t="str">
        <f>UPPER(Table13[[#This Row],[SIGNAL]])</f>
        <v>EV_PDPPOLARITY_4</v>
      </c>
      <c r="E102" s="9" t="str">
        <f>IF(Table13[[#This Row],[template]]="","","0x"&amp;Table13[[#This Row],[IP_Index]]&amp;DEC2HEX(Table13[[#This Row],[Addr_Dec]]*4,7))</f>
        <v>0x10000190</v>
      </c>
      <c r="F102" s="9" t="str">
        <f>IF(Table13[[#This Row],[template]]="","",VLOOKUP(Table13[[#This Row],[template]],Table2915[],2,FALSE))</f>
        <v>asynParamInt32</v>
      </c>
      <c r="G102" s="18" t="str">
        <f>IF(Table13[[#This Row],[template]]="","","1")</f>
        <v>1</v>
      </c>
      <c r="H102" s="10"/>
      <c r="I102" s="13" t="str">
        <f>IF(Table13[[#This Row],[template]]="","","0x"&amp;Table13[[#This Row],[D_Index]]&amp;"000")</f>
        <v>0x06040000</v>
      </c>
      <c r="J102" s="18"/>
      <c r="K102" s="10">
        <v>0</v>
      </c>
      <c r="L102" s="10"/>
      <c r="M102" s="11" t="str">
        <f>IF(Table13[[#This Row],[template]]="","",VLOOKUP(Table13[[#This Row],[template]],Table2915[],3,FALSE))</f>
        <v xml:space="preserve"> </v>
      </c>
      <c r="N102" s="10"/>
      <c r="O102" s="11"/>
      <c r="P102" s="9" t="str">
        <f>IF(Table13[[#This Row],[template]]="","",Table13[[#This Row],[IP]]&amp;"_"&amp;Table13[[#This Row],[PARAM_NAME]]&amp;IF(Table13[[#This Row],[SUB]]="","","_"&amp;Table13[[#This Row],[SUB]]))</f>
        <v>ev_pdpPolarity_4</v>
      </c>
      <c r="Q102" s="1" t="s">
        <v>262</v>
      </c>
      <c r="R102" s="1" t="s">
        <v>415</v>
      </c>
      <c r="S102" s="6" t="s">
        <v>245</v>
      </c>
      <c r="T102" s="4">
        <v>64</v>
      </c>
      <c r="U102" s="6" t="s">
        <v>363</v>
      </c>
      <c r="V102" s="1" t="s">
        <v>315</v>
      </c>
      <c r="W102" s="16" t="s">
        <v>245</v>
      </c>
      <c r="X102" s="6" t="s">
        <v>363</v>
      </c>
      <c r="AA102" s="11">
        <f>IF(Table13[[#This Row],[template]]="","",VLOOKUP(Table13[[#This Row],[IP]],Table51117[],2,FALSE))</f>
        <v>1</v>
      </c>
      <c r="AB102" s="13" t="str">
        <f>IF(Table13[[#This Row],[template]]="","",DEC2HEX(VLOOKUP(Table13[[#This Row],[D1-Type]],Table351218[],2,FALSE),1)&amp;DEC2HEX(VLOOKUP(Table13[[#This Row],[D2-Type]],Table31016[],2,FALSE),1)&amp; DEC2HEX(Table13[[#This Row],[D2-Offset]],2)&amp;DEC2HEX(VLOOKUP(Table13[[#This Row],[D3-Type]],Table371319[],2,FALSE),1))</f>
        <v>06040</v>
      </c>
      <c r="AC102" s="14">
        <f>IF(Table13[[#This Row],[template]]="","",HEX2DEC(Table13[[#This Row],[Addr_Hex]]))</f>
        <v>100</v>
      </c>
    </row>
    <row r="103" spans="2:29" x14ac:dyDescent="0.3">
      <c r="B103" s="4">
        <v>156</v>
      </c>
      <c r="C103" s="4" t="s">
        <v>233</v>
      </c>
      <c r="D103" s="9" t="str">
        <f>UPPER(Table13[[#This Row],[SIGNAL]])</f>
        <v>EV_PDPPOLARITY_5</v>
      </c>
      <c r="E103" s="9" t="str">
        <f>IF(Table13[[#This Row],[template]]="","","0x"&amp;Table13[[#This Row],[IP_Index]]&amp;DEC2HEX(Table13[[#This Row],[Addr_Dec]]*4,7))</f>
        <v>0x10000190</v>
      </c>
      <c r="F103" s="9" t="str">
        <f>IF(Table13[[#This Row],[template]]="","",VLOOKUP(Table13[[#This Row],[template]],Table2915[],2,FALSE))</f>
        <v>asynParamInt32</v>
      </c>
      <c r="G103" s="18" t="str">
        <f>IF(Table13[[#This Row],[template]]="","","1")</f>
        <v>1</v>
      </c>
      <c r="H103" s="10"/>
      <c r="I103" s="13" t="str">
        <f>IF(Table13[[#This Row],[template]]="","","0x"&amp;Table13[[#This Row],[D_Index]]&amp;"000")</f>
        <v>0x06050000</v>
      </c>
      <c r="J103" s="18"/>
      <c r="K103" s="10">
        <v>0</v>
      </c>
      <c r="L103" s="10"/>
      <c r="M103" s="11" t="str">
        <f>IF(Table13[[#This Row],[template]]="","",VLOOKUP(Table13[[#This Row],[template]],Table2915[],3,FALSE))</f>
        <v xml:space="preserve"> </v>
      </c>
      <c r="N103" s="10"/>
      <c r="O103" s="11"/>
      <c r="P103" s="9" t="str">
        <f>IF(Table13[[#This Row],[template]]="","",Table13[[#This Row],[IP]]&amp;"_"&amp;Table13[[#This Row],[PARAM_NAME]]&amp;IF(Table13[[#This Row],[SUB]]="","","_"&amp;Table13[[#This Row],[SUB]]))</f>
        <v>ev_pdpPolarity_5</v>
      </c>
      <c r="Q103" s="1" t="s">
        <v>262</v>
      </c>
      <c r="R103" s="1" t="s">
        <v>415</v>
      </c>
      <c r="S103" s="6" t="s">
        <v>246</v>
      </c>
      <c r="T103" s="4">
        <v>64</v>
      </c>
      <c r="U103" s="6" t="s">
        <v>363</v>
      </c>
      <c r="V103" s="1" t="s">
        <v>315</v>
      </c>
      <c r="W103" s="16" t="s">
        <v>246</v>
      </c>
      <c r="X103" s="6" t="s">
        <v>363</v>
      </c>
      <c r="AA103" s="11">
        <f>IF(Table13[[#This Row],[template]]="","",VLOOKUP(Table13[[#This Row],[IP]],Table51117[],2,FALSE))</f>
        <v>1</v>
      </c>
      <c r="AB103" s="13" t="str">
        <f>IF(Table13[[#This Row],[template]]="","",DEC2HEX(VLOOKUP(Table13[[#This Row],[D1-Type]],Table351218[],2,FALSE),1)&amp;DEC2HEX(VLOOKUP(Table13[[#This Row],[D2-Type]],Table31016[],2,FALSE),1)&amp; DEC2HEX(Table13[[#This Row],[D2-Offset]],2)&amp;DEC2HEX(VLOOKUP(Table13[[#This Row],[D3-Type]],Table371319[],2,FALSE),1))</f>
        <v>06050</v>
      </c>
      <c r="AC103" s="14">
        <f>IF(Table13[[#This Row],[template]]="","",HEX2DEC(Table13[[#This Row],[Addr_Hex]]))</f>
        <v>100</v>
      </c>
    </row>
    <row r="104" spans="2:29" x14ac:dyDescent="0.3">
      <c r="B104" s="4">
        <v>157</v>
      </c>
      <c r="C104" s="4" t="s">
        <v>233</v>
      </c>
      <c r="D104" s="9" t="str">
        <f>UPPER(Table13[[#This Row],[SIGNAL]])</f>
        <v>EV_PDPPOLARITY_6</v>
      </c>
      <c r="E104" s="9" t="str">
        <f>IF(Table13[[#This Row],[template]]="","","0x"&amp;Table13[[#This Row],[IP_Index]]&amp;DEC2HEX(Table13[[#This Row],[Addr_Dec]]*4,7))</f>
        <v>0x10000190</v>
      </c>
      <c r="F104" s="9" t="str">
        <f>IF(Table13[[#This Row],[template]]="","",VLOOKUP(Table13[[#This Row],[template]],Table2915[],2,FALSE))</f>
        <v>asynParamInt32</v>
      </c>
      <c r="G104" s="18" t="str">
        <f>IF(Table13[[#This Row],[template]]="","","1")</f>
        <v>1</v>
      </c>
      <c r="H104" s="10"/>
      <c r="I104" s="13" t="str">
        <f>IF(Table13[[#This Row],[template]]="","","0x"&amp;Table13[[#This Row],[D_Index]]&amp;"000")</f>
        <v>0x06060000</v>
      </c>
      <c r="J104" s="18"/>
      <c r="K104" s="10">
        <v>0</v>
      </c>
      <c r="L104" s="10"/>
      <c r="M104" s="11" t="str">
        <f>IF(Table13[[#This Row],[template]]="","",VLOOKUP(Table13[[#This Row],[template]],Table2915[],3,FALSE))</f>
        <v xml:space="preserve"> </v>
      </c>
      <c r="N104" s="10"/>
      <c r="O104" s="11"/>
      <c r="P104" s="9" t="str">
        <f>IF(Table13[[#This Row],[template]]="","",Table13[[#This Row],[IP]]&amp;"_"&amp;Table13[[#This Row],[PARAM_NAME]]&amp;IF(Table13[[#This Row],[SUB]]="","","_"&amp;Table13[[#This Row],[SUB]]))</f>
        <v>ev_pdpPolarity_6</v>
      </c>
      <c r="Q104" s="1" t="s">
        <v>262</v>
      </c>
      <c r="R104" s="1" t="s">
        <v>415</v>
      </c>
      <c r="S104" s="6" t="s">
        <v>247</v>
      </c>
      <c r="T104" s="4">
        <v>64</v>
      </c>
      <c r="U104" s="6" t="s">
        <v>363</v>
      </c>
      <c r="V104" s="1" t="s">
        <v>315</v>
      </c>
      <c r="W104" s="16" t="s">
        <v>247</v>
      </c>
      <c r="X104" s="6" t="s">
        <v>363</v>
      </c>
      <c r="AA104" s="11">
        <f>IF(Table13[[#This Row],[template]]="","",VLOOKUP(Table13[[#This Row],[IP]],Table51117[],2,FALSE))</f>
        <v>1</v>
      </c>
      <c r="AB104" s="13" t="str">
        <f>IF(Table13[[#This Row],[template]]="","",DEC2HEX(VLOOKUP(Table13[[#This Row],[D1-Type]],Table351218[],2,FALSE),1)&amp;DEC2HEX(VLOOKUP(Table13[[#This Row],[D2-Type]],Table31016[],2,FALSE),1)&amp; DEC2HEX(Table13[[#This Row],[D2-Offset]],2)&amp;DEC2HEX(VLOOKUP(Table13[[#This Row],[D3-Type]],Table371319[],2,FALSE),1))</f>
        <v>06060</v>
      </c>
      <c r="AC104" s="14">
        <f>IF(Table13[[#This Row],[template]]="","",HEX2DEC(Table13[[#This Row],[Addr_Hex]]))</f>
        <v>100</v>
      </c>
    </row>
    <row r="105" spans="2:29" x14ac:dyDescent="0.3">
      <c r="B105" s="4">
        <v>158</v>
      </c>
      <c r="C105" s="4" t="s">
        <v>233</v>
      </c>
      <c r="D105" s="9" t="str">
        <f>UPPER(Table13[[#This Row],[SIGNAL]])</f>
        <v>EV_PDPPOLARITY_7</v>
      </c>
      <c r="E105" s="9" t="str">
        <f>IF(Table13[[#This Row],[template]]="","","0x"&amp;Table13[[#This Row],[IP_Index]]&amp;DEC2HEX(Table13[[#This Row],[Addr_Dec]]*4,7))</f>
        <v>0x10000190</v>
      </c>
      <c r="F105" s="9" t="str">
        <f>IF(Table13[[#This Row],[template]]="","",VLOOKUP(Table13[[#This Row],[template]],Table2915[],2,FALSE))</f>
        <v>asynParamInt32</v>
      </c>
      <c r="G105" s="18" t="str">
        <f>IF(Table13[[#This Row],[template]]="","","1")</f>
        <v>1</v>
      </c>
      <c r="H105" s="10"/>
      <c r="I105" s="13" t="str">
        <f>IF(Table13[[#This Row],[template]]="","","0x"&amp;Table13[[#This Row],[D_Index]]&amp;"000")</f>
        <v>0x06070000</v>
      </c>
      <c r="J105" s="18"/>
      <c r="K105" s="10">
        <v>0</v>
      </c>
      <c r="L105" s="10"/>
      <c r="M105" s="11" t="str">
        <f>IF(Table13[[#This Row],[template]]="","",VLOOKUP(Table13[[#This Row],[template]],Table2915[],3,FALSE))</f>
        <v xml:space="preserve"> </v>
      </c>
      <c r="N105" s="10"/>
      <c r="O105" s="11"/>
      <c r="P105" s="9" t="str">
        <f>IF(Table13[[#This Row],[template]]="","",Table13[[#This Row],[IP]]&amp;"_"&amp;Table13[[#This Row],[PARAM_NAME]]&amp;IF(Table13[[#This Row],[SUB]]="","","_"&amp;Table13[[#This Row],[SUB]]))</f>
        <v>ev_pdpPolarity_7</v>
      </c>
      <c r="Q105" s="1" t="s">
        <v>262</v>
      </c>
      <c r="R105" s="1" t="s">
        <v>415</v>
      </c>
      <c r="S105" s="6" t="s">
        <v>248</v>
      </c>
      <c r="T105" s="4">
        <v>64</v>
      </c>
      <c r="U105" s="6" t="s">
        <v>363</v>
      </c>
      <c r="V105" s="1" t="s">
        <v>315</v>
      </c>
      <c r="W105" s="16" t="s">
        <v>248</v>
      </c>
      <c r="X105" s="6" t="s">
        <v>363</v>
      </c>
      <c r="AA105" s="11">
        <f>IF(Table13[[#This Row],[template]]="","",VLOOKUP(Table13[[#This Row],[IP]],Table51117[],2,FALSE))</f>
        <v>1</v>
      </c>
      <c r="AB105" s="13" t="str">
        <f>IF(Table13[[#This Row],[template]]="","",DEC2HEX(VLOOKUP(Table13[[#This Row],[D1-Type]],Table351218[],2,FALSE),1)&amp;DEC2HEX(VLOOKUP(Table13[[#This Row],[D2-Type]],Table31016[],2,FALSE),1)&amp; DEC2HEX(Table13[[#This Row],[D2-Offset]],2)&amp;DEC2HEX(VLOOKUP(Table13[[#This Row],[D3-Type]],Table371319[],2,FALSE),1))</f>
        <v>06070</v>
      </c>
      <c r="AC105" s="14">
        <f>IF(Table13[[#This Row],[template]]="","",HEX2DEC(Table13[[#This Row],[Addr_Hex]]))</f>
        <v>100</v>
      </c>
    </row>
    <row r="106" spans="2:29" x14ac:dyDescent="0.3">
      <c r="B106" s="4">
        <v>159</v>
      </c>
      <c r="C106" s="4" t="s">
        <v>233</v>
      </c>
      <c r="D106" s="9" t="str">
        <f>UPPER(Table13[[#This Row],[SIGNAL]])</f>
        <v>EV_PDPPOLARITY_8</v>
      </c>
      <c r="E106" s="9" t="str">
        <f>IF(Table13[[#This Row],[template]]="","","0x"&amp;Table13[[#This Row],[IP_Index]]&amp;DEC2HEX(Table13[[#This Row],[Addr_Dec]]*4,7))</f>
        <v>0x10000190</v>
      </c>
      <c r="F106" s="9" t="str">
        <f>IF(Table13[[#This Row],[template]]="","",VLOOKUP(Table13[[#This Row],[template]],Table2915[],2,FALSE))</f>
        <v>asynParamInt32</v>
      </c>
      <c r="G106" s="18" t="str">
        <f>IF(Table13[[#This Row],[template]]="","","1")</f>
        <v>1</v>
      </c>
      <c r="H106" s="10"/>
      <c r="I106" s="13" t="str">
        <f>IF(Table13[[#This Row],[template]]="","","0x"&amp;Table13[[#This Row],[D_Index]]&amp;"000")</f>
        <v>0x06080000</v>
      </c>
      <c r="J106" s="18"/>
      <c r="K106" s="10">
        <v>0</v>
      </c>
      <c r="L106" s="10"/>
      <c r="M106" s="11" t="str">
        <f>IF(Table13[[#This Row],[template]]="","",VLOOKUP(Table13[[#This Row],[template]],Table2915[],3,FALSE))</f>
        <v xml:space="preserve"> </v>
      </c>
      <c r="N106" s="10"/>
      <c r="O106" s="11"/>
      <c r="P106" s="9" t="str">
        <f>IF(Table13[[#This Row],[template]]="","",Table13[[#This Row],[IP]]&amp;"_"&amp;Table13[[#This Row],[PARAM_NAME]]&amp;IF(Table13[[#This Row],[SUB]]="","","_"&amp;Table13[[#This Row],[SUB]]))</f>
        <v>ev_pdpPolarity_8</v>
      </c>
      <c r="Q106" s="1" t="s">
        <v>262</v>
      </c>
      <c r="R106" s="1" t="s">
        <v>415</v>
      </c>
      <c r="S106" s="6" t="s">
        <v>249</v>
      </c>
      <c r="T106" s="4">
        <v>64</v>
      </c>
      <c r="U106" s="6" t="s">
        <v>363</v>
      </c>
      <c r="V106" s="1" t="s">
        <v>315</v>
      </c>
      <c r="W106" s="16" t="s">
        <v>249</v>
      </c>
      <c r="X106" s="6" t="s">
        <v>363</v>
      </c>
      <c r="AA106" s="11">
        <f>IF(Table13[[#This Row],[template]]="","",VLOOKUP(Table13[[#This Row],[IP]],Table51117[],2,FALSE))</f>
        <v>1</v>
      </c>
      <c r="AB106" s="13" t="str">
        <f>IF(Table13[[#This Row],[template]]="","",DEC2HEX(VLOOKUP(Table13[[#This Row],[D1-Type]],Table351218[],2,FALSE),1)&amp;DEC2HEX(VLOOKUP(Table13[[#This Row],[D2-Type]],Table31016[],2,FALSE),1)&amp; DEC2HEX(Table13[[#This Row],[D2-Offset]],2)&amp;DEC2HEX(VLOOKUP(Table13[[#This Row],[D3-Type]],Table371319[],2,FALSE),1))</f>
        <v>06080</v>
      </c>
      <c r="AC106" s="14">
        <f>IF(Table13[[#This Row],[template]]="","",HEX2DEC(Table13[[#This Row],[Addr_Hex]]))</f>
        <v>100</v>
      </c>
    </row>
    <row r="107" spans="2:29" x14ac:dyDescent="0.3">
      <c r="B107" s="4">
        <v>160</v>
      </c>
      <c r="C107" s="4" t="s">
        <v>233</v>
      </c>
      <c r="D107" s="9" t="str">
        <f>UPPER(Table13[[#This Row],[SIGNAL]])</f>
        <v>EV_PDPPOLARITY_9</v>
      </c>
      <c r="E107" s="9" t="str">
        <f>IF(Table13[[#This Row],[template]]="","","0x"&amp;Table13[[#This Row],[IP_Index]]&amp;DEC2HEX(Table13[[#This Row],[Addr_Dec]]*4,7))</f>
        <v>0x10000190</v>
      </c>
      <c r="F107" s="9" t="str">
        <f>IF(Table13[[#This Row],[template]]="","",VLOOKUP(Table13[[#This Row],[template]],Table2915[],2,FALSE))</f>
        <v>asynParamInt32</v>
      </c>
      <c r="G107" s="18" t="str">
        <f>IF(Table13[[#This Row],[template]]="","","1")</f>
        <v>1</v>
      </c>
      <c r="H107" s="10"/>
      <c r="I107" s="13" t="str">
        <f>IF(Table13[[#This Row],[template]]="","","0x"&amp;Table13[[#This Row],[D_Index]]&amp;"000")</f>
        <v>0x06090000</v>
      </c>
      <c r="J107" s="18"/>
      <c r="K107" s="10">
        <v>0</v>
      </c>
      <c r="L107" s="10"/>
      <c r="M107" s="11" t="str">
        <f>IF(Table13[[#This Row],[template]]="","",VLOOKUP(Table13[[#This Row],[template]],Table2915[],3,FALSE))</f>
        <v xml:space="preserve"> </v>
      </c>
      <c r="N107" s="10"/>
      <c r="O107" s="11"/>
      <c r="P107" s="9" t="str">
        <f>IF(Table13[[#This Row],[template]]="","",Table13[[#This Row],[IP]]&amp;"_"&amp;Table13[[#This Row],[PARAM_NAME]]&amp;IF(Table13[[#This Row],[SUB]]="","","_"&amp;Table13[[#This Row],[SUB]]))</f>
        <v>ev_pdpPolarity_9</v>
      </c>
      <c r="Q107" s="1" t="s">
        <v>262</v>
      </c>
      <c r="R107" s="1" t="s">
        <v>415</v>
      </c>
      <c r="S107" s="6" t="s">
        <v>250</v>
      </c>
      <c r="T107" s="4">
        <v>64</v>
      </c>
      <c r="U107" s="6" t="s">
        <v>363</v>
      </c>
      <c r="V107" s="1" t="s">
        <v>315</v>
      </c>
      <c r="W107" s="16" t="s">
        <v>250</v>
      </c>
      <c r="X107" s="6" t="s">
        <v>363</v>
      </c>
      <c r="AA107" s="11">
        <f>IF(Table13[[#This Row],[template]]="","",VLOOKUP(Table13[[#This Row],[IP]],Table51117[],2,FALSE))</f>
        <v>1</v>
      </c>
      <c r="AB107" s="13" t="str">
        <f>IF(Table13[[#This Row],[template]]="","",DEC2HEX(VLOOKUP(Table13[[#This Row],[D1-Type]],Table351218[],2,FALSE),1)&amp;DEC2HEX(VLOOKUP(Table13[[#This Row],[D2-Type]],Table31016[],2,FALSE),1)&amp; DEC2HEX(Table13[[#This Row],[D2-Offset]],2)&amp;DEC2HEX(VLOOKUP(Table13[[#This Row],[D3-Type]],Table371319[],2,FALSE),1))</f>
        <v>06090</v>
      </c>
      <c r="AC107" s="14">
        <f>IF(Table13[[#This Row],[template]]="","",HEX2DEC(Table13[[#This Row],[Addr_Hex]]))</f>
        <v>100</v>
      </c>
    </row>
    <row r="108" spans="2:29" x14ac:dyDescent="0.3">
      <c r="B108" s="4">
        <v>161</v>
      </c>
      <c r="C108" s="4" t="s">
        <v>233</v>
      </c>
      <c r="D108" s="9" t="str">
        <f>UPPER(Table13[[#This Row],[SIGNAL]])</f>
        <v>EV_PDPPOLARITY_10</v>
      </c>
      <c r="E108" s="9" t="str">
        <f>IF(Table13[[#This Row],[template]]="","","0x"&amp;Table13[[#This Row],[IP_Index]]&amp;DEC2HEX(Table13[[#This Row],[Addr_Dec]]*4,7))</f>
        <v>0x10000190</v>
      </c>
      <c r="F108" s="9" t="str">
        <f>IF(Table13[[#This Row],[template]]="","",VLOOKUP(Table13[[#This Row],[template]],Table2915[],2,FALSE))</f>
        <v>asynParamInt32</v>
      </c>
      <c r="G108" s="18" t="str">
        <f>IF(Table13[[#This Row],[template]]="","","1")</f>
        <v>1</v>
      </c>
      <c r="H108" s="10"/>
      <c r="I108" s="13" t="str">
        <f>IF(Table13[[#This Row],[template]]="","","0x"&amp;Table13[[#This Row],[D_Index]]&amp;"000")</f>
        <v>0x060A0000</v>
      </c>
      <c r="J108" s="18"/>
      <c r="K108" s="10">
        <v>0</v>
      </c>
      <c r="L108" s="10"/>
      <c r="M108" s="11" t="str">
        <f>IF(Table13[[#This Row],[template]]="","",VLOOKUP(Table13[[#This Row],[template]],Table2915[],3,FALSE))</f>
        <v xml:space="preserve"> </v>
      </c>
      <c r="N108" s="10"/>
      <c r="O108" s="11"/>
      <c r="P108" s="9" t="str">
        <f>IF(Table13[[#This Row],[template]]="","",Table13[[#This Row],[IP]]&amp;"_"&amp;Table13[[#This Row],[PARAM_NAME]]&amp;IF(Table13[[#This Row],[SUB]]="","","_"&amp;Table13[[#This Row],[SUB]]))</f>
        <v>ev_pdpPolarity_10</v>
      </c>
      <c r="Q108" s="1" t="s">
        <v>262</v>
      </c>
      <c r="R108" s="1" t="s">
        <v>415</v>
      </c>
      <c r="S108" s="6" t="s">
        <v>273</v>
      </c>
      <c r="T108" s="4">
        <v>64</v>
      </c>
      <c r="U108" s="6" t="s">
        <v>363</v>
      </c>
      <c r="V108" s="1" t="s">
        <v>315</v>
      </c>
      <c r="W108" s="16" t="s">
        <v>273</v>
      </c>
      <c r="X108" s="6" t="s">
        <v>363</v>
      </c>
      <c r="AA108" s="11">
        <f>IF(Table13[[#This Row],[template]]="","",VLOOKUP(Table13[[#This Row],[IP]],Table51117[],2,FALSE))</f>
        <v>1</v>
      </c>
      <c r="AB108" s="13" t="str">
        <f>IF(Table13[[#This Row],[template]]="","",DEC2HEX(VLOOKUP(Table13[[#This Row],[D1-Type]],Table351218[],2,FALSE),1)&amp;DEC2HEX(VLOOKUP(Table13[[#This Row],[D2-Type]],Table31016[],2,FALSE),1)&amp; DEC2HEX(Table13[[#This Row],[D2-Offset]],2)&amp;DEC2HEX(VLOOKUP(Table13[[#This Row],[D3-Type]],Table371319[],2,FALSE),1))</f>
        <v>060A0</v>
      </c>
      <c r="AC108" s="14">
        <f>IF(Table13[[#This Row],[template]]="","",HEX2DEC(Table13[[#This Row],[Addr_Hex]]))</f>
        <v>100</v>
      </c>
    </row>
    <row r="109" spans="2:29" x14ac:dyDescent="0.3">
      <c r="B109" s="4">
        <v>162</v>
      </c>
      <c r="C109" s="4" t="s">
        <v>233</v>
      </c>
      <c r="D109" s="9" t="str">
        <f>UPPER(Table13[[#This Row],[SIGNAL]])</f>
        <v>EV_PDPPOLARITY_11</v>
      </c>
      <c r="E109" s="9" t="str">
        <f>IF(Table13[[#This Row],[template]]="","","0x"&amp;Table13[[#This Row],[IP_Index]]&amp;DEC2HEX(Table13[[#This Row],[Addr_Dec]]*4,7))</f>
        <v>0x10000190</v>
      </c>
      <c r="F109" s="9" t="str">
        <f>IF(Table13[[#This Row],[template]]="","",VLOOKUP(Table13[[#This Row],[template]],Table2915[],2,FALSE))</f>
        <v>asynParamInt32</v>
      </c>
      <c r="G109" s="18" t="str">
        <f>IF(Table13[[#This Row],[template]]="","","1")</f>
        <v>1</v>
      </c>
      <c r="H109" s="10"/>
      <c r="I109" s="13" t="str">
        <f>IF(Table13[[#This Row],[template]]="","","0x"&amp;Table13[[#This Row],[D_Index]]&amp;"000")</f>
        <v>0x060B0000</v>
      </c>
      <c r="J109" s="18"/>
      <c r="K109" s="10">
        <v>0</v>
      </c>
      <c r="L109" s="10"/>
      <c r="M109" s="11" t="str">
        <f>IF(Table13[[#This Row],[template]]="","",VLOOKUP(Table13[[#This Row],[template]],Table2915[],3,FALSE))</f>
        <v xml:space="preserve"> </v>
      </c>
      <c r="N109" s="10"/>
      <c r="O109" s="11"/>
      <c r="P109" s="9" t="str">
        <f>IF(Table13[[#This Row],[template]]="","",Table13[[#This Row],[IP]]&amp;"_"&amp;Table13[[#This Row],[PARAM_NAME]]&amp;IF(Table13[[#This Row],[SUB]]="","","_"&amp;Table13[[#This Row],[SUB]]))</f>
        <v>ev_pdpPolarity_11</v>
      </c>
      <c r="Q109" s="1" t="s">
        <v>262</v>
      </c>
      <c r="R109" s="1" t="s">
        <v>415</v>
      </c>
      <c r="S109" s="6" t="s">
        <v>274</v>
      </c>
      <c r="T109" s="4">
        <v>64</v>
      </c>
      <c r="U109" s="6" t="s">
        <v>363</v>
      </c>
      <c r="V109" s="1" t="s">
        <v>315</v>
      </c>
      <c r="W109" s="16" t="s">
        <v>274</v>
      </c>
      <c r="X109" s="6" t="s">
        <v>363</v>
      </c>
      <c r="AA109" s="11">
        <f>IF(Table13[[#This Row],[template]]="","",VLOOKUP(Table13[[#This Row],[IP]],Table51117[],2,FALSE))</f>
        <v>1</v>
      </c>
      <c r="AB109" s="13" t="str">
        <f>IF(Table13[[#This Row],[template]]="","",DEC2HEX(VLOOKUP(Table13[[#This Row],[D1-Type]],Table351218[],2,FALSE),1)&amp;DEC2HEX(VLOOKUP(Table13[[#This Row],[D2-Type]],Table31016[],2,FALSE),1)&amp; DEC2HEX(Table13[[#This Row],[D2-Offset]],2)&amp;DEC2HEX(VLOOKUP(Table13[[#This Row],[D3-Type]],Table371319[],2,FALSE),1))</f>
        <v>060B0</v>
      </c>
      <c r="AC109" s="14">
        <f>IF(Table13[[#This Row],[template]]="","",HEX2DEC(Table13[[#This Row],[Addr_Hex]]))</f>
        <v>100</v>
      </c>
    </row>
    <row r="110" spans="2:29" x14ac:dyDescent="0.3">
      <c r="B110" s="4">
        <v>163</v>
      </c>
      <c r="C110" s="4" t="s">
        <v>233</v>
      </c>
      <c r="D110" s="9" t="str">
        <f>UPPER(Table13[[#This Row],[SIGNAL]])</f>
        <v>EV_PDPPOLARITY_12</v>
      </c>
      <c r="E110" s="9" t="str">
        <f>IF(Table13[[#This Row],[template]]="","","0x"&amp;Table13[[#This Row],[IP_Index]]&amp;DEC2HEX(Table13[[#This Row],[Addr_Dec]]*4,7))</f>
        <v>0x10000190</v>
      </c>
      <c r="F110" s="9" t="str">
        <f>IF(Table13[[#This Row],[template]]="","",VLOOKUP(Table13[[#This Row],[template]],Table2915[],2,FALSE))</f>
        <v>asynParamInt32</v>
      </c>
      <c r="G110" s="18" t="str">
        <f>IF(Table13[[#This Row],[template]]="","","1")</f>
        <v>1</v>
      </c>
      <c r="H110" s="10"/>
      <c r="I110" s="13" t="str">
        <f>IF(Table13[[#This Row],[template]]="","","0x"&amp;Table13[[#This Row],[D_Index]]&amp;"000")</f>
        <v>0x060C0000</v>
      </c>
      <c r="J110" s="18"/>
      <c r="K110" s="10">
        <v>0</v>
      </c>
      <c r="L110" s="10"/>
      <c r="M110" s="11" t="str">
        <f>IF(Table13[[#This Row],[template]]="","",VLOOKUP(Table13[[#This Row],[template]],Table2915[],3,FALSE))</f>
        <v xml:space="preserve"> </v>
      </c>
      <c r="N110" s="10"/>
      <c r="O110" s="11"/>
      <c r="P110" s="9" t="str">
        <f>IF(Table13[[#This Row],[template]]="","",Table13[[#This Row],[IP]]&amp;"_"&amp;Table13[[#This Row],[PARAM_NAME]]&amp;IF(Table13[[#This Row],[SUB]]="","","_"&amp;Table13[[#This Row],[SUB]]))</f>
        <v>ev_pdpPolarity_12</v>
      </c>
      <c r="Q110" s="1" t="s">
        <v>262</v>
      </c>
      <c r="R110" s="1" t="s">
        <v>415</v>
      </c>
      <c r="S110" s="6" t="s">
        <v>275</v>
      </c>
      <c r="T110" s="4">
        <v>64</v>
      </c>
      <c r="U110" s="6" t="s">
        <v>363</v>
      </c>
      <c r="V110" s="1" t="s">
        <v>315</v>
      </c>
      <c r="W110" s="16" t="s">
        <v>275</v>
      </c>
      <c r="X110" s="6" t="s">
        <v>363</v>
      </c>
      <c r="AA110" s="11">
        <f>IF(Table13[[#This Row],[template]]="","",VLOOKUP(Table13[[#This Row],[IP]],Table51117[],2,FALSE))</f>
        <v>1</v>
      </c>
      <c r="AB110" s="13" t="str">
        <f>IF(Table13[[#This Row],[template]]="","",DEC2HEX(VLOOKUP(Table13[[#This Row],[D1-Type]],Table351218[],2,FALSE),1)&amp;DEC2HEX(VLOOKUP(Table13[[#This Row],[D2-Type]],Table31016[],2,FALSE),1)&amp; DEC2HEX(Table13[[#This Row],[D2-Offset]],2)&amp;DEC2HEX(VLOOKUP(Table13[[#This Row],[D3-Type]],Table371319[],2,FALSE),1))</f>
        <v>060C0</v>
      </c>
      <c r="AC110" s="14">
        <f>IF(Table13[[#This Row],[template]]="","",HEX2DEC(Table13[[#This Row],[Addr_Hex]]))</f>
        <v>100</v>
      </c>
    </row>
    <row r="111" spans="2:29" x14ac:dyDescent="0.3">
      <c r="B111" s="4">
        <v>164</v>
      </c>
      <c r="C111" s="4" t="s">
        <v>233</v>
      </c>
      <c r="D111" s="9" t="str">
        <f>UPPER(Table13[[#This Row],[SIGNAL]])</f>
        <v>EV_PDPPOLARITY_13</v>
      </c>
      <c r="E111" s="9" t="str">
        <f>IF(Table13[[#This Row],[template]]="","","0x"&amp;Table13[[#This Row],[IP_Index]]&amp;DEC2HEX(Table13[[#This Row],[Addr_Dec]]*4,7))</f>
        <v>0x10000190</v>
      </c>
      <c r="F111" s="9" t="str">
        <f>IF(Table13[[#This Row],[template]]="","",VLOOKUP(Table13[[#This Row],[template]],Table2915[],2,FALSE))</f>
        <v>asynParamInt32</v>
      </c>
      <c r="G111" s="18" t="str">
        <f>IF(Table13[[#This Row],[template]]="","","1")</f>
        <v>1</v>
      </c>
      <c r="H111" s="10"/>
      <c r="I111" s="13" t="str">
        <f>IF(Table13[[#This Row],[template]]="","","0x"&amp;Table13[[#This Row],[D_Index]]&amp;"000")</f>
        <v>0x060D0000</v>
      </c>
      <c r="J111" s="18"/>
      <c r="K111" s="10">
        <v>0</v>
      </c>
      <c r="L111" s="10"/>
      <c r="M111" s="11" t="str">
        <f>IF(Table13[[#This Row],[template]]="","",VLOOKUP(Table13[[#This Row],[template]],Table2915[],3,FALSE))</f>
        <v xml:space="preserve"> </v>
      </c>
      <c r="N111" s="10"/>
      <c r="O111" s="11"/>
      <c r="P111" s="9" t="str">
        <f>IF(Table13[[#This Row],[template]]="","",Table13[[#This Row],[IP]]&amp;"_"&amp;Table13[[#This Row],[PARAM_NAME]]&amp;IF(Table13[[#This Row],[SUB]]="","","_"&amp;Table13[[#This Row],[SUB]]))</f>
        <v>ev_pdpPolarity_13</v>
      </c>
      <c r="Q111" s="1" t="s">
        <v>262</v>
      </c>
      <c r="R111" s="1" t="s">
        <v>415</v>
      </c>
      <c r="S111" s="6" t="s">
        <v>276</v>
      </c>
      <c r="T111" s="4">
        <v>64</v>
      </c>
      <c r="U111" s="6" t="s">
        <v>363</v>
      </c>
      <c r="V111" s="1" t="s">
        <v>315</v>
      </c>
      <c r="W111" s="16" t="s">
        <v>276</v>
      </c>
      <c r="X111" s="6" t="s">
        <v>363</v>
      </c>
      <c r="AA111" s="11">
        <f>IF(Table13[[#This Row],[template]]="","",VLOOKUP(Table13[[#This Row],[IP]],Table51117[],2,FALSE))</f>
        <v>1</v>
      </c>
      <c r="AB111" s="13" t="str">
        <f>IF(Table13[[#This Row],[template]]="","",DEC2HEX(VLOOKUP(Table13[[#This Row],[D1-Type]],Table351218[],2,FALSE),1)&amp;DEC2HEX(VLOOKUP(Table13[[#This Row],[D2-Type]],Table31016[],2,FALSE),1)&amp; DEC2HEX(Table13[[#This Row],[D2-Offset]],2)&amp;DEC2HEX(VLOOKUP(Table13[[#This Row],[D3-Type]],Table371319[],2,FALSE),1))</f>
        <v>060D0</v>
      </c>
      <c r="AC111" s="14">
        <f>IF(Table13[[#This Row],[template]]="","",HEX2DEC(Table13[[#This Row],[Addr_Hex]]))</f>
        <v>100</v>
      </c>
    </row>
    <row r="112" spans="2:29" x14ac:dyDescent="0.3">
      <c r="B112" s="4">
        <v>165</v>
      </c>
      <c r="C112" s="4" t="s">
        <v>233</v>
      </c>
      <c r="D112" s="9" t="str">
        <f>UPPER(Table13[[#This Row],[SIGNAL]])</f>
        <v>EV_PDPPOLARITY_14</v>
      </c>
      <c r="E112" s="9" t="str">
        <f>IF(Table13[[#This Row],[template]]="","","0x"&amp;Table13[[#This Row],[IP_Index]]&amp;DEC2HEX(Table13[[#This Row],[Addr_Dec]]*4,7))</f>
        <v>0x10000190</v>
      </c>
      <c r="F112" s="9" t="str">
        <f>IF(Table13[[#This Row],[template]]="","",VLOOKUP(Table13[[#This Row],[template]],Table2915[],2,FALSE))</f>
        <v>asynParamInt32</v>
      </c>
      <c r="G112" s="18" t="str">
        <f>IF(Table13[[#This Row],[template]]="","","1")</f>
        <v>1</v>
      </c>
      <c r="H112" s="10"/>
      <c r="I112" s="13" t="str">
        <f>IF(Table13[[#This Row],[template]]="","","0x"&amp;Table13[[#This Row],[D_Index]]&amp;"000")</f>
        <v>0x060E0000</v>
      </c>
      <c r="J112" s="18"/>
      <c r="K112" s="10">
        <v>0</v>
      </c>
      <c r="L112" s="10"/>
      <c r="M112" s="11" t="str">
        <f>IF(Table13[[#This Row],[template]]="","",VLOOKUP(Table13[[#This Row],[template]],Table2915[],3,FALSE))</f>
        <v xml:space="preserve"> </v>
      </c>
      <c r="N112" s="10"/>
      <c r="O112" s="11"/>
      <c r="P112" s="9" t="str">
        <f>IF(Table13[[#This Row],[template]]="","",Table13[[#This Row],[IP]]&amp;"_"&amp;Table13[[#This Row],[PARAM_NAME]]&amp;IF(Table13[[#This Row],[SUB]]="","","_"&amp;Table13[[#This Row],[SUB]]))</f>
        <v>ev_pdpPolarity_14</v>
      </c>
      <c r="Q112" s="1" t="s">
        <v>262</v>
      </c>
      <c r="R112" s="1" t="s">
        <v>415</v>
      </c>
      <c r="S112" s="6" t="s">
        <v>277</v>
      </c>
      <c r="T112" s="4">
        <v>64</v>
      </c>
      <c r="U112" s="6" t="s">
        <v>363</v>
      </c>
      <c r="V112" s="1" t="s">
        <v>315</v>
      </c>
      <c r="W112" s="16" t="s">
        <v>277</v>
      </c>
      <c r="X112" s="6" t="s">
        <v>363</v>
      </c>
      <c r="AA112" s="11">
        <f>IF(Table13[[#This Row],[template]]="","",VLOOKUP(Table13[[#This Row],[IP]],Table51117[],2,FALSE))</f>
        <v>1</v>
      </c>
      <c r="AB112" s="13" t="str">
        <f>IF(Table13[[#This Row],[template]]="","",DEC2HEX(VLOOKUP(Table13[[#This Row],[D1-Type]],Table351218[],2,FALSE),1)&amp;DEC2HEX(VLOOKUP(Table13[[#This Row],[D2-Type]],Table31016[],2,FALSE),1)&amp; DEC2HEX(Table13[[#This Row],[D2-Offset]],2)&amp;DEC2HEX(VLOOKUP(Table13[[#This Row],[D3-Type]],Table371319[],2,FALSE),1))</f>
        <v>060E0</v>
      </c>
      <c r="AC112" s="14">
        <f>IF(Table13[[#This Row],[template]]="","",HEX2DEC(Table13[[#This Row],[Addr_Hex]]))</f>
        <v>100</v>
      </c>
    </row>
    <row r="113" spans="2:29" x14ac:dyDescent="0.3">
      <c r="B113" s="4">
        <v>166</v>
      </c>
      <c r="C113" s="4" t="s">
        <v>233</v>
      </c>
      <c r="D113" s="9" t="str">
        <f>UPPER(Table13[[#This Row],[SIGNAL]])</f>
        <v>EV_PDPPOLARITY_15</v>
      </c>
      <c r="E113" s="9" t="str">
        <f>IF(Table13[[#This Row],[template]]="","","0x"&amp;Table13[[#This Row],[IP_Index]]&amp;DEC2HEX(Table13[[#This Row],[Addr_Dec]]*4,7))</f>
        <v>0x10000190</v>
      </c>
      <c r="F113" s="9" t="str">
        <f>IF(Table13[[#This Row],[template]]="","",VLOOKUP(Table13[[#This Row],[template]],Table2915[],2,FALSE))</f>
        <v>asynParamInt32</v>
      </c>
      <c r="G113" s="18" t="str">
        <f>IF(Table13[[#This Row],[template]]="","","1")</f>
        <v>1</v>
      </c>
      <c r="H113" s="10"/>
      <c r="I113" s="13" t="str">
        <f>IF(Table13[[#This Row],[template]]="","","0x"&amp;Table13[[#This Row],[D_Index]]&amp;"000")</f>
        <v>0x060F0000</v>
      </c>
      <c r="J113" s="18"/>
      <c r="K113" s="10">
        <v>0</v>
      </c>
      <c r="L113" s="10"/>
      <c r="M113" s="11" t="str">
        <f>IF(Table13[[#This Row],[template]]="","",VLOOKUP(Table13[[#This Row],[template]],Table2915[],3,FALSE))</f>
        <v xml:space="preserve"> </v>
      </c>
      <c r="N113" s="10"/>
      <c r="O113" s="11"/>
      <c r="P113" s="9" t="str">
        <f>IF(Table13[[#This Row],[template]]="","",Table13[[#This Row],[IP]]&amp;"_"&amp;Table13[[#This Row],[PARAM_NAME]]&amp;IF(Table13[[#This Row],[SUB]]="","","_"&amp;Table13[[#This Row],[SUB]]))</f>
        <v>ev_pdpPolarity_15</v>
      </c>
      <c r="Q113" s="1" t="s">
        <v>262</v>
      </c>
      <c r="R113" s="1" t="s">
        <v>415</v>
      </c>
      <c r="S113" s="6" t="s">
        <v>278</v>
      </c>
      <c r="T113" s="4">
        <v>64</v>
      </c>
      <c r="U113" s="6" t="s">
        <v>363</v>
      </c>
      <c r="V113" s="1" t="s">
        <v>315</v>
      </c>
      <c r="W113" s="16" t="s">
        <v>278</v>
      </c>
      <c r="X113" s="6" t="s">
        <v>363</v>
      </c>
      <c r="AA113" s="11">
        <f>IF(Table13[[#This Row],[template]]="","",VLOOKUP(Table13[[#This Row],[IP]],Table51117[],2,FALSE))</f>
        <v>1</v>
      </c>
      <c r="AB113" s="13" t="str">
        <f>IF(Table13[[#This Row],[template]]="","",DEC2HEX(VLOOKUP(Table13[[#This Row],[D1-Type]],Table351218[],2,FALSE),1)&amp;DEC2HEX(VLOOKUP(Table13[[#This Row],[D2-Type]],Table31016[],2,FALSE),1)&amp; DEC2HEX(Table13[[#This Row],[D2-Offset]],2)&amp;DEC2HEX(VLOOKUP(Table13[[#This Row],[D3-Type]],Table371319[],2,FALSE),1))</f>
        <v>060F0</v>
      </c>
      <c r="AC113" s="14">
        <f>IF(Table13[[#This Row],[template]]="","",HEX2DEC(Table13[[#This Row],[Addr_Hex]]))</f>
        <v>100</v>
      </c>
    </row>
    <row r="114" spans="2:29" x14ac:dyDescent="0.3">
      <c r="B114" s="4">
        <v>167</v>
      </c>
      <c r="C114" s="4" t="s">
        <v>233</v>
      </c>
      <c r="D114" s="9" t="str">
        <f>UPPER(Table13[[#This Row],[SIGNAL]])</f>
        <v>EV_PDPPOLARITY_16</v>
      </c>
      <c r="E114" s="9" t="str">
        <f>IF(Table13[[#This Row],[template]]="","","0x"&amp;Table13[[#This Row],[IP_Index]]&amp;DEC2HEX(Table13[[#This Row],[Addr_Dec]]*4,7))</f>
        <v>0x10000190</v>
      </c>
      <c r="F114" s="9" t="str">
        <f>IF(Table13[[#This Row],[template]]="","",VLOOKUP(Table13[[#This Row],[template]],Table2915[],2,FALSE))</f>
        <v>asynParamInt32</v>
      </c>
      <c r="G114" s="18" t="str">
        <f>IF(Table13[[#This Row],[template]]="","","1")</f>
        <v>1</v>
      </c>
      <c r="H114" s="10"/>
      <c r="I114" s="13" t="str">
        <f>IF(Table13[[#This Row],[template]]="","","0x"&amp;Table13[[#This Row],[D_Index]]&amp;"000")</f>
        <v>0x06100000</v>
      </c>
      <c r="J114" s="18"/>
      <c r="K114" s="10">
        <v>0</v>
      </c>
      <c r="L114" s="10"/>
      <c r="M114" s="11" t="str">
        <f>IF(Table13[[#This Row],[template]]="","",VLOOKUP(Table13[[#This Row],[template]],Table2915[],3,FALSE))</f>
        <v xml:space="preserve"> </v>
      </c>
      <c r="N114" s="10"/>
      <c r="O114" s="11"/>
      <c r="P114" s="9" t="str">
        <f>IF(Table13[[#This Row],[template]]="","",Table13[[#This Row],[IP]]&amp;"_"&amp;Table13[[#This Row],[PARAM_NAME]]&amp;IF(Table13[[#This Row],[SUB]]="","","_"&amp;Table13[[#This Row],[SUB]]))</f>
        <v>ev_pdpPolarity_16</v>
      </c>
      <c r="Q114" s="1" t="s">
        <v>262</v>
      </c>
      <c r="R114" s="1" t="s">
        <v>415</v>
      </c>
      <c r="S114" s="6" t="s">
        <v>279</v>
      </c>
      <c r="T114" s="4">
        <v>64</v>
      </c>
      <c r="U114" s="6" t="s">
        <v>363</v>
      </c>
      <c r="V114" s="1" t="s">
        <v>315</v>
      </c>
      <c r="W114" s="16" t="s">
        <v>279</v>
      </c>
      <c r="X114" s="6" t="s">
        <v>363</v>
      </c>
      <c r="AA114" s="11">
        <f>IF(Table13[[#This Row],[template]]="","",VLOOKUP(Table13[[#This Row],[IP]],Table51117[],2,FALSE))</f>
        <v>1</v>
      </c>
      <c r="AB114" s="13" t="str">
        <f>IF(Table13[[#This Row],[template]]="","",DEC2HEX(VLOOKUP(Table13[[#This Row],[D1-Type]],Table351218[],2,FALSE),1)&amp;DEC2HEX(VLOOKUP(Table13[[#This Row],[D2-Type]],Table31016[],2,FALSE),1)&amp; DEC2HEX(Table13[[#This Row],[D2-Offset]],2)&amp;DEC2HEX(VLOOKUP(Table13[[#This Row],[D3-Type]],Table371319[],2,FALSE),1))</f>
        <v>06100</v>
      </c>
      <c r="AC114" s="14">
        <f>IF(Table13[[#This Row],[template]]="","",HEX2DEC(Table13[[#This Row],[Addr_Hex]]))</f>
        <v>100</v>
      </c>
    </row>
    <row r="115" spans="2:29" x14ac:dyDescent="0.3">
      <c r="B115" s="4">
        <v>168</v>
      </c>
      <c r="C115" s="4" t="s">
        <v>233</v>
      </c>
      <c r="D115" s="9" t="str">
        <f>UPPER(Table13[[#This Row],[SIGNAL]])</f>
        <v>EV_PDPPOLARITY_17</v>
      </c>
      <c r="E115" s="9" t="str">
        <f>IF(Table13[[#This Row],[template]]="","","0x"&amp;Table13[[#This Row],[IP_Index]]&amp;DEC2HEX(Table13[[#This Row],[Addr_Dec]]*4,7))</f>
        <v>0x10000190</v>
      </c>
      <c r="F115" s="9" t="str">
        <f>IF(Table13[[#This Row],[template]]="","",VLOOKUP(Table13[[#This Row],[template]],Table2915[],2,FALSE))</f>
        <v>asynParamInt32</v>
      </c>
      <c r="G115" s="18" t="str">
        <f>IF(Table13[[#This Row],[template]]="","","1")</f>
        <v>1</v>
      </c>
      <c r="H115" s="10"/>
      <c r="I115" s="13" t="str">
        <f>IF(Table13[[#This Row],[template]]="","","0x"&amp;Table13[[#This Row],[D_Index]]&amp;"000")</f>
        <v>0x06110000</v>
      </c>
      <c r="J115" s="18"/>
      <c r="K115" s="10">
        <v>0</v>
      </c>
      <c r="L115" s="10"/>
      <c r="M115" s="11" t="str">
        <f>IF(Table13[[#This Row],[template]]="","",VLOOKUP(Table13[[#This Row],[template]],Table2915[],3,FALSE))</f>
        <v xml:space="preserve"> </v>
      </c>
      <c r="N115" s="10"/>
      <c r="O115" s="11"/>
      <c r="P115" s="9" t="str">
        <f>IF(Table13[[#This Row],[template]]="","",Table13[[#This Row],[IP]]&amp;"_"&amp;Table13[[#This Row],[PARAM_NAME]]&amp;IF(Table13[[#This Row],[SUB]]="","","_"&amp;Table13[[#This Row],[SUB]]))</f>
        <v>ev_pdpPolarity_17</v>
      </c>
      <c r="Q115" s="1" t="s">
        <v>262</v>
      </c>
      <c r="R115" s="1" t="s">
        <v>415</v>
      </c>
      <c r="S115" s="6" t="s">
        <v>280</v>
      </c>
      <c r="T115" s="4">
        <v>64</v>
      </c>
      <c r="U115" s="6" t="s">
        <v>363</v>
      </c>
      <c r="V115" s="1" t="s">
        <v>315</v>
      </c>
      <c r="W115" s="16" t="s">
        <v>280</v>
      </c>
      <c r="X115" s="6" t="s">
        <v>363</v>
      </c>
      <c r="AA115" s="11">
        <f>IF(Table13[[#This Row],[template]]="","",VLOOKUP(Table13[[#This Row],[IP]],Table51117[],2,FALSE))</f>
        <v>1</v>
      </c>
      <c r="AB115" s="13" t="str">
        <f>IF(Table13[[#This Row],[template]]="","",DEC2HEX(VLOOKUP(Table13[[#This Row],[D1-Type]],Table351218[],2,FALSE),1)&amp;DEC2HEX(VLOOKUP(Table13[[#This Row],[D2-Type]],Table31016[],2,FALSE),1)&amp; DEC2HEX(Table13[[#This Row],[D2-Offset]],2)&amp;DEC2HEX(VLOOKUP(Table13[[#This Row],[D3-Type]],Table371319[],2,FALSE),1))</f>
        <v>06110</v>
      </c>
      <c r="AC115" s="14">
        <f>IF(Table13[[#This Row],[template]]="","",HEX2DEC(Table13[[#This Row],[Addr_Hex]]))</f>
        <v>100</v>
      </c>
    </row>
    <row r="116" spans="2:29" x14ac:dyDescent="0.3">
      <c r="B116" s="4">
        <v>169</v>
      </c>
      <c r="C116" s="4" t="s">
        <v>233</v>
      </c>
      <c r="D116" s="9" t="str">
        <f>UPPER(Table13[[#This Row],[SIGNAL]])</f>
        <v>EV_PDPPOLARITY_18</v>
      </c>
      <c r="E116" s="9" t="str">
        <f>IF(Table13[[#This Row],[template]]="","","0x"&amp;Table13[[#This Row],[IP_Index]]&amp;DEC2HEX(Table13[[#This Row],[Addr_Dec]]*4,7))</f>
        <v>0x10000190</v>
      </c>
      <c r="F116" s="9" t="str">
        <f>IF(Table13[[#This Row],[template]]="","",VLOOKUP(Table13[[#This Row],[template]],Table2915[],2,FALSE))</f>
        <v>asynParamInt32</v>
      </c>
      <c r="G116" s="18" t="str">
        <f>IF(Table13[[#This Row],[template]]="","","1")</f>
        <v>1</v>
      </c>
      <c r="H116" s="10"/>
      <c r="I116" s="13" t="str">
        <f>IF(Table13[[#This Row],[template]]="","","0x"&amp;Table13[[#This Row],[D_Index]]&amp;"000")</f>
        <v>0x06120000</v>
      </c>
      <c r="J116" s="18"/>
      <c r="K116" s="10">
        <v>0</v>
      </c>
      <c r="L116" s="10"/>
      <c r="M116" s="11" t="str">
        <f>IF(Table13[[#This Row],[template]]="","",VLOOKUP(Table13[[#This Row],[template]],Table2915[],3,FALSE))</f>
        <v xml:space="preserve"> </v>
      </c>
      <c r="N116" s="10"/>
      <c r="O116" s="11"/>
      <c r="P116" s="9" t="str">
        <f>IF(Table13[[#This Row],[template]]="","",Table13[[#This Row],[IP]]&amp;"_"&amp;Table13[[#This Row],[PARAM_NAME]]&amp;IF(Table13[[#This Row],[SUB]]="","","_"&amp;Table13[[#This Row],[SUB]]))</f>
        <v>ev_pdpPolarity_18</v>
      </c>
      <c r="Q116" s="1" t="s">
        <v>262</v>
      </c>
      <c r="R116" s="1" t="s">
        <v>415</v>
      </c>
      <c r="S116" s="6" t="s">
        <v>281</v>
      </c>
      <c r="T116" s="4">
        <v>64</v>
      </c>
      <c r="U116" s="6" t="s">
        <v>363</v>
      </c>
      <c r="V116" s="1" t="s">
        <v>315</v>
      </c>
      <c r="W116" s="16" t="s">
        <v>281</v>
      </c>
      <c r="X116" s="6" t="s">
        <v>363</v>
      </c>
      <c r="AA116" s="11">
        <f>IF(Table13[[#This Row],[template]]="","",VLOOKUP(Table13[[#This Row],[IP]],Table51117[],2,FALSE))</f>
        <v>1</v>
      </c>
      <c r="AB116" s="13" t="str">
        <f>IF(Table13[[#This Row],[template]]="","",DEC2HEX(VLOOKUP(Table13[[#This Row],[D1-Type]],Table351218[],2,FALSE),1)&amp;DEC2HEX(VLOOKUP(Table13[[#This Row],[D2-Type]],Table31016[],2,FALSE),1)&amp; DEC2HEX(Table13[[#This Row],[D2-Offset]],2)&amp;DEC2HEX(VLOOKUP(Table13[[#This Row],[D3-Type]],Table371319[],2,FALSE),1))</f>
        <v>06120</v>
      </c>
      <c r="AC116" s="14">
        <f>IF(Table13[[#This Row],[template]]="","",HEX2DEC(Table13[[#This Row],[Addr_Hex]]))</f>
        <v>100</v>
      </c>
    </row>
    <row r="117" spans="2:29" x14ac:dyDescent="0.3">
      <c r="B117" s="4">
        <v>170</v>
      </c>
      <c r="C117" s="4" t="s">
        <v>233</v>
      </c>
      <c r="D117" s="9" t="str">
        <f>UPPER(Table13[[#This Row],[SIGNAL]])</f>
        <v>EV_PDPPOLARITY_19</v>
      </c>
      <c r="E117" s="9" t="str">
        <f>IF(Table13[[#This Row],[template]]="","","0x"&amp;Table13[[#This Row],[IP_Index]]&amp;DEC2HEX(Table13[[#This Row],[Addr_Dec]]*4,7))</f>
        <v>0x10000190</v>
      </c>
      <c r="F117" s="9" t="str">
        <f>IF(Table13[[#This Row],[template]]="","",VLOOKUP(Table13[[#This Row],[template]],Table2915[],2,FALSE))</f>
        <v>asynParamInt32</v>
      </c>
      <c r="G117" s="18" t="str">
        <f>IF(Table13[[#This Row],[template]]="","","1")</f>
        <v>1</v>
      </c>
      <c r="H117" s="10"/>
      <c r="I117" s="13" t="str">
        <f>IF(Table13[[#This Row],[template]]="","","0x"&amp;Table13[[#This Row],[D_Index]]&amp;"000")</f>
        <v>0x06130000</v>
      </c>
      <c r="J117" s="18"/>
      <c r="K117" s="10">
        <v>0</v>
      </c>
      <c r="L117" s="10"/>
      <c r="M117" s="11" t="str">
        <f>IF(Table13[[#This Row],[template]]="","",VLOOKUP(Table13[[#This Row],[template]],Table2915[],3,FALSE))</f>
        <v xml:space="preserve"> </v>
      </c>
      <c r="N117" s="10"/>
      <c r="O117" s="11"/>
      <c r="P117" s="9" t="str">
        <f>IF(Table13[[#This Row],[template]]="","",Table13[[#This Row],[IP]]&amp;"_"&amp;Table13[[#This Row],[PARAM_NAME]]&amp;IF(Table13[[#This Row],[SUB]]="","","_"&amp;Table13[[#This Row],[SUB]]))</f>
        <v>ev_pdpPolarity_19</v>
      </c>
      <c r="Q117" s="1" t="s">
        <v>262</v>
      </c>
      <c r="R117" s="1" t="s">
        <v>415</v>
      </c>
      <c r="S117" s="6" t="s">
        <v>282</v>
      </c>
      <c r="T117" s="4">
        <v>64</v>
      </c>
      <c r="U117" s="6" t="s">
        <v>363</v>
      </c>
      <c r="V117" s="1" t="s">
        <v>315</v>
      </c>
      <c r="W117" s="16" t="s">
        <v>282</v>
      </c>
      <c r="X117" s="6" t="s">
        <v>363</v>
      </c>
      <c r="AA117" s="11">
        <f>IF(Table13[[#This Row],[template]]="","",VLOOKUP(Table13[[#This Row],[IP]],Table51117[],2,FALSE))</f>
        <v>1</v>
      </c>
      <c r="AB117" s="13" t="str">
        <f>IF(Table13[[#This Row],[template]]="","",DEC2HEX(VLOOKUP(Table13[[#This Row],[D1-Type]],Table351218[],2,FALSE),1)&amp;DEC2HEX(VLOOKUP(Table13[[#This Row],[D2-Type]],Table31016[],2,FALSE),1)&amp; DEC2HEX(Table13[[#This Row],[D2-Offset]],2)&amp;DEC2HEX(VLOOKUP(Table13[[#This Row],[D3-Type]],Table371319[],2,FALSE),1))</f>
        <v>06130</v>
      </c>
      <c r="AC117" s="14">
        <f>IF(Table13[[#This Row],[template]]="","",HEX2DEC(Table13[[#This Row],[Addr_Hex]]))</f>
        <v>100</v>
      </c>
    </row>
    <row r="118" spans="2:29" x14ac:dyDescent="0.3">
      <c r="B118" s="4">
        <v>171</v>
      </c>
      <c r="C118" s="4" t="s">
        <v>233</v>
      </c>
      <c r="D118" s="9" t="str">
        <f>UPPER(Table13[[#This Row],[SIGNAL]])</f>
        <v>EV_PDPPOLARITY_20</v>
      </c>
      <c r="E118" s="9" t="str">
        <f>IF(Table13[[#This Row],[template]]="","","0x"&amp;Table13[[#This Row],[IP_Index]]&amp;DEC2HEX(Table13[[#This Row],[Addr_Dec]]*4,7))</f>
        <v>0x10000190</v>
      </c>
      <c r="F118" s="9" t="str">
        <f>IF(Table13[[#This Row],[template]]="","",VLOOKUP(Table13[[#This Row],[template]],Table2915[],2,FALSE))</f>
        <v>asynParamInt32</v>
      </c>
      <c r="G118" s="18" t="str">
        <f>IF(Table13[[#This Row],[template]]="","","1")</f>
        <v>1</v>
      </c>
      <c r="H118" s="10"/>
      <c r="I118" s="13" t="str">
        <f>IF(Table13[[#This Row],[template]]="","","0x"&amp;Table13[[#This Row],[D_Index]]&amp;"000")</f>
        <v>0x06140000</v>
      </c>
      <c r="J118" s="18"/>
      <c r="K118" s="10">
        <v>0</v>
      </c>
      <c r="L118" s="10"/>
      <c r="M118" s="11" t="str">
        <f>IF(Table13[[#This Row],[template]]="","",VLOOKUP(Table13[[#This Row],[template]],Table2915[],3,FALSE))</f>
        <v xml:space="preserve"> </v>
      </c>
      <c r="N118" s="10"/>
      <c r="O118" s="11"/>
      <c r="P118" s="9" t="str">
        <f>IF(Table13[[#This Row],[template]]="","",Table13[[#This Row],[IP]]&amp;"_"&amp;Table13[[#This Row],[PARAM_NAME]]&amp;IF(Table13[[#This Row],[SUB]]="","","_"&amp;Table13[[#This Row],[SUB]]))</f>
        <v>ev_pdpPolarity_20</v>
      </c>
      <c r="Q118" s="1" t="s">
        <v>262</v>
      </c>
      <c r="R118" s="1" t="s">
        <v>415</v>
      </c>
      <c r="S118" s="6" t="s">
        <v>283</v>
      </c>
      <c r="T118" s="4">
        <v>64</v>
      </c>
      <c r="U118" s="6" t="s">
        <v>363</v>
      </c>
      <c r="V118" s="1" t="s">
        <v>315</v>
      </c>
      <c r="W118" s="16" t="s">
        <v>283</v>
      </c>
      <c r="X118" s="6" t="s">
        <v>363</v>
      </c>
      <c r="AA118" s="11">
        <f>IF(Table13[[#This Row],[template]]="","",VLOOKUP(Table13[[#This Row],[IP]],Table51117[],2,FALSE))</f>
        <v>1</v>
      </c>
      <c r="AB118" s="13" t="str">
        <f>IF(Table13[[#This Row],[template]]="","",DEC2HEX(VLOOKUP(Table13[[#This Row],[D1-Type]],Table351218[],2,FALSE),1)&amp;DEC2HEX(VLOOKUP(Table13[[#This Row],[D2-Type]],Table31016[],2,FALSE),1)&amp; DEC2HEX(Table13[[#This Row],[D2-Offset]],2)&amp;DEC2HEX(VLOOKUP(Table13[[#This Row],[D3-Type]],Table371319[],2,FALSE),1))</f>
        <v>06140</v>
      </c>
      <c r="AC118" s="14">
        <f>IF(Table13[[#This Row],[template]]="","",HEX2DEC(Table13[[#This Row],[Addr_Hex]]))</f>
        <v>100</v>
      </c>
    </row>
    <row r="119" spans="2:29" x14ac:dyDescent="0.3">
      <c r="B119" s="4">
        <v>172</v>
      </c>
      <c r="C119" s="4" t="s">
        <v>233</v>
      </c>
      <c r="D119" s="9" t="str">
        <f>UPPER(Table13[[#This Row],[SIGNAL]])</f>
        <v>EV_PDPPOLARITY_21</v>
      </c>
      <c r="E119" s="9" t="str">
        <f>IF(Table13[[#This Row],[template]]="","","0x"&amp;Table13[[#This Row],[IP_Index]]&amp;DEC2HEX(Table13[[#This Row],[Addr_Dec]]*4,7))</f>
        <v>0x10000190</v>
      </c>
      <c r="F119" s="9" t="str">
        <f>IF(Table13[[#This Row],[template]]="","",VLOOKUP(Table13[[#This Row],[template]],Table2915[],2,FALSE))</f>
        <v>asynParamInt32</v>
      </c>
      <c r="G119" s="18" t="str">
        <f>IF(Table13[[#This Row],[template]]="","","1")</f>
        <v>1</v>
      </c>
      <c r="H119" s="10"/>
      <c r="I119" s="13" t="str">
        <f>IF(Table13[[#This Row],[template]]="","","0x"&amp;Table13[[#This Row],[D_Index]]&amp;"000")</f>
        <v>0x06150000</v>
      </c>
      <c r="J119" s="18"/>
      <c r="K119" s="10">
        <v>0</v>
      </c>
      <c r="L119" s="10"/>
      <c r="M119" s="11" t="str">
        <f>IF(Table13[[#This Row],[template]]="","",VLOOKUP(Table13[[#This Row],[template]],Table2915[],3,FALSE))</f>
        <v xml:space="preserve"> </v>
      </c>
      <c r="N119" s="10"/>
      <c r="O119" s="11"/>
      <c r="P119" s="9" t="str">
        <f>IF(Table13[[#This Row],[template]]="","",Table13[[#This Row],[IP]]&amp;"_"&amp;Table13[[#This Row],[PARAM_NAME]]&amp;IF(Table13[[#This Row],[SUB]]="","","_"&amp;Table13[[#This Row],[SUB]]))</f>
        <v>ev_pdpPolarity_21</v>
      </c>
      <c r="Q119" s="1" t="s">
        <v>262</v>
      </c>
      <c r="R119" s="1" t="s">
        <v>415</v>
      </c>
      <c r="S119" s="6" t="s">
        <v>284</v>
      </c>
      <c r="T119" s="4">
        <v>64</v>
      </c>
      <c r="U119" s="6" t="s">
        <v>363</v>
      </c>
      <c r="V119" s="1" t="s">
        <v>315</v>
      </c>
      <c r="W119" s="16" t="s">
        <v>284</v>
      </c>
      <c r="X119" s="6" t="s">
        <v>363</v>
      </c>
      <c r="AA119" s="11">
        <f>IF(Table13[[#This Row],[template]]="","",VLOOKUP(Table13[[#This Row],[IP]],Table51117[],2,FALSE))</f>
        <v>1</v>
      </c>
      <c r="AB119" s="13" t="str">
        <f>IF(Table13[[#This Row],[template]]="","",DEC2HEX(VLOOKUP(Table13[[#This Row],[D1-Type]],Table351218[],2,FALSE),1)&amp;DEC2HEX(VLOOKUP(Table13[[#This Row],[D2-Type]],Table31016[],2,FALSE),1)&amp; DEC2HEX(Table13[[#This Row],[D2-Offset]],2)&amp;DEC2HEX(VLOOKUP(Table13[[#This Row],[D3-Type]],Table371319[],2,FALSE),1))</f>
        <v>06150</v>
      </c>
      <c r="AC119" s="14">
        <f>IF(Table13[[#This Row],[template]]="","",HEX2DEC(Table13[[#This Row],[Addr_Hex]]))</f>
        <v>100</v>
      </c>
    </row>
    <row r="120" spans="2:29" x14ac:dyDescent="0.3">
      <c r="B120" s="4">
        <v>173</v>
      </c>
      <c r="C120" s="4" t="s">
        <v>233</v>
      </c>
      <c r="D120" s="9" t="str">
        <f>UPPER(Table13[[#This Row],[SIGNAL]])</f>
        <v>EV_PDPPOLARITY_22</v>
      </c>
      <c r="E120" s="9" t="str">
        <f>IF(Table13[[#This Row],[template]]="","","0x"&amp;Table13[[#This Row],[IP_Index]]&amp;DEC2HEX(Table13[[#This Row],[Addr_Dec]]*4,7))</f>
        <v>0x10000190</v>
      </c>
      <c r="F120" s="9" t="str">
        <f>IF(Table13[[#This Row],[template]]="","",VLOOKUP(Table13[[#This Row],[template]],Table2915[],2,FALSE))</f>
        <v>asynParamInt32</v>
      </c>
      <c r="G120" s="18" t="str">
        <f>IF(Table13[[#This Row],[template]]="","","1")</f>
        <v>1</v>
      </c>
      <c r="H120" s="10"/>
      <c r="I120" s="13" t="str">
        <f>IF(Table13[[#This Row],[template]]="","","0x"&amp;Table13[[#This Row],[D_Index]]&amp;"000")</f>
        <v>0x06160000</v>
      </c>
      <c r="J120" s="18"/>
      <c r="K120" s="10">
        <v>0</v>
      </c>
      <c r="L120" s="10"/>
      <c r="M120" s="11" t="str">
        <f>IF(Table13[[#This Row],[template]]="","",VLOOKUP(Table13[[#This Row],[template]],Table2915[],3,FALSE))</f>
        <v xml:space="preserve"> </v>
      </c>
      <c r="N120" s="10"/>
      <c r="O120" s="11"/>
      <c r="P120" s="9" t="str">
        <f>IF(Table13[[#This Row],[template]]="","",Table13[[#This Row],[IP]]&amp;"_"&amp;Table13[[#This Row],[PARAM_NAME]]&amp;IF(Table13[[#This Row],[SUB]]="","","_"&amp;Table13[[#This Row],[SUB]]))</f>
        <v>ev_pdpPolarity_22</v>
      </c>
      <c r="Q120" s="1" t="s">
        <v>262</v>
      </c>
      <c r="R120" s="1" t="s">
        <v>415</v>
      </c>
      <c r="S120" s="6" t="s">
        <v>285</v>
      </c>
      <c r="T120" s="4">
        <v>64</v>
      </c>
      <c r="U120" s="6" t="s">
        <v>363</v>
      </c>
      <c r="V120" s="1" t="s">
        <v>315</v>
      </c>
      <c r="W120" s="16" t="s">
        <v>285</v>
      </c>
      <c r="X120" s="6" t="s">
        <v>363</v>
      </c>
      <c r="AA120" s="11">
        <f>IF(Table13[[#This Row],[template]]="","",VLOOKUP(Table13[[#This Row],[IP]],Table51117[],2,FALSE))</f>
        <v>1</v>
      </c>
      <c r="AB120" s="13" t="str">
        <f>IF(Table13[[#This Row],[template]]="","",DEC2HEX(VLOOKUP(Table13[[#This Row],[D1-Type]],Table351218[],2,FALSE),1)&amp;DEC2HEX(VLOOKUP(Table13[[#This Row],[D2-Type]],Table31016[],2,FALSE),1)&amp; DEC2HEX(Table13[[#This Row],[D2-Offset]],2)&amp;DEC2HEX(VLOOKUP(Table13[[#This Row],[D3-Type]],Table371319[],2,FALSE),1))</f>
        <v>06160</v>
      </c>
      <c r="AC120" s="14">
        <f>IF(Table13[[#This Row],[template]]="","",HEX2DEC(Table13[[#This Row],[Addr_Hex]]))</f>
        <v>100</v>
      </c>
    </row>
    <row r="121" spans="2:29" x14ac:dyDescent="0.3">
      <c r="B121" s="4">
        <v>174</v>
      </c>
      <c r="C121" s="4" t="s">
        <v>233</v>
      </c>
      <c r="D121" s="9" t="str">
        <f>UPPER(Table13[[#This Row],[SIGNAL]])</f>
        <v>EV_PDPPOLARITY_23</v>
      </c>
      <c r="E121" s="9" t="str">
        <f>IF(Table13[[#This Row],[template]]="","","0x"&amp;Table13[[#This Row],[IP_Index]]&amp;DEC2HEX(Table13[[#This Row],[Addr_Dec]]*4,7))</f>
        <v>0x10000190</v>
      </c>
      <c r="F121" s="9" t="str">
        <f>IF(Table13[[#This Row],[template]]="","",VLOOKUP(Table13[[#This Row],[template]],Table2915[],2,FALSE))</f>
        <v>asynParamInt32</v>
      </c>
      <c r="G121" s="18" t="str">
        <f>IF(Table13[[#This Row],[template]]="","","1")</f>
        <v>1</v>
      </c>
      <c r="H121" s="10"/>
      <c r="I121" s="13" t="str">
        <f>IF(Table13[[#This Row],[template]]="","","0x"&amp;Table13[[#This Row],[D_Index]]&amp;"000")</f>
        <v>0x06170000</v>
      </c>
      <c r="J121" s="18"/>
      <c r="K121" s="10">
        <v>0</v>
      </c>
      <c r="L121" s="10"/>
      <c r="M121" s="11" t="str">
        <f>IF(Table13[[#This Row],[template]]="","",VLOOKUP(Table13[[#This Row],[template]],Table2915[],3,FALSE))</f>
        <v xml:space="preserve"> </v>
      </c>
      <c r="N121" s="10"/>
      <c r="O121" s="11"/>
      <c r="P121" s="9" t="str">
        <f>IF(Table13[[#This Row],[template]]="","",Table13[[#This Row],[IP]]&amp;"_"&amp;Table13[[#This Row],[PARAM_NAME]]&amp;IF(Table13[[#This Row],[SUB]]="","","_"&amp;Table13[[#This Row],[SUB]]))</f>
        <v>ev_pdpPolarity_23</v>
      </c>
      <c r="Q121" s="1" t="s">
        <v>262</v>
      </c>
      <c r="R121" s="1" t="s">
        <v>415</v>
      </c>
      <c r="S121" s="6" t="s">
        <v>286</v>
      </c>
      <c r="T121" s="4">
        <v>64</v>
      </c>
      <c r="U121" s="6" t="s">
        <v>363</v>
      </c>
      <c r="V121" s="1" t="s">
        <v>315</v>
      </c>
      <c r="W121" s="16" t="s">
        <v>286</v>
      </c>
      <c r="X121" s="6" t="s">
        <v>363</v>
      </c>
      <c r="AA121" s="11">
        <f>IF(Table13[[#This Row],[template]]="","",VLOOKUP(Table13[[#This Row],[IP]],Table51117[],2,FALSE))</f>
        <v>1</v>
      </c>
      <c r="AB121" s="13" t="str">
        <f>IF(Table13[[#This Row],[template]]="","",DEC2HEX(VLOOKUP(Table13[[#This Row],[D1-Type]],Table351218[],2,FALSE),1)&amp;DEC2HEX(VLOOKUP(Table13[[#This Row],[D2-Type]],Table31016[],2,FALSE),1)&amp; DEC2HEX(Table13[[#This Row],[D2-Offset]],2)&amp;DEC2HEX(VLOOKUP(Table13[[#This Row],[D3-Type]],Table371319[],2,FALSE),1))</f>
        <v>06170</v>
      </c>
      <c r="AC121" s="14">
        <f>IF(Table13[[#This Row],[template]]="","",HEX2DEC(Table13[[#This Row],[Addr_Hex]]))</f>
        <v>100</v>
      </c>
    </row>
    <row r="122" spans="2:29" x14ac:dyDescent="0.3">
      <c r="B122" s="4">
        <v>175</v>
      </c>
      <c r="C122" s="4" t="s">
        <v>233</v>
      </c>
      <c r="D122" s="9" t="str">
        <f>UPPER(Table13[[#This Row],[SIGNAL]])</f>
        <v>EV_PDPPOLARITY_24</v>
      </c>
      <c r="E122" s="9" t="str">
        <f>IF(Table13[[#This Row],[template]]="","","0x"&amp;Table13[[#This Row],[IP_Index]]&amp;DEC2HEX(Table13[[#This Row],[Addr_Dec]]*4,7))</f>
        <v>0x10000190</v>
      </c>
      <c r="F122" s="9" t="str">
        <f>IF(Table13[[#This Row],[template]]="","",VLOOKUP(Table13[[#This Row],[template]],Table2915[],2,FALSE))</f>
        <v>asynParamInt32</v>
      </c>
      <c r="G122" s="18" t="str">
        <f>IF(Table13[[#This Row],[template]]="","","1")</f>
        <v>1</v>
      </c>
      <c r="H122" s="10"/>
      <c r="I122" s="13" t="str">
        <f>IF(Table13[[#This Row],[template]]="","","0x"&amp;Table13[[#This Row],[D_Index]]&amp;"000")</f>
        <v>0x06180000</v>
      </c>
      <c r="J122" s="18"/>
      <c r="K122" s="10">
        <v>0</v>
      </c>
      <c r="L122" s="10"/>
      <c r="M122" s="11" t="str">
        <f>IF(Table13[[#This Row],[template]]="","",VLOOKUP(Table13[[#This Row],[template]],Table2915[],3,FALSE))</f>
        <v xml:space="preserve"> </v>
      </c>
      <c r="N122" s="10"/>
      <c r="O122" s="11"/>
      <c r="P122" s="9" t="str">
        <f>IF(Table13[[#This Row],[template]]="","",Table13[[#This Row],[IP]]&amp;"_"&amp;Table13[[#This Row],[PARAM_NAME]]&amp;IF(Table13[[#This Row],[SUB]]="","","_"&amp;Table13[[#This Row],[SUB]]))</f>
        <v>ev_pdpPolarity_24</v>
      </c>
      <c r="Q122" s="1" t="s">
        <v>262</v>
      </c>
      <c r="R122" s="1" t="s">
        <v>415</v>
      </c>
      <c r="S122" s="6" t="s">
        <v>287</v>
      </c>
      <c r="T122" s="4">
        <v>64</v>
      </c>
      <c r="U122" s="6" t="s">
        <v>363</v>
      </c>
      <c r="V122" s="1" t="s">
        <v>315</v>
      </c>
      <c r="W122" s="16" t="s">
        <v>287</v>
      </c>
      <c r="X122" s="6" t="s">
        <v>363</v>
      </c>
      <c r="AA122" s="11">
        <f>IF(Table13[[#This Row],[template]]="","",VLOOKUP(Table13[[#This Row],[IP]],Table51117[],2,FALSE))</f>
        <v>1</v>
      </c>
      <c r="AB122" s="13" t="str">
        <f>IF(Table13[[#This Row],[template]]="","",DEC2HEX(VLOOKUP(Table13[[#This Row],[D1-Type]],Table351218[],2,FALSE),1)&amp;DEC2HEX(VLOOKUP(Table13[[#This Row],[D2-Type]],Table31016[],2,FALSE),1)&amp; DEC2HEX(Table13[[#This Row],[D2-Offset]],2)&amp;DEC2HEX(VLOOKUP(Table13[[#This Row],[D3-Type]],Table371319[],2,FALSE),1))</f>
        <v>06180</v>
      </c>
      <c r="AC122" s="14">
        <f>IF(Table13[[#This Row],[template]]="","",HEX2DEC(Table13[[#This Row],[Addr_Hex]]))</f>
        <v>100</v>
      </c>
    </row>
    <row r="123" spans="2:29" x14ac:dyDescent="0.3">
      <c r="B123" s="4">
        <v>176</v>
      </c>
      <c r="C123" s="4" t="s">
        <v>233</v>
      </c>
      <c r="D123" s="9" t="str">
        <f>UPPER(Table13[[#This Row],[SIGNAL]])</f>
        <v>EV_PDPPOLARITY_25</v>
      </c>
      <c r="E123" s="9" t="str">
        <f>IF(Table13[[#This Row],[template]]="","","0x"&amp;Table13[[#This Row],[IP_Index]]&amp;DEC2HEX(Table13[[#This Row],[Addr_Dec]]*4,7))</f>
        <v>0x10000190</v>
      </c>
      <c r="F123" s="9" t="str">
        <f>IF(Table13[[#This Row],[template]]="","",VLOOKUP(Table13[[#This Row],[template]],Table2915[],2,FALSE))</f>
        <v>asynParamInt32</v>
      </c>
      <c r="G123" s="18" t="str">
        <f>IF(Table13[[#This Row],[template]]="","","1")</f>
        <v>1</v>
      </c>
      <c r="H123" s="10"/>
      <c r="I123" s="13" t="str">
        <f>IF(Table13[[#This Row],[template]]="","","0x"&amp;Table13[[#This Row],[D_Index]]&amp;"000")</f>
        <v>0x06190000</v>
      </c>
      <c r="J123" s="18"/>
      <c r="K123" s="10">
        <v>0</v>
      </c>
      <c r="L123" s="10"/>
      <c r="M123" s="11" t="str">
        <f>IF(Table13[[#This Row],[template]]="","",VLOOKUP(Table13[[#This Row],[template]],Table2915[],3,FALSE))</f>
        <v xml:space="preserve"> </v>
      </c>
      <c r="N123" s="10"/>
      <c r="O123" s="11"/>
      <c r="P123" s="9" t="str">
        <f>IF(Table13[[#This Row],[template]]="","",Table13[[#This Row],[IP]]&amp;"_"&amp;Table13[[#This Row],[PARAM_NAME]]&amp;IF(Table13[[#This Row],[SUB]]="","","_"&amp;Table13[[#This Row],[SUB]]))</f>
        <v>ev_pdpPolarity_25</v>
      </c>
      <c r="Q123" s="1" t="s">
        <v>262</v>
      </c>
      <c r="R123" s="1" t="s">
        <v>415</v>
      </c>
      <c r="S123" s="6" t="s">
        <v>288</v>
      </c>
      <c r="T123" s="4">
        <v>64</v>
      </c>
      <c r="U123" s="6" t="s">
        <v>363</v>
      </c>
      <c r="V123" s="1" t="s">
        <v>315</v>
      </c>
      <c r="W123" s="16" t="s">
        <v>288</v>
      </c>
      <c r="X123" s="6" t="s">
        <v>363</v>
      </c>
      <c r="AA123" s="11">
        <f>IF(Table13[[#This Row],[template]]="","",VLOOKUP(Table13[[#This Row],[IP]],Table51117[],2,FALSE))</f>
        <v>1</v>
      </c>
      <c r="AB123" s="13" t="str">
        <f>IF(Table13[[#This Row],[template]]="","",DEC2HEX(VLOOKUP(Table13[[#This Row],[D1-Type]],Table351218[],2,FALSE),1)&amp;DEC2HEX(VLOOKUP(Table13[[#This Row],[D2-Type]],Table31016[],2,FALSE),1)&amp; DEC2HEX(Table13[[#This Row],[D2-Offset]],2)&amp;DEC2HEX(VLOOKUP(Table13[[#This Row],[D3-Type]],Table371319[],2,FALSE),1))</f>
        <v>06190</v>
      </c>
      <c r="AC123" s="14">
        <f>IF(Table13[[#This Row],[template]]="","",HEX2DEC(Table13[[#This Row],[Addr_Hex]]))</f>
        <v>100</v>
      </c>
    </row>
    <row r="124" spans="2:29" x14ac:dyDescent="0.3">
      <c r="B124" s="4">
        <v>177</v>
      </c>
      <c r="C124" s="4" t="s">
        <v>233</v>
      </c>
      <c r="D124" s="9" t="str">
        <f>UPPER(Table13[[#This Row],[SIGNAL]])</f>
        <v>EV_PDPPOLARITY_26</v>
      </c>
      <c r="E124" s="9" t="str">
        <f>IF(Table13[[#This Row],[template]]="","","0x"&amp;Table13[[#This Row],[IP_Index]]&amp;DEC2HEX(Table13[[#This Row],[Addr_Dec]]*4,7))</f>
        <v>0x10000190</v>
      </c>
      <c r="F124" s="9" t="str">
        <f>IF(Table13[[#This Row],[template]]="","",VLOOKUP(Table13[[#This Row],[template]],Table2915[],2,FALSE))</f>
        <v>asynParamInt32</v>
      </c>
      <c r="G124" s="18" t="str">
        <f>IF(Table13[[#This Row],[template]]="","","1")</f>
        <v>1</v>
      </c>
      <c r="H124" s="10"/>
      <c r="I124" s="13" t="str">
        <f>IF(Table13[[#This Row],[template]]="","","0x"&amp;Table13[[#This Row],[D_Index]]&amp;"000")</f>
        <v>0x061A0000</v>
      </c>
      <c r="J124" s="18"/>
      <c r="K124" s="10">
        <v>0</v>
      </c>
      <c r="L124" s="10"/>
      <c r="M124" s="11" t="str">
        <f>IF(Table13[[#This Row],[template]]="","",VLOOKUP(Table13[[#This Row],[template]],Table2915[],3,FALSE))</f>
        <v xml:space="preserve"> </v>
      </c>
      <c r="N124" s="10"/>
      <c r="O124" s="11"/>
      <c r="P124" s="9" t="str">
        <f>IF(Table13[[#This Row],[template]]="","",Table13[[#This Row],[IP]]&amp;"_"&amp;Table13[[#This Row],[PARAM_NAME]]&amp;IF(Table13[[#This Row],[SUB]]="","","_"&amp;Table13[[#This Row],[SUB]]))</f>
        <v>ev_pdpPolarity_26</v>
      </c>
      <c r="Q124" s="1" t="s">
        <v>262</v>
      </c>
      <c r="R124" s="1" t="s">
        <v>415</v>
      </c>
      <c r="S124" s="6" t="s">
        <v>289</v>
      </c>
      <c r="T124" s="4">
        <v>64</v>
      </c>
      <c r="U124" s="6" t="s">
        <v>363</v>
      </c>
      <c r="V124" s="1" t="s">
        <v>315</v>
      </c>
      <c r="W124" s="16" t="s">
        <v>289</v>
      </c>
      <c r="X124" s="6" t="s">
        <v>363</v>
      </c>
      <c r="AA124" s="11">
        <f>IF(Table13[[#This Row],[template]]="","",VLOOKUP(Table13[[#This Row],[IP]],Table51117[],2,FALSE))</f>
        <v>1</v>
      </c>
      <c r="AB124" s="13" t="str">
        <f>IF(Table13[[#This Row],[template]]="","",DEC2HEX(VLOOKUP(Table13[[#This Row],[D1-Type]],Table351218[],2,FALSE),1)&amp;DEC2HEX(VLOOKUP(Table13[[#This Row],[D2-Type]],Table31016[],2,FALSE),1)&amp; DEC2HEX(Table13[[#This Row],[D2-Offset]],2)&amp;DEC2HEX(VLOOKUP(Table13[[#This Row],[D3-Type]],Table371319[],2,FALSE),1))</f>
        <v>061A0</v>
      </c>
      <c r="AC124" s="14">
        <f>IF(Table13[[#This Row],[template]]="","",HEX2DEC(Table13[[#This Row],[Addr_Hex]]))</f>
        <v>100</v>
      </c>
    </row>
    <row r="125" spans="2:29" x14ac:dyDescent="0.3">
      <c r="B125" s="4">
        <v>178</v>
      </c>
      <c r="C125" s="4" t="s">
        <v>233</v>
      </c>
      <c r="D125" s="9" t="str">
        <f>UPPER(Table13[[#This Row],[SIGNAL]])</f>
        <v>EV_PDPPOLARITY_27</v>
      </c>
      <c r="E125" s="9" t="str">
        <f>IF(Table13[[#This Row],[template]]="","","0x"&amp;Table13[[#This Row],[IP_Index]]&amp;DEC2HEX(Table13[[#This Row],[Addr_Dec]]*4,7))</f>
        <v>0x10000190</v>
      </c>
      <c r="F125" s="9" t="str">
        <f>IF(Table13[[#This Row],[template]]="","",VLOOKUP(Table13[[#This Row],[template]],Table2915[],2,FALSE))</f>
        <v>asynParamInt32</v>
      </c>
      <c r="G125" s="18" t="str">
        <f>IF(Table13[[#This Row],[template]]="","","1")</f>
        <v>1</v>
      </c>
      <c r="H125" s="10"/>
      <c r="I125" s="13" t="str">
        <f>IF(Table13[[#This Row],[template]]="","","0x"&amp;Table13[[#This Row],[D_Index]]&amp;"000")</f>
        <v>0x061B0000</v>
      </c>
      <c r="J125" s="18"/>
      <c r="K125" s="10">
        <v>0</v>
      </c>
      <c r="L125" s="10"/>
      <c r="M125" s="11" t="str">
        <f>IF(Table13[[#This Row],[template]]="","",VLOOKUP(Table13[[#This Row],[template]],Table2915[],3,FALSE))</f>
        <v xml:space="preserve"> </v>
      </c>
      <c r="N125" s="10"/>
      <c r="O125" s="11"/>
      <c r="P125" s="9" t="str">
        <f>IF(Table13[[#This Row],[template]]="","",Table13[[#This Row],[IP]]&amp;"_"&amp;Table13[[#This Row],[PARAM_NAME]]&amp;IF(Table13[[#This Row],[SUB]]="","","_"&amp;Table13[[#This Row],[SUB]]))</f>
        <v>ev_pdpPolarity_27</v>
      </c>
      <c r="Q125" s="1" t="s">
        <v>262</v>
      </c>
      <c r="R125" s="1" t="s">
        <v>415</v>
      </c>
      <c r="S125" s="6" t="s">
        <v>290</v>
      </c>
      <c r="T125" s="4">
        <v>64</v>
      </c>
      <c r="U125" s="6" t="s">
        <v>363</v>
      </c>
      <c r="V125" s="1" t="s">
        <v>315</v>
      </c>
      <c r="W125" s="16" t="s">
        <v>290</v>
      </c>
      <c r="X125" s="6" t="s">
        <v>363</v>
      </c>
      <c r="AA125" s="11">
        <f>IF(Table13[[#This Row],[template]]="","",VLOOKUP(Table13[[#This Row],[IP]],Table51117[],2,FALSE))</f>
        <v>1</v>
      </c>
      <c r="AB125" s="13" t="str">
        <f>IF(Table13[[#This Row],[template]]="","",DEC2HEX(VLOOKUP(Table13[[#This Row],[D1-Type]],Table351218[],2,FALSE),1)&amp;DEC2HEX(VLOOKUP(Table13[[#This Row],[D2-Type]],Table31016[],2,FALSE),1)&amp; DEC2HEX(Table13[[#This Row],[D2-Offset]],2)&amp;DEC2HEX(VLOOKUP(Table13[[#This Row],[D3-Type]],Table371319[],2,FALSE),1))</f>
        <v>061B0</v>
      </c>
      <c r="AC125" s="14">
        <f>IF(Table13[[#This Row],[template]]="","",HEX2DEC(Table13[[#This Row],[Addr_Hex]]))</f>
        <v>100</v>
      </c>
    </row>
    <row r="126" spans="2:29" x14ac:dyDescent="0.3">
      <c r="B126" s="4">
        <v>179</v>
      </c>
      <c r="C126" s="4" t="s">
        <v>233</v>
      </c>
      <c r="D126" s="9" t="str">
        <f>UPPER(Table13[[#This Row],[SIGNAL]])</f>
        <v>EV_PDPPOLARITY_28</v>
      </c>
      <c r="E126" s="9" t="str">
        <f>IF(Table13[[#This Row],[template]]="","","0x"&amp;Table13[[#This Row],[IP_Index]]&amp;DEC2HEX(Table13[[#This Row],[Addr_Dec]]*4,7))</f>
        <v>0x10000190</v>
      </c>
      <c r="F126" s="9" t="str">
        <f>IF(Table13[[#This Row],[template]]="","",VLOOKUP(Table13[[#This Row],[template]],Table2915[],2,FALSE))</f>
        <v>asynParamInt32</v>
      </c>
      <c r="G126" s="18" t="str">
        <f>IF(Table13[[#This Row],[template]]="","","1")</f>
        <v>1</v>
      </c>
      <c r="H126" s="10"/>
      <c r="I126" s="13" t="str">
        <f>IF(Table13[[#This Row],[template]]="","","0x"&amp;Table13[[#This Row],[D_Index]]&amp;"000")</f>
        <v>0x061C0000</v>
      </c>
      <c r="J126" s="18"/>
      <c r="K126" s="10">
        <v>0</v>
      </c>
      <c r="L126" s="10"/>
      <c r="M126" s="11" t="str">
        <f>IF(Table13[[#This Row],[template]]="","",VLOOKUP(Table13[[#This Row],[template]],Table2915[],3,FALSE))</f>
        <v xml:space="preserve"> </v>
      </c>
      <c r="N126" s="10"/>
      <c r="O126" s="11"/>
      <c r="P126" s="9" t="str">
        <f>IF(Table13[[#This Row],[template]]="","",Table13[[#This Row],[IP]]&amp;"_"&amp;Table13[[#This Row],[PARAM_NAME]]&amp;IF(Table13[[#This Row],[SUB]]="","","_"&amp;Table13[[#This Row],[SUB]]))</f>
        <v>ev_pdpPolarity_28</v>
      </c>
      <c r="Q126" s="1" t="s">
        <v>262</v>
      </c>
      <c r="R126" s="1" t="s">
        <v>415</v>
      </c>
      <c r="S126" s="6" t="s">
        <v>291</v>
      </c>
      <c r="T126" s="4">
        <v>64</v>
      </c>
      <c r="U126" s="6" t="s">
        <v>363</v>
      </c>
      <c r="V126" s="1" t="s">
        <v>315</v>
      </c>
      <c r="W126" s="16" t="s">
        <v>291</v>
      </c>
      <c r="X126" s="6" t="s">
        <v>363</v>
      </c>
      <c r="AA126" s="11">
        <f>IF(Table13[[#This Row],[template]]="","",VLOOKUP(Table13[[#This Row],[IP]],Table51117[],2,FALSE))</f>
        <v>1</v>
      </c>
      <c r="AB126" s="13" t="str">
        <f>IF(Table13[[#This Row],[template]]="","",DEC2HEX(VLOOKUP(Table13[[#This Row],[D1-Type]],Table351218[],2,FALSE),1)&amp;DEC2HEX(VLOOKUP(Table13[[#This Row],[D2-Type]],Table31016[],2,FALSE),1)&amp; DEC2HEX(Table13[[#This Row],[D2-Offset]],2)&amp;DEC2HEX(VLOOKUP(Table13[[#This Row],[D3-Type]],Table371319[],2,FALSE),1))</f>
        <v>061C0</v>
      </c>
      <c r="AC126" s="14">
        <f>IF(Table13[[#This Row],[template]]="","",HEX2DEC(Table13[[#This Row],[Addr_Hex]]))</f>
        <v>100</v>
      </c>
    </row>
    <row r="127" spans="2:29" x14ac:dyDescent="0.3">
      <c r="B127" s="4">
        <v>180</v>
      </c>
      <c r="C127" s="4" t="s">
        <v>233</v>
      </c>
      <c r="D127" s="9" t="str">
        <f>UPPER(Table13[[#This Row],[SIGNAL]])</f>
        <v>EV_PDPPOLARITY_29</v>
      </c>
      <c r="E127" s="9" t="str">
        <f>IF(Table13[[#This Row],[template]]="","","0x"&amp;Table13[[#This Row],[IP_Index]]&amp;DEC2HEX(Table13[[#This Row],[Addr_Dec]]*4,7))</f>
        <v>0x10000190</v>
      </c>
      <c r="F127" s="9" t="str">
        <f>IF(Table13[[#This Row],[template]]="","",VLOOKUP(Table13[[#This Row],[template]],Table2915[],2,FALSE))</f>
        <v>asynParamInt32</v>
      </c>
      <c r="G127" s="18" t="str">
        <f>IF(Table13[[#This Row],[template]]="","","1")</f>
        <v>1</v>
      </c>
      <c r="H127" s="10"/>
      <c r="I127" s="13" t="str">
        <f>IF(Table13[[#This Row],[template]]="","","0x"&amp;Table13[[#This Row],[D_Index]]&amp;"000")</f>
        <v>0x061D0000</v>
      </c>
      <c r="J127" s="18"/>
      <c r="K127" s="10">
        <v>0</v>
      </c>
      <c r="L127" s="10"/>
      <c r="M127" s="11" t="str">
        <f>IF(Table13[[#This Row],[template]]="","",VLOOKUP(Table13[[#This Row],[template]],Table2915[],3,FALSE))</f>
        <v xml:space="preserve"> </v>
      </c>
      <c r="N127" s="10"/>
      <c r="O127" s="11"/>
      <c r="P127" s="9" t="str">
        <f>IF(Table13[[#This Row],[template]]="","",Table13[[#This Row],[IP]]&amp;"_"&amp;Table13[[#This Row],[PARAM_NAME]]&amp;IF(Table13[[#This Row],[SUB]]="","","_"&amp;Table13[[#This Row],[SUB]]))</f>
        <v>ev_pdpPolarity_29</v>
      </c>
      <c r="Q127" s="1" t="s">
        <v>262</v>
      </c>
      <c r="R127" s="1" t="s">
        <v>415</v>
      </c>
      <c r="S127" s="6" t="s">
        <v>292</v>
      </c>
      <c r="T127" s="4">
        <v>64</v>
      </c>
      <c r="U127" s="6" t="s">
        <v>363</v>
      </c>
      <c r="V127" s="1" t="s">
        <v>315</v>
      </c>
      <c r="W127" s="16" t="s">
        <v>292</v>
      </c>
      <c r="X127" s="6" t="s">
        <v>363</v>
      </c>
      <c r="AA127" s="11">
        <f>IF(Table13[[#This Row],[template]]="","",VLOOKUP(Table13[[#This Row],[IP]],Table51117[],2,FALSE))</f>
        <v>1</v>
      </c>
      <c r="AB127" s="13" t="str">
        <f>IF(Table13[[#This Row],[template]]="","",DEC2HEX(VLOOKUP(Table13[[#This Row],[D1-Type]],Table351218[],2,FALSE),1)&amp;DEC2HEX(VLOOKUP(Table13[[#This Row],[D2-Type]],Table31016[],2,FALSE),1)&amp; DEC2HEX(Table13[[#This Row],[D2-Offset]],2)&amp;DEC2HEX(VLOOKUP(Table13[[#This Row],[D3-Type]],Table371319[],2,FALSE),1))</f>
        <v>061D0</v>
      </c>
      <c r="AC127" s="14">
        <f>IF(Table13[[#This Row],[template]]="","",HEX2DEC(Table13[[#This Row],[Addr_Hex]]))</f>
        <v>100</v>
      </c>
    </row>
    <row r="128" spans="2:29" x14ac:dyDescent="0.3">
      <c r="B128" s="4">
        <v>181</v>
      </c>
      <c r="C128" s="4" t="s">
        <v>233</v>
      </c>
      <c r="D128" s="9" t="str">
        <f>UPPER(Table13[[#This Row],[SIGNAL]])</f>
        <v>EV_PDPPOLARITY_30</v>
      </c>
      <c r="E128" s="9" t="str">
        <f>IF(Table13[[#This Row],[template]]="","","0x"&amp;Table13[[#This Row],[IP_Index]]&amp;DEC2HEX(Table13[[#This Row],[Addr_Dec]]*4,7))</f>
        <v>0x10000190</v>
      </c>
      <c r="F128" s="9" t="str">
        <f>IF(Table13[[#This Row],[template]]="","",VLOOKUP(Table13[[#This Row],[template]],Table2915[],2,FALSE))</f>
        <v>asynParamInt32</v>
      </c>
      <c r="G128" s="18" t="str">
        <f>IF(Table13[[#This Row],[template]]="","","1")</f>
        <v>1</v>
      </c>
      <c r="H128" s="10"/>
      <c r="I128" s="13" t="str">
        <f>IF(Table13[[#This Row],[template]]="","","0x"&amp;Table13[[#This Row],[D_Index]]&amp;"000")</f>
        <v>0x061E0000</v>
      </c>
      <c r="J128" s="18"/>
      <c r="K128" s="10">
        <v>0</v>
      </c>
      <c r="L128" s="10"/>
      <c r="M128" s="11" t="str">
        <f>IF(Table13[[#This Row],[template]]="","",VLOOKUP(Table13[[#This Row],[template]],Table2915[],3,FALSE))</f>
        <v xml:space="preserve"> </v>
      </c>
      <c r="N128" s="10"/>
      <c r="O128" s="11"/>
      <c r="P128" s="9" t="str">
        <f>IF(Table13[[#This Row],[template]]="","",Table13[[#This Row],[IP]]&amp;"_"&amp;Table13[[#This Row],[PARAM_NAME]]&amp;IF(Table13[[#This Row],[SUB]]="","","_"&amp;Table13[[#This Row],[SUB]]))</f>
        <v>ev_pdpPolarity_30</v>
      </c>
      <c r="Q128" s="1" t="s">
        <v>262</v>
      </c>
      <c r="R128" s="1" t="s">
        <v>415</v>
      </c>
      <c r="S128" s="6" t="s">
        <v>293</v>
      </c>
      <c r="T128" s="4">
        <v>64</v>
      </c>
      <c r="U128" s="6" t="s">
        <v>363</v>
      </c>
      <c r="V128" s="1" t="s">
        <v>315</v>
      </c>
      <c r="W128" s="16" t="s">
        <v>293</v>
      </c>
      <c r="X128" s="6" t="s">
        <v>363</v>
      </c>
      <c r="AA128" s="11">
        <f>IF(Table13[[#This Row],[template]]="","",VLOOKUP(Table13[[#This Row],[IP]],Table51117[],2,FALSE))</f>
        <v>1</v>
      </c>
      <c r="AB128" s="13" t="str">
        <f>IF(Table13[[#This Row],[template]]="","",DEC2HEX(VLOOKUP(Table13[[#This Row],[D1-Type]],Table351218[],2,FALSE),1)&amp;DEC2HEX(VLOOKUP(Table13[[#This Row],[D2-Type]],Table31016[],2,FALSE),1)&amp; DEC2HEX(Table13[[#This Row],[D2-Offset]],2)&amp;DEC2HEX(VLOOKUP(Table13[[#This Row],[D3-Type]],Table371319[],2,FALSE),1))</f>
        <v>061E0</v>
      </c>
      <c r="AC128" s="14">
        <f>IF(Table13[[#This Row],[template]]="","",HEX2DEC(Table13[[#This Row],[Addr_Hex]]))</f>
        <v>100</v>
      </c>
    </row>
    <row r="129" spans="2:29" x14ac:dyDescent="0.3">
      <c r="B129" s="4">
        <v>182</v>
      </c>
      <c r="C129" s="4" t="s">
        <v>233</v>
      </c>
      <c r="D129" s="9" t="str">
        <f>UPPER(Table13[[#This Row],[SIGNAL]])</f>
        <v>EV_PDPPOLARITY_31</v>
      </c>
      <c r="E129" s="9" t="str">
        <f>IF(Table13[[#This Row],[template]]="","","0x"&amp;Table13[[#This Row],[IP_Index]]&amp;DEC2HEX(Table13[[#This Row],[Addr_Dec]]*4,7))</f>
        <v>0x10000190</v>
      </c>
      <c r="F129" s="9" t="str">
        <f>IF(Table13[[#This Row],[template]]="","",VLOOKUP(Table13[[#This Row],[template]],Table2915[],2,FALSE))</f>
        <v>asynParamInt32</v>
      </c>
      <c r="G129" s="18" t="str">
        <f>IF(Table13[[#This Row],[template]]="","","1")</f>
        <v>1</v>
      </c>
      <c r="H129" s="10"/>
      <c r="I129" s="13" t="str">
        <f>IF(Table13[[#This Row],[template]]="","","0x"&amp;Table13[[#This Row],[D_Index]]&amp;"000")</f>
        <v>0x061F0000</v>
      </c>
      <c r="J129" s="18"/>
      <c r="K129" s="10">
        <v>0</v>
      </c>
      <c r="L129" s="10"/>
      <c r="M129" s="11" t="str">
        <f>IF(Table13[[#This Row],[template]]="","",VLOOKUP(Table13[[#This Row],[template]],Table2915[],3,FALSE))</f>
        <v xml:space="preserve"> </v>
      </c>
      <c r="N129" s="10"/>
      <c r="O129" s="11"/>
      <c r="P129" s="9" t="str">
        <f>IF(Table13[[#This Row],[template]]="","",Table13[[#This Row],[IP]]&amp;"_"&amp;Table13[[#This Row],[PARAM_NAME]]&amp;IF(Table13[[#This Row],[SUB]]="","","_"&amp;Table13[[#This Row],[SUB]]))</f>
        <v>ev_pdpPolarity_31</v>
      </c>
      <c r="Q129" s="1" t="s">
        <v>262</v>
      </c>
      <c r="R129" s="1" t="s">
        <v>415</v>
      </c>
      <c r="S129" s="6" t="s">
        <v>294</v>
      </c>
      <c r="T129" s="4">
        <v>64</v>
      </c>
      <c r="U129" s="6" t="s">
        <v>363</v>
      </c>
      <c r="V129" s="1" t="s">
        <v>315</v>
      </c>
      <c r="W129" s="16" t="s">
        <v>294</v>
      </c>
      <c r="X129" s="6" t="s">
        <v>363</v>
      </c>
      <c r="AA129" s="11">
        <f>IF(Table13[[#This Row],[template]]="","",VLOOKUP(Table13[[#This Row],[IP]],Table51117[],2,FALSE))</f>
        <v>1</v>
      </c>
      <c r="AB129" s="13" t="str">
        <f>IF(Table13[[#This Row],[template]]="","",DEC2HEX(VLOOKUP(Table13[[#This Row],[D1-Type]],Table351218[],2,FALSE),1)&amp;DEC2HEX(VLOOKUP(Table13[[#This Row],[D2-Type]],Table31016[],2,FALSE),1)&amp; DEC2HEX(Table13[[#This Row],[D2-Offset]],2)&amp;DEC2HEX(VLOOKUP(Table13[[#This Row],[D3-Type]],Table371319[],2,FALSE),1))</f>
        <v>061F0</v>
      </c>
      <c r="AC129" s="14">
        <f>IF(Table13[[#This Row],[template]]="","",HEX2DEC(Table13[[#This Row],[Addr_Hex]]))</f>
        <v>100</v>
      </c>
    </row>
    <row r="130" spans="2:29" x14ac:dyDescent="0.3">
      <c r="B130" s="4">
        <v>183</v>
      </c>
      <c r="C130" s="4"/>
      <c r="D130" s="9" t="str">
        <f>UPPER(Table13[[#This Row],[SIGNAL]])</f>
        <v/>
      </c>
      <c r="E130" s="9" t="str">
        <f>IF(Table13[[#This Row],[template]]="","","0x"&amp;Table13[[#This Row],[IP_Index]]&amp;DEC2HEX(Table13[[#This Row],[Addr_Dec]]*4,7))</f>
        <v/>
      </c>
      <c r="F130" s="9" t="str">
        <f>IF(Table13[[#This Row],[template]]="","",VLOOKUP(Table13[[#This Row],[template]],Table2915[],2,FALSE))</f>
        <v/>
      </c>
      <c r="G130" s="18" t="str">
        <f>IF(Table13[[#This Row],[template]]="","","1")</f>
        <v/>
      </c>
      <c r="H130" s="10"/>
      <c r="I130" s="13" t="str">
        <f>IF(Table13[[#This Row],[template]]="","","0x"&amp;Table13[[#This Row],[D_Index]]&amp;"000")</f>
        <v/>
      </c>
      <c r="J130" s="18"/>
      <c r="K130" s="10"/>
      <c r="L130" s="10"/>
      <c r="M130" s="11" t="str">
        <f>IF(Table13[[#This Row],[template]]="","",VLOOKUP(Table13[[#This Row],[template]],Table2915[],3,FALSE))</f>
        <v/>
      </c>
      <c r="N130" s="10"/>
      <c r="O130" s="11"/>
      <c r="P130" s="9" t="str">
        <f>IF(Table13[[#This Row],[template]]="","",Table13[[#This Row],[IP]]&amp;"_"&amp;Table13[[#This Row],[PARAM_NAME]]&amp;IF(Table13[[#This Row],[SUB]]="","","_"&amp;Table13[[#This Row],[SUB]]))</f>
        <v/>
      </c>
      <c r="S130" s="6"/>
      <c r="T130" s="4"/>
      <c r="U130" s="6"/>
      <c r="W130" s="16"/>
      <c r="X130" s="6"/>
      <c r="AA130" s="11" t="str">
        <f>IF(Table13[[#This Row],[template]]="","",VLOOKUP(Table13[[#This Row],[IP]],Table51117[],2,FALSE))</f>
        <v/>
      </c>
      <c r="AB130" s="13" t="str">
        <f>IF(Table13[[#This Row],[template]]="","",DEC2HEX(VLOOKUP(Table13[[#This Row],[D1-Type]],Table351218[],2,FALSE),1)&amp;DEC2HEX(VLOOKUP(Table13[[#This Row],[D2-Type]],Table31016[],2,FALSE),1)&amp; DEC2HEX(Table13[[#This Row],[D2-Offset]],2)&amp;DEC2HEX(VLOOKUP(Table13[[#This Row],[D3-Type]],Table371319[],2,FALSE),1))</f>
        <v/>
      </c>
      <c r="AC130" s="14" t="str">
        <f>IF(Table13[[#This Row],[template]]="","",HEX2DEC(Table13[[#This Row],[Addr_Hex]]))</f>
        <v/>
      </c>
    </row>
    <row r="131" spans="2:29" x14ac:dyDescent="0.3">
      <c r="B131" s="4">
        <v>184</v>
      </c>
      <c r="C131" s="4" t="s">
        <v>233</v>
      </c>
      <c r="D131" s="9" t="str">
        <f>UPPER(Table13[[#This Row],[SIGNAL]])</f>
        <v>SYS_BIST</v>
      </c>
      <c r="E131" s="9" t="str">
        <f>IF(Table13[[#This Row],[template]]="","","0x"&amp;Table13[[#This Row],[IP_Index]]&amp;DEC2HEX(Table13[[#This Row],[Addr_Dec]]*4,7))</f>
        <v>0x00000000</v>
      </c>
      <c r="F131" s="9" t="str">
        <f>IF(Table13[[#This Row],[template]]="","",VLOOKUP(Table13[[#This Row],[template]],Table2915[],2,FALSE))</f>
        <v>asynParamInt32</v>
      </c>
      <c r="G131" s="18" t="str">
        <f>IF(Table13[[#This Row],[template]]="","","1")</f>
        <v>1</v>
      </c>
      <c r="H131" s="10"/>
      <c r="I131" s="13" t="str">
        <f>IF(Table13[[#This Row],[template]]="","","0x"&amp;Table13[[#This Row],[D_Index]]&amp;"000")</f>
        <v>0x10000000</v>
      </c>
      <c r="J131" s="18"/>
      <c r="K131" s="10">
        <v>0</v>
      </c>
      <c r="L131" s="10"/>
      <c r="M131" s="11" t="str">
        <f>IF(Table13[[#This Row],[template]]="","",VLOOKUP(Table13[[#This Row],[template]],Table2915[],3,FALSE))</f>
        <v xml:space="preserve"> </v>
      </c>
      <c r="N131" s="10"/>
      <c r="O131" s="11"/>
      <c r="P131" s="9" t="str">
        <f>IF(Table13[[#This Row],[template]]="","",Table13[[#This Row],[IP]]&amp;"_"&amp;Table13[[#This Row],[PARAM_NAME]]&amp;IF(Table13[[#This Row],[SUB]]="","","_"&amp;Table13[[#This Row],[SUB]]))</f>
        <v>sys_bist</v>
      </c>
      <c r="Q131" s="1" t="s">
        <v>263</v>
      </c>
      <c r="R131" s="1" t="s">
        <v>416</v>
      </c>
      <c r="S131" s="6"/>
      <c r="T131" s="4">
        <v>0</v>
      </c>
      <c r="U131" s="6" t="s">
        <v>362</v>
      </c>
      <c r="V131" s="1" t="s">
        <v>310</v>
      </c>
      <c r="W131" s="16">
        <v>0</v>
      </c>
      <c r="X131" s="6" t="s">
        <v>363</v>
      </c>
      <c r="AA131" s="11">
        <f>IF(Table13[[#This Row],[template]]="","",VLOOKUP(Table13[[#This Row],[IP]],Table51117[],2,FALSE))</f>
        <v>0</v>
      </c>
      <c r="AB131" s="13" t="str">
        <f>IF(Table13[[#This Row],[template]]="","",DEC2HEX(VLOOKUP(Table13[[#This Row],[D1-Type]],Table351218[],2,FALSE),1)&amp;DEC2HEX(VLOOKUP(Table13[[#This Row],[D2-Type]],Table31016[],2,FALSE),1)&amp; DEC2HEX(Table13[[#This Row],[D2-Offset]],2)&amp;DEC2HEX(VLOOKUP(Table13[[#This Row],[D3-Type]],Table371319[],2,FALSE),1))</f>
        <v>10000</v>
      </c>
      <c r="AC131" s="14">
        <f>IF(Table13[[#This Row],[template]]="","",HEX2DEC(Table13[[#This Row],[Addr_Hex]]))</f>
        <v>0</v>
      </c>
    </row>
    <row r="132" spans="2:29" x14ac:dyDescent="0.3">
      <c r="B132" s="4">
        <v>185</v>
      </c>
      <c r="C132" s="4"/>
      <c r="D132" s="9" t="str">
        <f>UPPER(Table13[[#This Row],[SIGNAL]])</f>
        <v/>
      </c>
      <c r="E132" s="9" t="str">
        <f>IF(Table13[[#This Row],[template]]="","","0x"&amp;Table13[[#This Row],[IP_Index]]&amp;DEC2HEX(Table13[[#This Row],[Addr_Dec]]*4,7))</f>
        <v/>
      </c>
      <c r="F132" s="9" t="str">
        <f>IF(Table13[[#This Row],[template]]="","",VLOOKUP(Table13[[#This Row],[template]],Table2915[],2,FALSE))</f>
        <v/>
      </c>
      <c r="G132" s="18" t="str">
        <f>IF(Table13[[#This Row],[template]]="","","1")</f>
        <v/>
      </c>
      <c r="H132" s="10"/>
      <c r="I132" s="13" t="str">
        <f>IF(Table13[[#This Row],[template]]="","","0x"&amp;Table13[[#This Row],[D_Index]]&amp;"000")</f>
        <v/>
      </c>
      <c r="J132" s="18"/>
      <c r="K132" s="10"/>
      <c r="L132" s="10"/>
      <c r="M132" s="11" t="str">
        <f>IF(Table13[[#This Row],[template]]="","",VLOOKUP(Table13[[#This Row],[template]],Table2915[],3,FALSE))</f>
        <v/>
      </c>
      <c r="N132" s="10"/>
      <c r="O132" s="11"/>
      <c r="P132" s="9" t="str">
        <f>IF(Table13[[#This Row],[template]]="","",Table13[[#This Row],[IP]]&amp;"_"&amp;Table13[[#This Row],[PARAM_NAME]]&amp;IF(Table13[[#This Row],[SUB]]="","","_"&amp;Table13[[#This Row],[SUB]]))</f>
        <v/>
      </c>
      <c r="S132" s="6"/>
      <c r="T132" s="4"/>
      <c r="U132" s="6"/>
      <c r="W132" s="16"/>
      <c r="X132" s="6"/>
      <c r="AA132" s="11" t="str">
        <f>IF(Table13[[#This Row],[template]]="","",VLOOKUP(Table13[[#This Row],[IP]],Table51117[],2,FALSE))</f>
        <v/>
      </c>
      <c r="AB132" s="13" t="str">
        <f>IF(Table13[[#This Row],[template]]="","",DEC2HEX(VLOOKUP(Table13[[#This Row],[D1-Type]],Table351218[],2,FALSE),1)&amp;DEC2HEX(VLOOKUP(Table13[[#This Row],[D2-Type]],Table31016[],2,FALSE),1)&amp; DEC2HEX(Table13[[#This Row],[D2-Offset]],2)&amp;DEC2HEX(VLOOKUP(Table13[[#This Row],[D3-Type]],Table371319[],2,FALSE),1))</f>
        <v/>
      </c>
      <c r="AC132" s="14" t="str">
        <f>IF(Table13[[#This Row],[template]]="","",HEX2DEC(Table13[[#This Row],[Addr_Hex]]))</f>
        <v/>
      </c>
    </row>
    <row r="133" spans="2:29" x14ac:dyDescent="0.3">
      <c r="B133" s="13" t="s">
        <v>500</v>
      </c>
      <c r="C133" s="4" t="s">
        <v>233</v>
      </c>
      <c r="D133" s="9" t="str">
        <f>UPPER(Table13[[#This Row],[SIGNAL]])</f>
        <v>EV_PDPDELAY_0</v>
      </c>
      <c r="E133" s="9" t="str">
        <f>IF(Table13[[#This Row],[template]]="","","0x"&amp;Table13[[#This Row],[IP_Index]]&amp;DEC2HEX(Table13[[#This Row],[Addr_Dec]]*4,7))</f>
        <v>0x1000C400</v>
      </c>
      <c r="F133" s="9" t="str">
        <f>IF(Table13[[#This Row],[template]]="","",VLOOKUP(Table13[[#This Row],[template]],Table2915[],2,FALSE))</f>
        <v>asynParamInt32</v>
      </c>
      <c r="G133" s="18" t="str">
        <f>IF(Table13[[#This Row],[template]]="","","1")</f>
        <v>1</v>
      </c>
      <c r="H133" s="10"/>
      <c r="I133" s="13" t="str">
        <f>IF(Table13[[#This Row],[template]]="","","0x"&amp;Table13[[#This Row],[D_Index]]&amp;"000")</f>
        <v>0x01000000</v>
      </c>
      <c r="J133" s="18"/>
      <c r="K133" s="10">
        <v>0</v>
      </c>
      <c r="L133" s="10"/>
      <c r="M133" s="11" t="str">
        <f>IF(Table13[[#This Row],[template]]="","",VLOOKUP(Table13[[#This Row],[template]],Table2915[],3,FALSE))</f>
        <v xml:space="preserve"> </v>
      </c>
      <c r="N133" s="10"/>
      <c r="O133" s="11"/>
      <c r="P133" s="9" t="str">
        <f>IF(Table13[[#This Row],[template]]="","",Table13[[#This Row],[IP]]&amp;"_"&amp;Table13[[#This Row],[PARAM_NAME]]&amp;IF(Table13[[#This Row],[SUB]]="","","_"&amp;Table13[[#This Row],[SUB]]))</f>
        <v>ev_pdpDelay_0</v>
      </c>
      <c r="Q133" s="1" t="s">
        <v>262</v>
      </c>
      <c r="R133" s="1" t="s">
        <v>417</v>
      </c>
      <c r="S133" s="6" t="s">
        <v>367</v>
      </c>
      <c r="T133" s="20" t="str">
        <f>DEC2HEX(HEX2DEC(Table13[[#This Row],[Index]])/4+Table13[[#This Row],[SUB]],4)</f>
        <v>3100</v>
      </c>
      <c r="U133" s="6" t="s">
        <v>363</v>
      </c>
      <c r="V133" s="1" t="s">
        <v>254</v>
      </c>
      <c r="W133" s="16">
        <v>0</v>
      </c>
      <c r="X133" s="6" t="s">
        <v>363</v>
      </c>
      <c r="AA133" s="11">
        <f>IF(Table13[[#This Row],[template]]="","",VLOOKUP(Table13[[#This Row],[IP]],Table51117[],2,FALSE))</f>
        <v>1</v>
      </c>
      <c r="AB133" s="13" t="str">
        <f>IF(Table13[[#This Row],[template]]="","",DEC2HEX(VLOOKUP(Table13[[#This Row],[D1-Type]],Table351218[],2,FALSE),1)&amp;DEC2HEX(VLOOKUP(Table13[[#This Row],[D2-Type]],Table31016[],2,FALSE),1)&amp; DEC2HEX(Table13[[#This Row],[D2-Offset]],2)&amp;DEC2HEX(VLOOKUP(Table13[[#This Row],[D3-Type]],Table371319[],2,FALSE),1))</f>
        <v>01000</v>
      </c>
      <c r="AC133" s="14">
        <f>IF(Table13[[#This Row],[template]]="","",HEX2DEC(Table13[[#This Row],[Addr_Hex]]))</f>
        <v>12544</v>
      </c>
    </row>
    <row r="134" spans="2:29" x14ac:dyDescent="0.3">
      <c r="B134" s="13" t="s">
        <v>500</v>
      </c>
      <c r="C134" s="4" t="s">
        <v>233</v>
      </c>
      <c r="D134" s="9" t="str">
        <f>UPPER(Table13[[#This Row],[SIGNAL]])</f>
        <v>EV_PDPDELAY_1</v>
      </c>
      <c r="E134" s="9" t="str">
        <f>IF(Table13[[#This Row],[template]]="","","0x"&amp;Table13[[#This Row],[IP_Index]]&amp;DEC2HEX(Table13[[#This Row],[Addr_Dec]]*4,7))</f>
        <v>0x1000C404</v>
      </c>
      <c r="F134" s="9" t="str">
        <f>IF(Table13[[#This Row],[template]]="","",VLOOKUP(Table13[[#This Row],[template]],Table2915[],2,FALSE))</f>
        <v>asynParamInt32</v>
      </c>
      <c r="G134" s="18" t="str">
        <f>IF(Table13[[#This Row],[template]]="","","1")</f>
        <v>1</v>
      </c>
      <c r="H134" s="10"/>
      <c r="I134" s="13" t="str">
        <f>IF(Table13[[#This Row],[template]]="","","0x"&amp;Table13[[#This Row],[D_Index]]&amp;"000")</f>
        <v>0x01000000</v>
      </c>
      <c r="J134" s="18"/>
      <c r="K134" s="10">
        <v>0</v>
      </c>
      <c r="L134" s="10"/>
      <c r="M134" s="11" t="str">
        <f>IF(Table13[[#This Row],[template]]="","",VLOOKUP(Table13[[#This Row],[template]],Table2915[],3,FALSE))</f>
        <v xml:space="preserve"> </v>
      </c>
      <c r="N134" s="10"/>
      <c r="O134" s="11"/>
      <c r="P134" s="9" t="str">
        <f>IF(Table13[[#This Row],[template]]="","",Table13[[#This Row],[IP]]&amp;"_"&amp;Table13[[#This Row],[PARAM_NAME]]&amp;IF(Table13[[#This Row],[SUB]]="","","_"&amp;Table13[[#This Row],[SUB]]))</f>
        <v>ev_pdpDelay_1</v>
      </c>
      <c r="Q134" s="1" t="s">
        <v>262</v>
      </c>
      <c r="R134" s="1" t="s">
        <v>417</v>
      </c>
      <c r="S134" s="6" t="s">
        <v>271</v>
      </c>
      <c r="T134" s="20" t="str">
        <f>DEC2HEX(HEX2DEC(Table13[[#This Row],[Index]])/4+Table13[[#This Row],[SUB]],4)</f>
        <v>3101</v>
      </c>
      <c r="U134" s="6" t="s">
        <v>363</v>
      </c>
      <c r="V134" s="1" t="s">
        <v>254</v>
      </c>
      <c r="W134" s="16">
        <v>0</v>
      </c>
      <c r="X134" s="6" t="s">
        <v>363</v>
      </c>
      <c r="AA134" s="11">
        <f>IF(Table13[[#This Row],[template]]="","",VLOOKUP(Table13[[#This Row],[IP]],Table51117[],2,FALSE))</f>
        <v>1</v>
      </c>
      <c r="AB134" s="13" t="str">
        <f>IF(Table13[[#This Row],[template]]="","",DEC2HEX(VLOOKUP(Table13[[#This Row],[D1-Type]],Table351218[],2,FALSE),1)&amp;DEC2HEX(VLOOKUP(Table13[[#This Row],[D2-Type]],Table31016[],2,FALSE),1)&amp; DEC2HEX(Table13[[#This Row],[D2-Offset]],2)&amp;DEC2HEX(VLOOKUP(Table13[[#This Row],[D3-Type]],Table371319[],2,FALSE),1))</f>
        <v>01000</v>
      </c>
      <c r="AC134" s="14">
        <f>IF(Table13[[#This Row],[template]]="","",HEX2DEC(Table13[[#This Row],[Addr_Hex]]))</f>
        <v>12545</v>
      </c>
    </row>
    <row r="135" spans="2:29" x14ac:dyDescent="0.3">
      <c r="B135" s="13" t="s">
        <v>500</v>
      </c>
      <c r="C135" s="4" t="s">
        <v>233</v>
      </c>
      <c r="D135" s="9" t="str">
        <f>UPPER(Table13[[#This Row],[SIGNAL]])</f>
        <v>EV_PDPDELAY_2</v>
      </c>
      <c r="E135" s="9" t="str">
        <f>IF(Table13[[#This Row],[template]]="","","0x"&amp;Table13[[#This Row],[IP_Index]]&amp;DEC2HEX(Table13[[#This Row],[Addr_Dec]]*4,7))</f>
        <v>0x1000C408</v>
      </c>
      <c r="F135" s="9" t="str">
        <f>IF(Table13[[#This Row],[template]]="","",VLOOKUP(Table13[[#This Row],[template]],Table2915[],2,FALSE))</f>
        <v>asynParamInt32</v>
      </c>
      <c r="G135" s="18" t="str">
        <f>IF(Table13[[#This Row],[template]]="","","1")</f>
        <v>1</v>
      </c>
      <c r="H135" s="10"/>
      <c r="I135" s="13" t="str">
        <f>IF(Table13[[#This Row],[template]]="","","0x"&amp;Table13[[#This Row],[D_Index]]&amp;"000")</f>
        <v>0x01000000</v>
      </c>
      <c r="J135" s="18"/>
      <c r="K135" s="10">
        <v>0</v>
      </c>
      <c r="L135" s="10"/>
      <c r="M135" s="11" t="str">
        <f>IF(Table13[[#This Row],[template]]="","",VLOOKUP(Table13[[#This Row],[template]],Table2915[],3,FALSE))</f>
        <v xml:space="preserve"> </v>
      </c>
      <c r="N135" s="10"/>
      <c r="O135" s="11"/>
      <c r="P135" s="9" t="str">
        <f>IF(Table13[[#This Row],[template]]="","",Table13[[#This Row],[IP]]&amp;"_"&amp;Table13[[#This Row],[PARAM_NAME]]&amp;IF(Table13[[#This Row],[SUB]]="","","_"&amp;Table13[[#This Row],[SUB]]))</f>
        <v>ev_pdpDelay_2</v>
      </c>
      <c r="Q135" s="1" t="s">
        <v>262</v>
      </c>
      <c r="R135" s="1" t="s">
        <v>417</v>
      </c>
      <c r="S135" s="6" t="s">
        <v>243</v>
      </c>
      <c r="T135" s="20" t="str">
        <f>DEC2HEX(HEX2DEC(Table13[[#This Row],[Index]])/4+Table13[[#This Row],[SUB]],4)</f>
        <v>3102</v>
      </c>
      <c r="U135" s="6" t="s">
        <v>363</v>
      </c>
      <c r="V135" s="1" t="s">
        <v>254</v>
      </c>
      <c r="W135" s="16">
        <v>0</v>
      </c>
      <c r="X135" s="6" t="s">
        <v>363</v>
      </c>
      <c r="AA135" s="11">
        <f>IF(Table13[[#This Row],[template]]="","",VLOOKUP(Table13[[#This Row],[IP]],Table51117[],2,FALSE))</f>
        <v>1</v>
      </c>
      <c r="AB135" s="13" t="str">
        <f>IF(Table13[[#This Row],[template]]="","",DEC2HEX(VLOOKUP(Table13[[#This Row],[D1-Type]],Table351218[],2,FALSE),1)&amp;DEC2HEX(VLOOKUP(Table13[[#This Row],[D2-Type]],Table31016[],2,FALSE),1)&amp; DEC2HEX(Table13[[#This Row],[D2-Offset]],2)&amp;DEC2HEX(VLOOKUP(Table13[[#This Row],[D3-Type]],Table371319[],2,FALSE),1))</f>
        <v>01000</v>
      </c>
      <c r="AC135" s="14">
        <f>IF(Table13[[#This Row],[template]]="","",HEX2DEC(Table13[[#This Row],[Addr_Hex]]))</f>
        <v>12546</v>
      </c>
    </row>
    <row r="136" spans="2:29" x14ac:dyDescent="0.3">
      <c r="B136" s="13" t="s">
        <v>500</v>
      </c>
      <c r="C136" s="4" t="s">
        <v>233</v>
      </c>
      <c r="D136" s="9" t="str">
        <f>UPPER(Table13[[#This Row],[SIGNAL]])</f>
        <v>EV_PDPDELAY_3</v>
      </c>
      <c r="E136" s="9" t="str">
        <f>IF(Table13[[#This Row],[template]]="","","0x"&amp;Table13[[#This Row],[IP_Index]]&amp;DEC2HEX(Table13[[#This Row],[Addr_Dec]]*4,7))</f>
        <v>0x1000C40C</v>
      </c>
      <c r="F136" s="9" t="str">
        <f>IF(Table13[[#This Row],[template]]="","",VLOOKUP(Table13[[#This Row],[template]],Table2915[],2,FALSE))</f>
        <v>asynParamInt32</v>
      </c>
      <c r="G136" s="18" t="str">
        <f>IF(Table13[[#This Row],[template]]="","","1")</f>
        <v>1</v>
      </c>
      <c r="H136" s="10"/>
      <c r="I136" s="13" t="str">
        <f>IF(Table13[[#This Row],[template]]="","","0x"&amp;Table13[[#This Row],[D_Index]]&amp;"000")</f>
        <v>0x01000000</v>
      </c>
      <c r="J136" s="18"/>
      <c r="K136" s="10">
        <v>0</v>
      </c>
      <c r="L136" s="10"/>
      <c r="M136" s="11" t="str">
        <f>IF(Table13[[#This Row],[template]]="","",VLOOKUP(Table13[[#This Row],[template]],Table2915[],3,FALSE))</f>
        <v xml:space="preserve"> </v>
      </c>
      <c r="N136" s="10"/>
      <c r="O136" s="11"/>
      <c r="P136" s="9" t="str">
        <f>IF(Table13[[#This Row],[template]]="","",Table13[[#This Row],[IP]]&amp;"_"&amp;Table13[[#This Row],[PARAM_NAME]]&amp;IF(Table13[[#This Row],[SUB]]="","","_"&amp;Table13[[#This Row],[SUB]]))</f>
        <v>ev_pdpDelay_3</v>
      </c>
      <c r="Q136" s="1" t="s">
        <v>262</v>
      </c>
      <c r="R136" s="1" t="s">
        <v>417</v>
      </c>
      <c r="S136" s="6" t="s">
        <v>244</v>
      </c>
      <c r="T136" s="20" t="str">
        <f>DEC2HEX(HEX2DEC(Table13[[#This Row],[Index]])/4+Table13[[#This Row],[SUB]],4)</f>
        <v>3103</v>
      </c>
      <c r="U136" s="6" t="s">
        <v>363</v>
      </c>
      <c r="V136" s="1" t="s">
        <v>254</v>
      </c>
      <c r="W136" s="16">
        <v>0</v>
      </c>
      <c r="X136" s="6" t="s">
        <v>363</v>
      </c>
      <c r="AA136" s="11">
        <f>IF(Table13[[#This Row],[template]]="","",VLOOKUP(Table13[[#This Row],[IP]],Table51117[],2,FALSE))</f>
        <v>1</v>
      </c>
      <c r="AB136" s="13" t="str">
        <f>IF(Table13[[#This Row],[template]]="","",DEC2HEX(VLOOKUP(Table13[[#This Row],[D1-Type]],Table351218[],2,FALSE),1)&amp;DEC2HEX(VLOOKUP(Table13[[#This Row],[D2-Type]],Table31016[],2,FALSE),1)&amp; DEC2HEX(Table13[[#This Row],[D2-Offset]],2)&amp;DEC2HEX(VLOOKUP(Table13[[#This Row],[D3-Type]],Table371319[],2,FALSE),1))</f>
        <v>01000</v>
      </c>
      <c r="AC136" s="14">
        <f>IF(Table13[[#This Row],[template]]="","",HEX2DEC(Table13[[#This Row],[Addr_Hex]]))</f>
        <v>12547</v>
      </c>
    </row>
    <row r="137" spans="2:29" x14ac:dyDescent="0.3">
      <c r="B137" s="13" t="s">
        <v>500</v>
      </c>
      <c r="C137" s="4" t="s">
        <v>233</v>
      </c>
      <c r="D137" s="9" t="str">
        <f>UPPER(Table13[[#This Row],[SIGNAL]])</f>
        <v>EV_PDPDELAY_4</v>
      </c>
      <c r="E137" s="9" t="str">
        <f>IF(Table13[[#This Row],[template]]="","","0x"&amp;Table13[[#This Row],[IP_Index]]&amp;DEC2HEX(Table13[[#This Row],[Addr_Dec]]*4,7))</f>
        <v>0x1000C410</v>
      </c>
      <c r="F137" s="9" t="str">
        <f>IF(Table13[[#This Row],[template]]="","",VLOOKUP(Table13[[#This Row],[template]],Table2915[],2,FALSE))</f>
        <v>asynParamInt32</v>
      </c>
      <c r="G137" s="18" t="str">
        <f>IF(Table13[[#This Row],[template]]="","","1")</f>
        <v>1</v>
      </c>
      <c r="H137" s="10"/>
      <c r="I137" s="13" t="str">
        <f>IF(Table13[[#This Row],[template]]="","","0x"&amp;Table13[[#This Row],[D_Index]]&amp;"000")</f>
        <v>0x01000000</v>
      </c>
      <c r="J137" s="18"/>
      <c r="K137" s="10">
        <v>0</v>
      </c>
      <c r="L137" s="10"/>
      <c r="M137" s="11" t="str">
        <f>IF(Table13[[#This Row],[template]]="","",VLOOKUP(Table13[[#This Row],[template]],Table2915[],3,FALSE))</f>
        <v xml:space="preserve"> </v>
      </c>
      <c r="N137" s="10"/>
      <c r="O137" s="11"/>
      <c r="P137" s="9" t="str">
        <f>IF(Table13[[#This Row],[template]]="","",Table13[[#This Row],[IP]]&amp;"_"&amp;Table13[[#This Row],[PARAM_NAME]]&amp;IF(Table13[[#This Row],[SUB]]="","","_"&amp;Table13[[#This Row],[SUB]]))</f>
        <v>ev_pdpDelay_4</v>
      </c>
      <c r="Q137" s="1" t="s">
        <v>262</v>
      </c>
      <c r="R137" s="1" t="s">
        <v>417</v>
      </c>
      <c r="S137" s="6" t="s">
        <v>245</v>
      </c>
      <c r="T137" s="20" t="str">
        <f>DEC2HEX(HEX2DEC(Table13[[#This Row],[Index]])/4+Table13[[#This Row],[SUB]],4)</f>
        <v>3104</v>
      </c>
      <c r="U137" s="6" t="s">
        <v>363</v>
      </c>
      <c r="V137" s="1" t="s">
        <v>254</v>
      </c>
      <c r="W137" s="16">
        <v>0</v>
      </c>
      <c r="X137" s="6" t="s">
        <v>363</v>
      </c>
      <c r="AA137" s="11">
        <f>IF(Table13[[#This Row],[template]]="","",VLOOKUP(Table13[[#This Row],[IP]],Table51117[],2,FALSE))</f>
        <v>1</v>
      </c>
      <c r="AB137" s="13" t="str">
        <f>IF(Table13[[#This Row],[template]]="","",DEC2HEX(VLOOKUP(Table13[[#This Row],[D1-Type]],Table351218[],2,FALSE),1)&amp;DEC2HEX(VLOOKUP(Table13[[#This Row],[D2-Type]],Table31016[],2,FALSE),1)&amp; DEC2HEX(Table13[[#This Row],[D2-Offset]],2)&amp;DEC2HEX(VLOOKUP(Table13[[#This Row],[D3-Type]],Table371319[],2,FALSE),1))</f>
        <v>01000</v>
      </c>
      <c r="AC137" s="14">
        <f>IF(Table13[[#This Row],[template]]="","",HEX2DEC(Table13[[#This Row],[Addr_Hex]]))</f>
        <v>12548</v>
      </c>
    </row>
    <row r="138" spans="2:29" x14ac:dyDescent="0.3">
      <c r="B138" s="13" t="s">
        <v>500</v>
      </c>
      <c r="C138" s="4" t="s">
        <v>233</v>
      </c>
      <c r="D138" s="9" t="str">
        <f>UPPER(Table13[[#This Row],[SIGNAL]])</f>
        <v>EV_PDPDELAY_5</v>
      </c>
      <c r="E138" s="9" t="str">
        <f>IF(Table13[[#This Row],[template]]="","","0x"&amp;Table13[[#This Row],[IP_Index]]&amp;DEC2HEX(Table13[[#This Row],[Addr_Dec]]*4,7))</f>
        <v>0x1000C414</v>
      </c>
      <c r="F138" s="9" t="str">
        <f>IF(Table13[[#This Row],[template]]="","",VLOOKUP(Table13[[#This Row],[template]],Table2915[],2,FALSE))</f>
        <v>asynParamInt32</v>
      </c>
      <c r="G138" s="18" t="str">
        <f>IF(Table13[[#This Row],[template]]="","","1")</f>
        <v>1</v>
      </c>
      <c r="H138" s="10"/>
      <c r="I138" s="13" t="str">
        <f>IF(Table13[[#This Row],[template]]="","","0x"&amp;Table13[[#This Row],[D_Index]]&amp;"000")</f>
        <v>0x01000000</v>
      </c>
      <c r="J138" s="18"/>
      <c r="K138" s="10">
        <v>0</v>
      </c>
      <c r="L138" s="10"/>
      <c r="M138" s="11" t="str">
        <f>IF(Table13[[#This Row],[template]]="","",VLOOKUP(Table13[[#This Row],[template]],Table2915[],3,FALSE))</f>
        <v xml:space="preserve"> </v>
      </c>
      <c r="N138" s="10"/>
      <c r="O138" s="11"/>
      <c r="P138" s="9" t="str">
        <f>IF(Table13[[#This Row],[template]]="","",Table13[[#This Row],[IP]]&amp;"_"&amp;Table13[[#This Row],[PARAM_NAME]]&amp;IF(Table13[[#This Row],[SUB]]="","","_"&amp;Table13[[#This Row],[SUB]]))</f>
        <v>ev_pdpDelay_5</v>
      </c>
      <c r="Q138" s="1" t="s">
        <v>262</v>
      </c>
      <c r="R138" s="1" t="s">
        <v>417</v>
      </c>
      <c r="S138" s="6" t="s">
        <v>246</v>
      </c>
      <c r="T138" s="20" t="str">
        <f>DEC2HEX(HEX2DEC(Table13[[#This Row],[Index]])/4+Table13[[#This Row],[SUB]],4)</f>
        <v>3105</v>
      </c>
      <c r="U138" s="6" t="s">
        <v>363</v>
      </c>
      <c r="V138" s="1" t="s">
        <v>254</v>
      </c>
      <c r="W138" s="16">
        <v>0</v>
      </c>
      <c r="X138" s="6" t="s">
        <v>363</v>
      </c>
      <c r="AA138" s="11">
        <f>IF(Table13[[#This Row],[template]]="","",VLOOKUP(Table13[[#This Row],[IP]],Table51117[],2,FALSE))</f>
        <v>1</v>
      </c>
      <c r="AB138" s="13" t="str">
        <f>IF(Table13[[#This Row],[template]]="","",DEC2HEX(VLOOKUP(Table13[[#This Row],[D1-Type]],Table351218[],2,FALSE),1)&amp;DEC2HEX(VLOOKUP(Table13[[#This Row],[D2-Type]],Table31016[],2,FALSE),1)&amp; DEC2HEX(Table13[[#This Row],[D2-Offset]],2)&amp;DEC2HEX(VLOOKUP(Table13[[#This Row],[D3-Type]],Table371319[],2,FALSE),1))</f>
        <v>01000</v>
      </c>
      <c r="AC138" s="14">
        <f>IF(Table13[[#This Row],[template]]="","",HEX2DEC(Table13[[#This Row],[Addr_Hex]]))</f>
        <v>12549</v>
      </c>
    </row>
    <row r="139" spans="2:29" x14ac:dyDescent="0.3">
      <c r="B139" s="13" t="s">
        <v>500</v>
      </c>
      <c r="C139" s="4" t="s">
        <v>233</v>
      </c>
      <c r="D139" s="9" t="str">
        <f>UPPER(Table13[[#This Row],[SIGNAL]])</f>
        <v>EV_PDPDELAY_6</v>
      </c>
      <c r="E139" s="9" t="str">
        <f>IF(Table13[[#This Row],[template]]="","","0x"&amp;Table13[[#This Row],[IP_Index]]&amp;DEC2HEX(Table13[[#This Row],[Addr_Dec]]*4,7))</f>
        <v>0x1000C418</v>
      </c>
      <c r="F139" s="9" t="str">
        <f>IF(Table13[[#This Row],[template]]="","",VLOOKUP(Table13[[#This Row],[template]],Table2915[],2,FALSE))</f>
        <v>asynParamInt32</v>
      </c>
      <c r="G139" s="18" t="str">
        <f>IF(Table13[[#This Row],[template]]="","","1")</f>
        <v>1</v>
      </c>
      <c r="H139" s="10"/>
      <c r="I139" s="13" t="str">
        <f>IF(Table13[[#This Row],[template]]="","","0x"&amp;Table13[[#This Row],[D_Index]]&amp;"000")</f>
        <v>0x01000000</v>
      </c>
      <c r="J139" s="18"/>
      <c r="K139" s="10">
        <v>0</v>
      </c>
      <c r="L139" s="10"/>
      <c r="M139" s="11" t="str">
        <f>IF(Table13[[#This Row],[template]]="","",VLOOKUP(Table13[[#This Row],[template]],Table2915[],3,FALSE))</f>
        <v xml:space="preserve"> </v>
      </c>
      <c r="N139" s="10"/>
      <c r="O139" s="11"/>
      <c r="P139" s="9" t="str">
        <f>IF(Table13[[#This Row],[template]]="","",Table13[[#This Row],[IP]]&amp;"_"&amp;Table13[[#This Row],[PARAM_NAME]]&amp;IF(Table13[[#This Row],[SUB]]="","","_"&amp;Table13[[#This Row],[SUB]]))</f>
        <v>ev_pdpDelay_6</v>
      </c>
      <c r="Q139" s="1" t="s">
        <v>262</v>
      </c>
      <c r="R139" s="1" t="s">
        <v>417</v>
      </c>
      <c r="S139" s="6" t="s">
        <v>247</v>
      </c>
      <c r="T139" s="20" t="str">
        <f>DEC2HEX(HEX2DEC(Table13[[#This Row],[Index]])/4+Table13[[#This Row],[SUB]],4)</f>
        <v>3106</v>
      </c>
      <c r="U139" s="6" t="s">
        <v>363</v>
      </c>
      <c r="V139" s="1" t="s">
        <v>254</v>
      </c>
      <c r="W139" s="16">
        <v>0</v>
      </c>
      <c r="X139" s="6" t="s">
        <v>363</v>
      </c>
      <c r="AA139" s="11">
        <f>IF(Table13[[#This Row],[template]]="","",VLOOKUP(Table13[[#This Row],[IP]],Table51117[],2,FALSE))</f>
        <v>1</v>
      </c>
      <c r="AB139" s="13" t="str">
        <f>IF(Table13[[#This Row],[template]]="","",DEC2HEX(VLOOKUP(Table13[[#This Row],[D1-Type]],Table351218[],2,FALSE),1)&amp;DEC2HEX(VLOOKUP(Table13[[#This Row],[D2-Type]],Table31016[],2,FALSE),1)&amp; DEC2HEX(Table13[[#This Row],[D2-Offset]],2)&amp;DEC2HEX(VLOOKUP(Table13[[#This Row],[D3-Type]],Table371319[],2,FALSE),1))</f>
        <v>01000</v>
      </c>
      <c r="AC139" s="14">
        <f>IF(Table13[[#This Row],[template]]="","",HEX2DEC(Table13[[#This Row],[Addr_Hex]]))</f>
        <v>12550</v>
      </c>
    </row>
    <row r="140" spans="2:29" x14ac:dyDescent="0.3">
      <c r="B140" s="13" t="s">
        <v>500</v>
      </c>
      <c r="C140" s="4" t="s">
        <v>233</v>
      </c>
      <c r="D140" s="9" t="str">
        <f>UPPER(Table13[[#This Row],[SIGNAL]])</f>
        <v>EV_PDPDELAY_7</v>
      </c>
      <c r="E140" s="9" t="str">
        <f>IF(Table13[[#This Row],[template]]="","","0x"&amp;Table13[[#This Row],[IP_Index]]&amp;DEC2HEX(Table13[[#This Row],[Addr_Dec]]*4,7))</f>
        <v>0x1000C41C</v>
      </c>
      <c r="F140" s="9" t="str">
        <f>IF(Table13[[#This Row],[template]]="","",VLOOKUP(Table13[[#This Row],[template]],Table2915[],2,FALSE))</f>
        <v>asynParamInt32</v>
      </c>
      <c r="G140" s="18" t="str">
        <f>IF(Table13[[#This Row],[template]]="","","1")</f>
        <v>1</v>
      </c>
      <c r="H140" s="10"/>
      <c r="I140" s="13" t="str">
        <f>IF(Table13[[#This Row],[template]]="","","0x"&amp;Table13[[#This Row],[D_Index]]&amp;"000")</f>
        <v>0x01000000</v>
      </c>
      <c r="J140" s="18"/>
      <c r="K140" s="10">
        <v>0</v>
      </c>
      <c r="L140" s="10"/>
      <c r="M140" s="11" t="str">
        <f>IF(Table13[[#This Row],[template]]="","",VLOOKUP(Table13[[#This Row],[template]],Table2915[],3,FALSE))</f>
        <v xml:space="preserve"> </v>
      </c>
      <c r="N140" s="10"/>
      <c r="O140" s="11"/>
      <c r="P140" s="9" t="str">
        <f>IF(Table13[[#This Row],[template]]="","",Table13[[#This Row],[IP]]&amp;"_"&amp;Table13[[#This Row],[PARAM_NAME]]&amp;IF(Table13[[#This Row],[SUB]]="","","_"&amp;Table13[[#This Row],[SUB]]))</f>
        <v>ev_pdpDelay_7</v>
      </c>
      <c r="Q140" s="1" t="s">
        <v>262</v>
      </c>
      <c r="R140" s="1" t="s">
        <v>417</v>
      </c>
      <c r="S140" s="6" t="s">
        <v>248</v>
      </c>
      <c r="T140" s="20" t="str">
        <f>DEC2HEX(HEX2DEC(Table13[[#This Row],[Index]])/4+Table13[[#This Row],[SUB]],4)</f>
        <v>3107</v>
      </c>
      <c r="U140" s="6" t="s">
        <v>363</v>
      </c>
      <c r="V140" s="1" t="s">
        <v>254</v>
      </c>
      <c r="W140" s="16">
        <v>0</v>
      </c>
      <c r="X140" s="6" t="s">
        <v>363</v>
      </c>
      <c r="AA140" s="11">
        <f>IF(Table13[[#This Row],[template]]="","",VLOOKUP(Table13[[#This Row],[IP]],Table51117[],2,FALSE))</f>
        <v>1</v>
      </c>
      <c r="AB140" s="13" t="str">
        <f>IF(Table13[[#This Row],[template]]="","",DEC2HEX(VLOOKUP(Table13[[#This Row],[D1-Type]],Table351218[],2,FALSE),1)&amp;DEC2HEX(VLOOKUP(Table13[[#This Row],[D2-Type]],Table31016[],2,FALSE),1)&amp; DEC2HEX(Table13[[#This Row],[D2-Offset]],2)&amp;DEC2HEX(VLOOKUP(Table13[[#This Row],[D3-Type]],Table371319[],2,FALSE),1))</f>
        <v>01000</v>
      </c>
      <c r="AC140" s="14">
        <f>IF(Table13[[#This Row],[template]]="","",HEX2DEC(Table13[[#This Row],[Addr_Hex]]))</f>
        <v>12551</v>
      </c>
    </row>
    <row r="141" spans="2:29" x14ac:dyDescent="0.3">
      <c r="B141" s="13" t="s">
        <v>500</v>
      </c>
      <c r="C141" s="4" t="s">
        <v>233</v>
      </c>
      <c r="D141" s="9" t="str">
        <f>UPPER(Table13[[#This Row],[SIGNAL]])</f>
        <v>EV_PDPDELAY_8</v>
      </c>
      <c r="E141" s="9" t="str">
        <f>IF(Table13[[#This Row],[template]]="","","0x"&amp;Table13[[#This Row],[IP_Index]]&amp;DEC2HEX(Table13[[#This Row],[Addr_Dec]]*4,7))</f>
        <v>0x1000C420</v>
      </c>
      <c r="F141" s="9" t="str">
        <f>IF(Table13[[#This Row],[template]]="","",VLOOKUP(Table13[[#This Row],[template]],Table2915[],2,FALSE))</f>
        <v>asynParamInt32</v>
      </c>
      <c r="G141" s="18" t="str">
        <f>IF(Table13[[#This Row],[template]]="","","1")</f>
        <v>1</v>
      </c>
      <c r="H141" s="10"/>
      <c r="I141" s="13" t="str">
        <f>IF(Table13[[#This Row],[template]]="","","0x"&amp;Table13[[#This Row],[D_Index]]&amp;"000")</f>
        <v>0x01000000</v>
      </c>
      <c r="J141" s="18"/>
      <c r="K141" s="10">
        <v>0</v>
      </c>
      <c r="L141" s="10"/>
      <c r="M141" s="11" t="str">
        <f>IF(Table13[[#This Row],[template]]="","",VLOOKUP(Table13[[#This Row],[template]],Table2915[],3,FALSE))</f>
        <v xml:space="preserve"> </v>
      </c>
      <c r="N141" s="10"/>
      <c r="O141" s="11"/>
      <c r="P141" s="9" t="str">
        <f>IF(Table13[[#This Row],[template]]="","",Table13[[#This Row],[IP]]&amp;"_"&amp;Table13[[#This Row],[PARAM_NAME]]&amp;IF(Table13[[#This Row],[SUB]]="","","_"&amp;Table13[[#This Row],[SUB]]))</f>
        <v>ev_pdpDelay_8</v>
      </c>
      <c r="Q141" s="1" t="s">
        <v>262</v>
      </c>
      <c r="R141" s="1" t="s">
        <v>417</v>
      </c>
      <c r="S141" s="6" t="s">
        <v>249</v>
      </c>
      <c r="T141" s="20" t="str">
        <f>DEC2HEX(HEX2DEC(Table13[[#This Row],[Index]])/4+Table13[[#This Row],[SUB]],4)</f>
        <v>3108</v>
      </c>
      <c r="U141" s="6" t="s">
        <v>363</v>
      </c>
      <c r="V141" s="1" t="s">
        <v>254</v>
      </c>
      <c r="W141" s="16">
        <v>0</v>
      </c>
      <c r="X141" s="6" t="s">
        <v>363</v>
      </c>
      <c r="AA141" s="11">
        <f>IF(Table13[[#This Row],[template]]="","",VLOOKUP(Table13[[#This Row],[IP]],Table51117[],2,FALSE))</f>
        <v>1</v>
      </c>
      <c r="AB141" s="13" t="str">
        <f>IF(Table13[[#This Row],[template]]="","",DEC2HEX(VLOOKUP(Table13[[#This Row],[D1-Type]],Table351218[],2,FALSE),1)&amp;DEC2HEX(VLOOKUP(Table13[[#This Row],[D2-Type]],Table31016[],2,FALSE),1)&amp; DEC2HEX(Table13[[#This Row],[D2-Offset]],2)&amp;DEC2HEX(VLOOKUP(Table13[[#This Row],[D3-Type]],Table371319[],2,FALSE),1))</f>
        <v>01000</v>
      </c>
      <c r="AC141" s="14">
        <f>IF(Table13[[#This Row],[template]]="","",HEX2DEC(Table13[[#This Row],[Addr_Hex]]))</f>
        <v>12552</v>
      </c>
    </row>
    <row r="142" spans="2:29" x14ac:dyDescent="0.3">
      <c r="B142" s="13" t="s">
        <v>500</v>
      </c>
      <c r="C142" s="4" t="s">
        <v>233</v>
      </c>
      <c r="D142" s="9" t="str">
        <f>UPPER(Table13[[#This Row],[SIGNAL]])</f>
        <v>EV_PDPDELAY_9</v>
      </c>
      <c r="E142" s="9" t="str">
        <f>IF(Table13[[#This Row],[template]]="","","0x"&amp;Table13[[#This Row],[IP_Index]]&amp;DEC2HEX(Table13[[#This Row],[Addr_Dec]]*4,7))</f>
        <v>0x1000C424</v>
      </c>
      <c r="F142" s="9" t="str">
        <f>IF(Table13[[#This Row],[template]]="","",VLOOKUP(Table13[[#This Row],[template]],Table2915[],2,FALSE))</f>
        <v>asynParamInt32</v>
      </c>
      <c r="G142" s="18" t="str">
        <f>IF(Table13[[#This Row],[template]]="","","1")</f>
        <v>1</v>
      </c>
      <c r="H142" s="10"/>
      <c r="I142" s="13" t="str">
        <f>IF(Table13[[#This Row],[template]]="","","0x"&amp;Table13[[#This Row],[D_Index]]&amp;"000")</f>
        <v>0x01000000</v>
      </c>
      <c r="J142" s="18"/>
      <c r="K142" s="10">
        <v>0</v>
      </c>
      <c r="L142" s="10"/>
      <c r="M142" s="11" t="str">
        <f>IF(Table13[[#This Row],[template]]="","",VLOOKUP(Table13[[#This Row],[template]],Table2915[],3,FALSE))</f>
        <v xml:space="preserve"> </v>
      </c>
      <c r="N142" s="10"/>
      <c r="O142" s="11"/>
      <c r="P142" s="9" t="str">
        <f>IF(Table13[[#This Row],[template]]="","",Table13[[#This Row],[IP]]&amp;"_"&amp;Table13[[#This Row],[PARAM_NAME]]&amp;IF(Table13[[#This Row],[SUB]]="","","_"&amp;Table13[[#This Row],[SUB]]))</f>
        <v>ev_pdpDelay_9</v>
      </c>
      <c r="Q142" s="1" t="s">
        <v>262</v>
      </c>
      <c r="R142" s="1" t="s">
        <v>417</v>
      </c>
      <c r="S142" s="6" t="s">
        <v>250</v>
      </c>
      <c r="T142" s="20" t="str">
        <f>DEC2HEX(HEX2DEC(Table13[[#This Row],[Index]])/4+Table13[[#This Row],[SUB]],4)</f>
        <v>3109</v>
      </c>
      <c r="U142" s="6" t="s">
        <v>363</v>
      </c>
      <c r="V142" s="1" t="s">
        <v>254</v>
      </c>
      <c r="W142" s="16">
        <v>0</v>
      </c>
      <c r="X142" s="6" t="s">
        <v>363</v>
      </c>
      <c r="AA142" s="11">
        <f>IF(Table13[[#This Row],[template]]="","",VLOOKUP(Table13[[#This Row],[IP]],Table51117[],2,FALSE))</f>
        <v>1</v>
      </c>
      <c r="AB142" s="13" t="str">
        <f>IF(Table13[[#This Row],[template]]="","",DEC2HEX(VLOOKUP(Table13[[#This Row],[D1-Type]],Table351218[],2,FALSE),1)&amp;DEC2HEX(VLOOKUP(Table13[[#This Row],[D2-Type]],Table31016[],2,FALSE),1)&amp; DEC2HEX(Table13[[#This Row],[D2-Offset]],2)&amp;DEC2HEX(VLOOKUP(Table13[[#This Row],[D3-Type]],Table371319[],2,FALSE),1))</f>
        <v>01000</v>
      </c>
      <c r="AC142" s="14">
        <f>IF(Table13[[#This Row],[template]]="","",HEX2DEC(Table13[[#This Row],[Addr_Hex]]))</f>
        <v>12553</v>
      </c>
    </row>
    <row r="143" spans="2:29" x14ac:dyDescent="0.3">
      <c r="B143" s="13" t="s">
        <v>500</v>
      </c>
      <c r="C143" s="4" t="s">
        <v>233</v>
      </c>
      <c r="D143" s="9" t="str">
        <f>UPPER(Table13[[#This Row],[SIGNAL]])</f>
        <v>EV_PDPDELAY_10</v>
      </c>
      <c r="E143" s="9" t="str">
        <f>IF(Table13[[#This Row],[template]]="","","0x"&amp;Table13[[#This Row],[IP_Index]]&amp;DEC2HEX(Table13[[#This Row],[Addr_Dec]]*4,7))</f>
        <v>0x1000C428</v>
      </c>
      <c r="F143" s="9" t="str">
        <f>IF(Table13[[#This Row],[template]]="","",VLOOKUP(Table13[[#This Row],[template]],Table2915[],2,FALSE))</f>
        <v>asynParamInt32</v>
      </c>
      <c r="G143" s="18" t="str">
        <f>IF(Table13[[#This Row],[template]]="","","1")</f>
        <v>1</v>
      </c>
      <c r="H143" s="10"/>
      <c r="I143" s="13" t="str">
        <f>IF(Table13[[#This Row],[template]]="","","0x"&amp;Table13[[#This Row],[D_Index]]&amp;"000")</f>
        <v>0x01000000</v>
      </c>
      <c r="J143" s="18"/>
      <c r="K143" s="10">
        <v>0</v>
      </c>
      <c r="L143" s="10"/>
      <c r="M143" s="11" t="str">
        <f>IF(Table13[[#This Row],[template]]="","",VLOOKUP(Table13[[#This Row],[template]],Table2915[],3,FALSE))</f>
        <v xml:space="preserve"> </v>
      </c>
      <c r="N143" s="10"/>
      <c r="O143" s="11"/>
      <c r="P143" s="9" t="str">
        <f>IF(Table13[[#This Row],[template]]="","",Table13[[#This Row],[IP]]&amp;"_"&amp;Table13[[#This Row],[PARAM_NAME]]&amp;IF(Table13[[#This Row],[SUB]]="","","_"&amp;Table13[[#This Row],[SUB]]))</f>
        <v>ev_pdpDelay_10</v>
      </c>
      <c r="Q143" s="1" t="s">
        <v>262</v>
      </c>
      <c r="R143" s="1" t="s">
        <v>417</v>
      </c>
      <c r="S143" s="6" t="s">
        <v>273</v>
      </c>
      <c r="T143" s="20" t="str">
        <f>DEC2HEX(HEX2DEC(Table13[[#This Row],[Index]])/4+Table13[[#This Row],[SUB]],4)</f>
        <v>310A</v>
      </c>
      <c r="U143" s="6" t="s">
        <v>363</v>
      </c>
      <c r="V143" s="1" t="s">
        <v>254</v>
      </c>
      <c r="W143" s="16">
        <v>0</v>
      </c>
      <c r="X143" s="6" t="s">
        <v>363</v>
      </c>
      <c r="AA143" s="11">
        <f>IF(Table13[[#This Row],[template]]="","",VLOOKUP(Table13[[#This Row],[IP]],Table51117[],2,FALSE))</f>
        <v>1</v>
      </c>
      <c r="AB143" s="13" t="str">
        <f>IF(Table13[[#This Row],[template]]="","",DEC2HEX(VLOOKUP(Table13[[#This Row],[D1-Type]],Table351218[],2,FALSE),1)&amp;DEC2HEX(VLOOKUP(Table13[[#This Row],[D2-Type]],Table31016[],2,FALSE),1)&amp; DEC2HEX(Table13[[#This Row],[D2-Offset]],2)&amp;DEC2HEX(VLOOKUP(Table13[[#This Row],[D3-Type]],Table371319[],2,FALSE),1))</f>
        <v>01000</v>
      </c>
      <c r="AC143" s="14">
        <f>IF(Table13[[#This Row],[template]]="","",HEX2DEC(Table13[[#This Row],[Addr_Hex]]))</f>
        <v>12554</v>
      </c>
    </row>
    <row r="144" spans="2:29" x14ac:dyDescent="0.3">
      <c r="B144" s="13" t="s">
        <v>500</v>
      </c>
      <c r="C144" s="4" t="s">
        <v>233</v>
      </c>
      <c r="D144" s="9" t="str">
        <f>UPPER(Table13[[#This Row],[SIGNAL]])</f>
        <v>EV_PDPDELAY_11</v>
      </c>
      <c r="E144" s="9" t="str">
        <f>IF(Table13[[#This Row],[template]]="","","0x"&amp;Table13[[#This Row],[IP_Index]]&amp;DEC2HEX(Table13[[#This Row],[Addr_Dec]]*4,7))</f>
        <v>0x1000C42C</v>
      </c>
      <c r="F144" s="9" t="str">
        <f>IF(Table13[[#This Row],[template]]="","",VLOOKUP(Table13[[#This Row],[template]],Table2915[],2,FALSE))</f>
        <v>asynParamInt32</v>
      </c>
      <c r="G144" s="18" t="str">
        <f>IF(Table13[[#This Row],[template]]="","","1")</f>
        <v>1</v>
      </c>
      <c r="H144" s="10"/>
      <c r="I144" s="13" t="str">
        <f>IF(Table13[[#This Row],[template]]="","","0x"&amp;Table13[[#This Row],[D_Index]]&amp;"000")</f>
        <v>0x01000000</v>
      </c>
      <c r="J144" s="18"/>
      <c r="K144" s="10">
        <v>0</v>
      </c>
      <c r="L144" s="10"/>
      <c r="M144" s="11" t="str">
        <f>IF(Table13[[#This Row],[template]]="","",VLOOKUP(Table13[[#This Row],[template]],Table2915[],3,FALSE))</f>
        <v xml:space="preserve"> </v>
      </c>
      <c r="N144" s="10"/>
      <c r="O144" s="11"/>
      <c r="P144" s="9" t="str">
        <f>IF(Table13[[#This Row],[template]]="","",Table13[[#This Row],[IP]]&amp;"_"&amp;Table13[[#This Row],[PARAM_NAME]]&amp;IF(Table13[[#This Row],[SUB]]="","","_"&amp;Table13[[#This Row],[SUB]]))</f>
        <v>ev_pdpDelay_11</v>
      </c>
      <c r="Q144" s="1" t="s">
        <v>262</v>
      </c>
      <c r="R144" s="1" t="s">
        <v>417</v>
      </c>
      <c r="S144" s="6" t="s">
        <v>274</v>
      </c>
      <c r="T144" s="20" t="str">
        <f>DEC2HEX(HEX2DEC(Table13[[#This Row],[Index]])/4+Table13[[#This Row],[SUB]],4)</f>
        <v>310B</v>
      </c>
      <c r="U144" s="6" t="s">
        <v>363</v>
      </c>
      <c r="V144" s="1" t="s">
        <v>254</v>
      </c>
      <c r="W144" s="16">
        <v>0</v>
      </c>
      <c r="X144" s="6" t="s">
        <v>363</v>
      </c>
      <c r="AA144" s="11">
        <f>IF(Table13[[#This Row],[template]]="","",VLOOKUP(Table13[[#This Row],[IP]],Table51117[],2,FALSE))</f>
        <v>1</v>
      </c>
      <c r="AB144" s="13" t="str">
        <f>IF(Table13[[#This Row],[template]]="","",DEC2HEX(VLOOKUP(Table13[[#This Row],[D1-Type]],Table351218[],2,FALSE),1)&amp;DEC2HEX(VLOOKUP(Table13[[#This Row],[D2-Type]],Table31016[],2,FALSE),1)&amp; DEC2HEX(Table13[[#This Row],[D2-Offset]],2)&amp;DEC2HEX(VLOOKUP(Table13[[#This Row],[D3-Type]],Table371319[],2,FALSE),1))</f>
        <v>01000</v>
      </c>
      <c r="AC144" s="14">
        <f>IF(Table13[[#This Row],[template]]="","",HEX2DEC(Table13[[#This Row],[Addr_Hex]]))</f>
        <v>12555</v>
      </c>
    </row>
    <row r="145" spans="2:29" x14ac:dyDescent="0.3">
      <c r="B145" s="13" t="s">
        <v>500</v>
      </c>
      <c r="C145" s="4" t="s">
        <v>233</v>
      </c>
      <c r="D145" s="9" t="str">
        <f>UPPER(Table13[[#This Row],[SIGNAL]])</f>
        <v>EV_PDPDELAY_12</v>
      </c>
      <c r="E145" s="9" t="str">
        <f>IF(Table13[[#This Row],[template]]="","","0x"&amp;Table13[[#This Row],[IP_Index]]&amp;DEC2HEX(Table13[[#This Row],[Addr_Dec]]*4,7))</f>
        <v>0x1000C430</v>
      </c>
      <c r="F145" s="9" t="str">
        <f>IF(Table13[[#This Row],[template]]="","",VLOOKUP(Table13[[#This Row],[template]],Table2915[],2,FALSE))</f>
        <v>asynParamInt32</v>
      </c>
      <c r="G145" s="18" t="str">
        <f>IF(Table13[[#This Row],[template]]="","","1")</f>
        <v>1</v>
      </c>
      <c r="H145" s="10"/>
      <c r="I145" s="13" t="str">
        <f>IF(Table13[[#This Row],[template]]="","","0x"&amp;Table13[[#This Row],[D_Index]]&amp;"000")</f>
        <v>0x01000000</v>
      </c>
      <c r="J145" s="18"/>
      <c r="K145" s="10">
        <v>0</v>
      </c>
      <c r="L145" s="10"/>
      <c r="M145" s="11" t="str">
        <f>IF(Table13[[#This Row],[template]]="","",VLOOKUP(Table13[[#This Row],[template]],Table2915[],3,FALSE))</f>
        <v xml:space="preserve"> </v>
      </c>
      <c r="N145" s="10"/>
      <c r="O145" s="11"/>
      <c r="P145" s="9" t="str">
        <f>IF(Table13[[#This Row],[template]]="","",Table13[[#This Row],[IP]]&amp;"_"&amp;Table13[[#This Row],[PARAM_NAME]]&amp;IF(Table13[[#This Row],[SUB]]="","","_"&amp;Table13[[#This Row],[SUB]]))</f>
        <v>ev_pdpDelay_12</v>
      </c>
      <c r="Q145" s="1" t="s">
        <v>262</v>
      </c>
      <c r="R145" s="1" t="s">
        <v>417</v>
      </c>
      <c r="S145" s="6" t="s">
        <v>275</v>
      </c>
      <c r="T145" s="20" t="str">
        <f>DEC2HEX(HEX2DEC(Table13[[#This Row],[Index]])/4+Table13[[#This Row],[SUB]],4)</f>
        <v>310C</v>
      </c>
      <c r="U145" s="6" t="s">
        <v>363</v>
      </c>
      <c r="V145" s="1" t="s">
        <v>254</v>
      </c>
      <c r="W145" s="16">
        <v>0</v>
      </c>
      <c r="X145" s="6" t="s">
        <v>363</v>
      </c>
      <c r="AA145" s="11">
        <f>IF(Table13[[#This Row],[template]]="","",VLOOKUP(Table13[[#This Row],[IP]],Table51117[],2,FALSE))</f>
        <v>1</v>
      </c>
      <c r="AB145" s="13" t="str">
        <f>IF(Table13[[#This Row],[template]]="","",DEC2HEX(VLOOKUP(Table13[[#This Row],[D1-Type]],Table351218[],2,FALSE),1)&amp;DEC2HEX(VLOOKUP(Table13[[#This Row],[D2-Type]],Table31016[],2,FALSE),1)&amp; DEC2HEX(Table13[[#This Row],[D2-Offset]],2)&amp;DEC2HEX(VLOOKUP(Table13[[#This Row],[D3-Type]],Table371319[],2,FALSE),1))</f>
        <v>01000</v>
      </c>
      <c r="AC145" s="14">
        <f>IF(Table13[[#This Row],[template]]="","",HEX2DEC(Table13[[#This Row],[Addr_Hex]]))</f>
        <v>12556</v>
      </c>
    </row>
    <row r="146" spans="2:29" x14ac:dyDescent="0.3">
      <c r="B146" s="13" t="s">
        <v>500</v>
      </c>
      <c r="C146" s="4" t="s">
        <v>233</v>
      </c>
      <c r="D146" s="9" t="str">
        <f>UPPER(Table13[[#This Row],[SIGNAL]])</f>
        <v>EV_PDPDELAY_13</v>
      </c>
      <c r="E146" s="9" t="str">
        <f>IF(Table13[[#This Row],[template]]="","","0x"&amp;Table13[[#This Row],[IP_Index]]&amp;DEC2HEX(Table13[[#This Row],[Addr_Dec]]*4,7))</f>
        <v>0x1000C434</v>
      </c>
      <c r="F146" s="9" t="str">
        <f>IF(Table13[[#This Row],[template]]="","",VLOOKUP(Table13[[#This Row],[template]],Table2915[],2,FALSE))</f>
        <v>asynParamInt32</v>
      </c>
      <c r="G146" s="18" t="str">
        <f>IF(Table13[[#This Row],[template]]="","","1")</f>
        <v>1</v>
      </c>
      <c r="H146" s="10"/>
      <c r="I146" s="13" t="str">
        <f>IF(Table13[[#This Row],[template]]="","","0x"&amp;Table13[[#This Row],[D_Index]]&amp;"000")</f>
        <v>0x01000000</v>
      </c>
      <c r="J146" s="18"/>
      <c r="K146" s="10">
        <v>0</v>
      </c>
      <c r="L146" s="10"/>
      <c r="M146" s="11" t="str">
        <f>IF(Table13[[#This Row],[template]]="","",VLOOKUP(Table13[[#This Row],[template]],Table2915[],3,FALSE))</f>
        <v xml:space="preserve"> </v>
      </c>
      <c r="N146" s="10"/>
      <c r="O146" s="11"/>
      <c r="P146" s="9" t="str">
        <f>IF(Table13[[#This Row],[template]]="","",Table13[[#This Row],[IP]]&amp;"_"&amp;Table13[[#This Row],[PARAM_NAME]]&amp;IF(Table13[[#This Row],[SUB]]="","","_"&amp;Table13[[#This Row],[SUB]]))</f>
        <v>ev_pdpDelay_13</v>
      </c>
      <c r="Q146" s="1" t="s">
        <v>262</v>
      </c>
      <c r="R146" s="1" t="s">
        <v>417</v>
      </c>
      <c r="S146" s="6" t="s">
        <v>276</v>
      </c>
      <c r="T146" s="20" t="str">
        <f>DEC2HEX(HEX2DEC(Table13[[#This Row],[Index]])/4+Table13[[#This Row],[SUB]],4)</f>
        <v>310D</v>
      </c>
      <c r="U146" s="6" t="s">
        <v>363</v>
      </c>
      <c r="V146" s="1" t="s">
        <v>254</v>
      </c>
      <c r="W146" s="16">
        <v>0</v>
      </c>
      <c r="X146" s="6" t="s">
        <v>363</v>
      </c>
      <c r="AA146" s="11">
        <f>IF(Table13[[#This Row],[template]]="","",VLOOKUP(Table13[[#This Row],[IP]],Table51117[],2,FALSE))</f>
        <v>1</v>
      </c>
      <c r="AB146" s="13" t="str">
        <f>IF(Table13[[#This Row],[template]]="","",DEC2HEX(VLOOKUP(Table13[[#This Row],[D1-Type]],Table351218[],2,FALSE),1)&amp;DEC2HEX(VLOOKUP(Table13[[#This Row],[D2-Type]],Table31016[],2,FALSE),1)&amp; DEC2HEX(Table13[[#This Row],[D2-Offset]],2)&amp;DEC2HEX(VLOOKUP(Table13[[#This Row],[D3-Type]],Table371319[],2,FALSE),1))</f>
        <v>01000</v>
      </c>
      <c r="AC146" s="14">
        <f>IF(Table13[[#This Row],[template]]="","",HEX2DEC(Table13[[#This Row],[Addr_Hex]]))</f>
        <v>12557</v>
      </c>
    </row>
    <row r="147" spans="2:29" x14ac:dyDescent="0.3">
      <c r="B147" s="13" t="s">
        <v>500</v>
      </c>
      <c r="C147" s="4" t="s">
        <v>233</v>
      </c>
      <c r="D147" s="9" t="str">
        <f>UPPER(Table13[[#This Row],[SIGNAL]])</f>
        <v>EV_PDPDELAY_14</v>
      </c>
      <c r="E147" s="9" t="str">
        <f>IF(Table13[[#This Row],[template]]="","","0x"&amp;Table13[[#This Row],[IP_Index]]&amp;DEC2HEX(Table13[[#This Row],[Addr_Dec]]*4,7))</f>
        <v>0x1000C438</v>
      </c>
      <c r="F147" s="9" t="str">
        <f>IF(Table13[[#This Row],[template]]="","",VLOOKUP(Table13[[#This Row],[template]],Table2915[],2,FALSE))</f>
        <v>asynParamInt32</v>
      </c>
      <c r="G147" s="18" t="str">
        <f>IF(Table13[[#This Row],[template]]="","","1")</f>
        <v>1</v>
      </c>
      <c r="H147" s="10"/>
      <c r="I147" s="13" t="str">
        <f>IF(Table13[[#This Row],[template]]="","","0x"&amp;Table13[[#This Row],[D_Index]]&amp;"000")</f>
        <v>0x01000000</v>
      </c>
      <c r="J147" s="18"/>
      <c r="K147" s="10">
        <v>0</v>
      </c>
      <c r="L147" s="10"/>
      <c r="M147" s="11" t="str">
        <f>IF(Table13[[#This Row],[template]]="","",VLOOKUP(Table13[[#This Row],[template]],Table2915[],3,FALSE))</f>
        <v xml:space="preserve"> </v>
      </c>
      <c r="N147" s="10"/>
      <c r="O147" s="11"/>
      <c r="P147" s="9" t="str">
        <f>IF(Table13[[#This Row],[template]]="","",Table13[[#This Row],[IP]]&amp;"_"&amp;Table13[[#This Row],[PARAM_NAME]]&amp;IF(Table13[[#This Row],[SUB]]="","","_"&amp;Table13[[#This Row],[SUB]]))</f>
        <v>ev_pdpDelay_14</v>
      </c>
      <c r="Q147" s="1" t="s">
        <v>262</v>
      </c>
      <c r="R147" s="1" t="s">
        <v>417</v>
      </c>
      <c r="S147" s="6" t="s">
        <v>277</v>
      </c>
      <c r="T147" s="20" t="str">
        <f>DEC2HEX(HEX2DEC(Table13[[#This Row],[Index]])/4+Table13[[#This Row],[SUB]],4)</f>
        <v>310E</v>
      </c>
      <c r="U147" s="6" t="s">
        <v>363</v>
      </c>
      <c r="V147" s="1" t="s">
        <v>254</v>
      </c>
      <c r="W147" s="16">
        <v>0</v>
      </c>
      <c r="X147" s="6" t="s">
        <v>363</v>
      </c>
      <c r="AA147" s="11">
        <f>IF(Table13[[#This Row],[template]]="","",VLOOKUP(Table13[[#This Row],[IP]],Table51117[],2,FALSE))</f>
        <v>1</v>
      </c>
      <c r="AB147" s="13" t="str">
        <f>IF(Table13[[#This Row],[template]]="","",DEC2HEX(VLOOKUP(Table13[[#This Row],[D1-Type]],Table351218[],2,FALSE),1)&amp;DEC2HEX(VLOOKUP(Table13[[#This Row],[D2-Type]],Table31016[],2,FALSE),1)&amp; DEC2HEX(Table13[[#This Row],[D2-Offset]],2)&amp;DEC2HEX(VLOOKUP(Table13[[#This Row],[D3-Type]],Table371319[],2,FALSE),1))</f>
        <v>01000</v>
      </c>
      <c r="AC147" s="14">
        <f>IF(Table13[[#This Row],[template]]="","",HEX2DEC(Table13[[#This Row],[Addr_Hex]]))</f>
        <v>12558</v>
      </c>
    </row>
    <row r="148" spans="2:29" x14ac:dyDescent="0.3">
      <c r="B148" s="13" t="s">
        <v>500</v>
      </c>
      <c r="C148" s="4" t="s">
        <v>233</v>
      </c>
      <c r="D148" s="9" t="str">
        <f>UPPER(Table13[[#This Row],[SIGNAL]])</f>
        <v>EV_PDPDELAY_15</v>
      </c>
      <c r="E148" s="9" t="str">
        <f>IF(Table13[[#This Row],[template]]="","","0x"&amp;Table13[[#This Row],[IP_Index]]&amp;DEC2HEX(Table13[[#This Row],[Addr_Dec]]*4,7))</f>
        <v>0x1000C43C</v>
      </c>
      <c r="F148" s="9" t="str">
        <f>IF(Table13[[#This Row],[template]]="","",VLOOKUP(Table13[[#This Row],[template]],Table2915[],2,FALSE))</f>
        <v>asynParamInt32</v>
      </c>
      <c r="G148" s="18" t="str">
        <f>IF(Table13[[#This Row],[template]]="","","1")</f>
        <v>1</v>
      </c>
      <c r="H148" s="10"/>
      <c r="I148" s="13" t="str">
        <f>IF(Table13[[#This Row],[template]]="","","0x"&amp;Table13[[#This Row],[D_Index]]&amp;"000")</f>
        <v>0x01000000</v>
      </c>
      <c r="J148" s="18"/>
      <c r="K148" s="10">
        <v>0</v>
      </c>
      <c r="L148" s="10"/>
      <c r="M148" s="11" t="str">
        <f>IF(Table13[[#This Row],[template]]="","",VLOOKUP(Table13[[#This Row],[template]],Table2915[],3,FALSE))</f>
        <v xml:space="preserve"> </v>
      </c>
      <c r="N148" s="10"/>
      <c r="O148" s="11"/>
      <c r="P148" s="9" t="str">
        <f>IF(Table13[[#This Row],[template]]="","",Table13[[#This Row],[IP]]&amp;"_"&amp;Table13[[#This Row],[PARAM_NAME]]&amp;IF(Table13[[#This Row],[SUB]]="","","_"&amp;Table13[[#This Row],[SUB]]))</f>
        <v>ev_pdpDelay_15</v>
      </c>
      <c r="Q148" s="1" t="s">
        <v>262</v>
      </c>
      <c r="R148" s="1" t="s">
        <v>417</v>
      </c>
      <c r="S148" s="6" t="s">
        <v>278</v>
      </c>
      <c r="T148" s="20" t="str">
        <f>DEC2HEX(HEX2DEC(Table13[[#This Row],[Index]])/4+Table13[[#This Row],[SUB]],4)</f>
        <v>310F</v>
      </c>
      <c r="U148" s="6" t="s">
        <v>363</v>
      </c>
      <c r="V148" s="1" t="s">
        <v>254</v>
      </c>
      <c r="W148" s="16">
        <v>0</v>
      </c>
      <c r="X148" s="6" t="s">
        <v>363</v>
      </c>
      <c r="AA148" s="11">
        <f>IF(Table13[[#This Row],[template]]="","",VLOOKUP(Table13[[#This Row],[IP]],Table51117[],2,FALSE))</f>
        <v>1</v>
      </c>
      <c r="AB148" s="13" t="str">
        <f>IF(Table13[[#This Row],[template]]="","",DEC2HEX(VLOOKUP(Table13[[#This Row],[D1-Type]],Table351218[],2,FALSE),1)&amp;DEC2HEX(VLOOKUP(Table13[[#This Row],[D2-Type]],Table31016[],2,FALSE),1)&amp; DEC2HEX(Table13[[#This Row],[D2-Offset]],2)&amp;DEC2HEX(VLOOKUP(Table13[[#This Row],[D3-Type]],Table371319[],2,FALSE),1))</f>
        <v>01000</v>
      </c>
      <c r="AC148" s="14">
        <f>IF(Table13[[#This Row],[template]]="","",HEX2DEC(Table13[[#This Row],[Addr_Hex]]))</f>
        <v>12559</v>
      </c>
    </row>
    <row r="149" spans="2:29" x14ac:dyDescent="0.3">
      <c r="B149" s="13" t="s">
        <v>500</v>
      </c>
      <c r="C149" s="4" t="s">
        <v>233</v>
      </c>
      <c r="D149" s="9" t="str">
        <f>UPPER(Table13[[#This Row],[SIGNAL]])</f>
        <v>EV_PDPDELAY_16</v>
      </c>
      <c r="E149" s="9" t="str">
        <f>IF(Table13[[#This Row],[template]]="","","0x"&amp;Table13[[#This Row],[IP_Index]]&amp;DEC2HEX(Table13[[#This Row],[Addr_Dec]]*4,7))</f>
        <v>0x1000C440</v>
      </c>
      <c r="F149" s="9" t="str">
        <f>IF(Table13[[#This Row],[template]]="","",VLOOKUP(Table13[[#This Row],[template]],Table2915[],2,FALSE))</f>
        <v>asynParamInt32</v>
      </c>
      <c r="G149" s="18" t="str">
        <f>IF(Table13[[#This Row],[template]]="","","1")</f>
        <v>1</v>
      </c>
      <c r="H149" s="10"/>
      <c r="I149" s="13" t="str">
        <f>IF(Table13[[#This Row],[template]]="","","0x"&amp;Table13[[#This Row],[D_Index]]&amp;"000")</f>
        <v>0x01000000</v>
      </c>
      <c r="J149" s="18"/>
      <c r="K149" s="10">
        <v>0</v>
      </c>
      <c r="L149" s="10"/>
      <c r="M149" s="11" t="str">
        <f>IF(Table13[[#This Row],[template]]="","",VLOOKUP(Table13[[#This Row],[template]],Table2915[],3,FALSE))</f>
        <v xml:space="preserve"> </v>
      </c>
      <c r="N149" s="10"/>
      <c r="O149" s="11"/>
      <c r="P149" s="9" t="str">
        <f>IF(Table13[[#This Row],[template]]="","",Table13[[#This Row],[IP]]&amp;"_"&amp;Table13[[#This Row],[PARAM_NAME]]&amp;IF(Table13[[#This Row],[SUB]]="","","_"&amp;Table13[[#This Row],[SUB]]))</f>
        <v>ev_pdpDelay_16</v>
      </c>
      <c r="Q149" s="1" t="s">
        <v>262</v>
      </c>
      <c r="R149" s="1" t="s">
        <v>417</v>
      </c>
      <c r="S149" s="6" t="s">
        <v>279</v>
      </c>
      <c r="T149" s="20" t="str">
        <f>DEC2HEX(HEX2DEC(Table13[[#This Row],[Index]])/4+Table13[[#This Row],[SUB]],4)</f>
        <v>3110</v>
      </c>
      <c r="U149" s="6" t="s">
        <v>363</v>
      </c>
      <c r="V149" s="1" t="s">
        <v>254</v>
      </c>
      <c r="W149" s="16">
        <v>0</v>
      </c>
      <c r="X149" s="6" t="s">
        <v>363</v>
      </c>
      <c r="AA149" s="11">
        <f>IF(Table13[[#This Row],[template]]="","",VLOOKUP(Table13[[#This Row],[IP]],Table51117[],2,FALSE))</f>
        <v>1</v>
      </c>
      <c r="AB149" s="13" t="str">
        <f>IF(Table13[[#This Row],[template]]="","",DEC2HEX(VLOOKUP(Table13[[#This Row],[D1-Type]],Table351218[],2,FALSE),1)&amp;DEC2HEX(VLOOKUP(Table13[[#This Row],[D2-Type]],Table31016[],2,FALSE),1)&amp; DEC2HEX(Table13[[#This Row],[D2-Offset]],2)&amp;DEC2HEX(VLOOKUP(Table13[[#This Row],[D3-Type]],Table371319[],2,FALSE),1))</f>
        <v>01000</v>
      </c>
      <c r="AC149" s="14">
        <f>IF(Table13[[#This Row],[template]]="","",HEX2DEC(Table13[[#This Row],[Addr_Hex]]))</f>
        <v>12560</v>
      </c>
    </row>
    <row r="150" spans="2:29" x14ac:dyDescent="0.3">
      <c r="B150" s="13" t="s">
        <v>500</v>
      </c>
      <c r="C150" s="4" t="s">
        <v>233</v>
      </c>
      <c r="D150" s="9" t="str">
        <f>UPPER(Table13[[#This Row],[SIGNAL]])</f>
        <v>EV_PDPDELAY_17</v>
      </c>
      <c r="E150" s="9" t="str">
        <f>IF(Table13[[#This Row],[template]]="","","0x"&amp;Table13[[#This Row],[IP_Index]]&amp;DEC2HEX(Table13[[#This Row],[Addr_Dec]]*4,7))</f>
        <v>0x1000C444</v>
      </c>
      <c r="F150" s="9" t="str">
        <f>IF(Table13[[#This Row],[template]]="","",VLOOKUP(Table13[[#This Row],[template]],Table2915[],2,FALSE))</f>
        <v>asynParamInt32</v>
      </c>
      <c r="G150" s="18" t="str">
        <f>IF(Table13[[#This Row],[template]]="","","1")</f>
        <v>1</v>
      </c>
      <c r="H150" s="10"/>
      <c r="I150" s="13" t="str">
        <f>IF(Table13[[#This Row],[template]]="","","0x"&amp;Table13[[#This Row],[D_Index]]&amp;"000")</f>
        <v>0x01000000</v>
      </c>
      <c r="J150" s="18"/>
      <c r="K150" s="10">
        <v>0</v>
      </c>
      <c r="L150" s="10"/>
      <c r="M150" s="11" t="str">
        <f>IF(Table13[[#This Row],[template]]="","",VLOOKUP(Table13[[#This Row],[template]],Table2915[],3,FALSE))</f>
        <v xml:space="preserve"> </v>
      </c>
      <c r="N150" s="10"/>
      <c r="O150" s="11"/>
      <c r="P150" s="9" t="str">
        <f>IF(Table13[[#This Row],[template]]="","",Table13[[#This Row],[IP]]&amp;"_"&amp;Table13[[#This Row],[PARAM_NAME]]&amp;IF(Table13[[#This Row],[SUB]]="","","_"&amp;Table13[[#This Row],[SUB]]))</f>
        <v>ev_pdpDelay_17</v>
      </c>
      <c r="Q150" s="1" t="s">
        <v>262</v>
      </c>
      <c r="R150" s="1" t="s">
        <v>417</v>
      </c>
      <c r="S150" s="6" t="s">
        <v>280</v>
      </c>
      <c r="T150" s="20" t="str">
        <f>DEC2HEX(HEX2DEC(Table13[[#This Row],[Index]])/4+Table13[[#This Row],[SUB]],4)</f>
        <v>3111</v>
      </c>
      <c r="U150" s="6" t="s">
        <v>363</v>
      </c>
      <c r="V150" s="1" t="s">
        <v>254</v>
      </c>
      <c r="W150" s="16">
        <v>0</v>
      </c>
      <c r="X150" s="6" t="s">
        <v>363</v>
      </c>
      <c r="AA150" s="11">
        <f>IF(Table13[[#This Row],[template]]="","",VLOOKUP(Table13[[#This Row],[IP]],Table51117[],2,FALSE))</f>
        <v>1</v>
      </c>
      <c r="AB150" s="13" t="str">
        <f>IF(Table13[[#This Row],[template]]="","",DEC2HEX(VLOOKUP(Table13[[#This Row],[D1-Type]],Table351218[],2,FALSE),1)&amp;DEC2HEX(VLOOKUP(Table13[[#This Row],[D2-Type]],Table31016[],2,FALSE),1)&amp; DEC2HEX(Table13[[#This Row],[D2-Offset]],2)&amp;DEC2HEX(VLOOKUP(Table13[[#This Row],[D3-Type]],Table371319[],2,FALSE),1))</f>
        <v>01000</v>
      </c>
      <c r="AC150" s="14">
        <f>IF(Table13[[#This Row],[template]]="","",HEX2DEC(Table13[[#This Row],[Addr_Hex]]))</f>
        <v>12561</v>
      </c>
    </row>
    <row r="151" spans="2:29" x14ac:dyDescent="0.3">
      <c r="B151" s="13" t="s">
        <v>500</v>
      </c>
      <c r="C151" s="4" t="s">
        <v>233</v>
      </c>
      <c r="D151" s="9" t="str">
        <f>UPPER(Table13[[#This Row],[SIGNAL]])</f>
        <v>EV_PDPDELAY_18</v>
      </c>
      <c r="E151" s="9" t="str">
        <f>IF(Table13[[#This Row],[template]]="","","0x"&amp;Table13[[#This Row],[IP_Index]]&amp;DEC2HEX(Table13[[#This Row],[Addr_Dec]]*4,7))</f>
        <v>0x1000C448</v>
      </c>
      <c r="F151" s="9" t="str">
        <f>IF(Table13[[#This Row],[template]]="","",VLOOKUP(Table13[[#This Row],[template]],Table2915[],2,FALSE))</f>
        <v>asynParamInt32</v>
      </c>
      <c r="G151" s="18" t="str">
        <f>IF(Table13[[#This Row],[template]]="","","1")</f>
        <v>1</v>
      </c>
      <c r="H151" s="10"/>
      <c r="I151" s="13" t="str">
        <f>IF(Table13[[#This Row],[template]]="","","0x"&amp;Table13[[#This Row],[D_Index]]&amp;"000")</f>
        <v>0x01000000</v>
      </c>
      <c r="J151" s="18"/>
      <c r="K151" s="10">
        <v>0</v>
      </c>
      <c r="L151" s="10"/>
      <c r="M151" s="11" t="str">
        <f>IF(Table13[[#This Row],[template]]="","",VLOOKUP(Table13[[#This Row],[template]],Table2915[],3,FALSE))</f>
        <v xml:space="preserve"> </v>
      </c>
      <c r="N151" s="10"/>
      <c r="O151" s="11"/>
      <c r="P151" s="9" t="str">
        <f>IF(Table13[[#This Row],[template]]="","",Table13[[#This Row],[IP]]&amp;"_"&amp;Table13[[#This Row],[PARAM_NAME]]&amp;IF(Table13[[#This Row],[SUB]]="","","_"&amp;Table13[[#This Row],[SUB]]))</f>
        <v>ev_pdpDelay_18</v>
      </c>
      <c r="Q151" s="1" t="s">
        <v>262</v>
      </c>
      <c r="R151" s="1" t="s">
        <v>417</v>
      </c>
      <c r="S151" s="6" t="s">
        <v>281</v>
      </c>
      <c r="T151" s="20" t="str">
        <f>DEC2HEX(HEX2DEC(Table13[[#This Row],[Index]])/4+Table13[[#This Row],[SUB]],4)</f>
        <v>3112</v>
      </c>
      <c r="U151" s="6" t="s">
        <v>363</v>
      </c>
      <c r="V151" s="1" t="s">
        <v>254</v>
      </c>
      <c r="W151" s="16">
        <v>0</v>
      </c>
      <c r="X151" s="6" t="s">
        <v>363</v>
      </c>
      <c r="AA151" s="11">
        <f>IF(Table13[[#This Row],[template]]="","",VLOOKUP(Table13[[#This Row],[IP]],Table51117[],2,FALSE))</f>
        <v>1</v>
      </c>
      <c r="AB151" s="13" t="str">
        <f>IF(Table13[[#This Row],[template]]="","",DEC2HEX(VLOOKUP(Table13[[#This Row],[D1-Type]],Table351218[],2,FALSE),1)&amp;DEC2HEX(VLOOKUP(Table13[[#This Row],[D2-Type]],Table31016[],2,FALSE),1)&amp; DEC2HEX(Table13[[#This Row],[D2-Offset]],2)&amp;DEC2HEX(VLOOKUP(Table13[[#This Row],[D3-Type]],Table371319[],2,FALSE),1))</f>
        <v>01000</v>
      </c>
      <c r="AC151" s="14">
        <f>IF(Table13[[#This Row],[template]]="","",HEX2DEC(Table13[[#This Row],[Addr_Hex]]))</f>
        <v>12562</v>
      </c>
    </row>
    <row r="152" spans="2:29" x14ac:dyDescent="0.3">
      <c r="B152" s="13" t="s">
        <v>500</v>
      </c>
      <c r="C152" s="4" t="s">
        <v>233</v>
      </c>
      <c r="D152" s="9" t="str">
        <f>UPPER(Table13[[#This Row],[SIGNAL]])</f>
        <v>EV_PDPDELAY_19</v>
      </c>
      <c r="E152" s="9" t="str">
        <f>IF(Table13[[#This Row],[template]]="","","0x"&amp;Table13[[#This Row],[IP_Index]]&amp;DEC2HEX(Table13[[#This Row],[Addr_Dec]]*4,7))</f>
        <v>0x1000C44C</v>
      </c>
      <c r="F152" s="9" t="str">
        <f>IF(Table13[[#This Row],[template]]="","",VLOOKUP(Table13[[#This Row],[template]],Table2915[],2,FALSE))</f>
        <v>asynParamInt32</v>
      </c>
      <c r="G152" s="18" t="str">
        <f>IF(Table13[[#This Row],[template]]="","","1")</f>
        <v>1</v>
      </c>
      <c r="H152" s="10"/>
      <c r="I152" s="13" t="str">
        <f>IF(Table13[[#This Row],[template]]="","","0x"&amp;Table13[[#This Row],[D_Index]]&amp;"000")</f>
        <v>0x01000000</v>
      </c>
      <c r="J152" s="18"/>
      <c r="K152" s="10">
        <v>0</v>
      </c>
      <c r="L152" s="10"/>
      <c r="M152" s="11" t="str">
        <f>IF(Table13[[#This Row],[template]]="","",VLOOKUP(Table13[[#This Row],[template]],Table2915[],3,FALSE))</f>
        <v xml:space="preserve"> </v>
      </c>
      <c r="N152" s="10"/>
      <c r="O152" s="11"/>
      <c r="P152" s="9" t="str">
        <f>IF(Table13[[#This Row],[template]]="","",Table13[[#This Row],[IP]]&amp;"_"&amp;Table13[[#This Row],[PARAM_NAME]]&amp;IF(Table13[[#This Row],[SUB]]="","","_"&amp;Table13[[#This Row],[SUB]]))</f>
        <v>ev_pdpDelay_19</v>
      </c>
      <c r="Q152" s="1" t="s">
        <v>262</v>
      </c>
      <c r="R152" s="1" t="s">
        <v>417</v>
      </c>
      <c r="S152" s="6" t="s">
        <v>282</v>
      </c>
      <c r="T152" s="20" t="str">
        <f>DEC2HEX(HEX2DEC(Table13[[#This Row],[Index]])/4+Table13[[#This Row],[SUB]],4)</f>
        <v>3113</v>
      </c>
      <c r="U152" s="6" t="s">
        <v>363</v>
      </c>
      <c r="V152" s="1" t="s">
        <v>254</v>
      </c>
      <c r="W152" s="16">
        <v>0</v>
      </c>
      <c r="X152" s="6" t="s">
        <v>363</v>
      </c>
      <c r="AA152" s="11">
        <f>IF(Table13[[#This Row],[template]]="","",VLOOKUP(Table13[[#This Row],[IP]],Table51117[],2,FALSE))</f>
        <v>1</v>
      </c>
      <c r="AB152" s="13" t="str">
        <f>IF(Table13[[#This Row],[template]]="","",DEC2HEX(VLOOKUP(Table13[[#This Row],[D1-Type]],Table351218[],2,FALSE),1)&amp;DEC2HEX(VLOOKUP(Table13[[#This Row],[D2-Type]],Table31016[],2,FALSE),1)&amp; DEC2HEX(Table13[[#This Row],[D2-Offset]],2)&amp;DEC2HEX(VLOOKUP(Table13[[#This Row],[D3-Type]],Table371319[],2,FALSE),1))</f>
        <v>01000</v>
      </c>
      <c r="AC152" s="14">
        <f>IF(Table13[[#This Row],[template]]="","",HEX2DEC(Table13[[#This Row],[Addr_Hex]]))</f>
        <v>12563</v>
      </c>
    </row>
    <row r="153" spans="2:29" x14ac:dyDescent="0.3">
      <c r="B153" s="13" t="s">
        <v>500</v>
      </c>
      <c r="C153" s="4" t="s">
        <v>233</v>
      </c>
      <c r="D153" s="9" t="str">
        <f>UPPER(Table13[[#This Row],[SIGNAL]])</f>
        <v>EV_PDPDELAY_20</v>
      </c>
      <c r="E153" s="9" t="str">
        <f>IF(Table13[[#This Row],[template]]="","","0x"&amp;Table13[[#This Row],[IP_Index]]&amp;DEC2HEX(Table13[[#This Row],[Addr_Dec]]*4,7))</f>
        <v>0x1000C450</v>
      </c>
      <c r="F153" s="9" t="str">
        <f>IF(Table13[[#This Row],[template]]="","",VLOOKUP(Table13[[#This Row],[template]],Table2915[],2,FALSE))</f>
        <v>asynParamInt32</v>
      </c>
      <c r="G153" s="18" t="str">
        <f>IF(Table13[[#This Row],[template]]="","","1")</f>
        <v>1</v>
      </c>
      <c r="H153" s="10"/>
      <c r="I153" s="13" t="str">
        <f>IF(Table13[[#This Row],[template]]="","","0x"&amp;Table13[[#This Row],[D_Index]]&amp;"000")</f>
        <v>0x01000000</v>
      </c>
      <c r="J153" s="18"/>
      <c r="K153" s="10">
        <v>0</v>
      </c>
      <c r="L153" s="10"/>
      <c r="M153" s="11" t="str">
        <f>IF(Table13[[#This Row],[template]]="","",VLOOKUP(Table13[[#This Row],[template]],Table2915[],3,FALSE))</f>
        <v xml:space="preserve"> </v>
      </c>
      <c r="N153" s="10"/>
      <c r="O153" s="11"/>
      <c r="P153" s="9" t="str">
        <f>IF(Table13[[#This Row],[template]]="","",Table13[[#This Row],[IP]]&amp;"_"&amp;Table13[[#This Row],[PARAM_NAME]]&amp;IF(Table13[[#This Row],[SUB]]="","","_"&amp;Table13[[#This Row],[SUB]]))</f>
        <v>ev_pdpDelay_20</v>
      </c>
      <c r="Q153" s="1" t="s">
        <v>262</v>
      </c>
      <c r="R153" s="1" t="s">
        <v>417</v>
      </c>
      <c r="S153" s="6" t="s">
        <v>283</v>
      </c>
      <c r="T153" s="20" t="str">
        <f>DEC2HEX(HEX2DEC(Table13[[#This Row],[Index]])/4+Table13[[#This Row],[SUB]],4)</f>
        <v>3114</v>
      </c>
      <c r="U153" s="6" t="s">
        <v>363</v>
      </c>
      <c r="V153" s="1" t="s">
        <v>254</v>
      </c>
      <c r="W153" s="16">
        <v>0</v>
      </c>
      <c r="X153" s="6" t="s">
        <v>363</v>
      </c>
      <c r="AA153" s="11">
        <f>IF(Table13[[#This Row],[template]]="","",VLOOKUP(Table13[[#This Row],[IP]],Table51117[],2,FALSE))</f>
        <v>1</v>
      </c>
      <c r="AB153" s="13" t="str">
        <f>IF(Table13[[#This Row],[template]]="","",DEC2HEX(VLOOKUP(Table13[[#This Row],[D1-Type]],Table351218[],2,FALSE),1)&amp;DEC2HEX(VLOOKUP(Table13[[#This Row],[D2-Type]],Table31016[],2,FALSE),1)&amp; DEC2HEX(Table13[[#This Row],[D2-Offset]],2)&amp;DEC2HEX(VLOOKUP(Table13[[#This Row],[D3-Type]],Table371319[],2,FALSE),1))</f>
        <v>01000</v>
      </c>
      <c r="AC153" s="14">
        <f>IF(Table13[[#This Row],[template]]="","",HEX2DEC(Table13[[#This Row],[Addr_Hex]]))</f>
        <v>12564</v>
      </c>
    </row>
    <row r="154" spans="2:29" x14ac:dyDescent="0.3">
      <c r="B154" s="13" t="s">
        <v>500</v>
      </c>
      <c r="C154" s="4" t="s">
        <v>233</v>
      </c>
      <c r="D154" s="9" t="str">
        <f>UPPER(Table13[[#This Row],[SIGNAL]])</f>
        <v>EV_PDPDELAY_21</v>
      </c>
      <c r="E154" s="9" t="str">
        <f>IF(Table13[[#This Row],[template]]="","","0x"&amp;Table13[[#This Row],[IP_Index]]&amp;DEC2HEX(Table13[[#This Row],[Addr_Dec]]*4,7))</f>
        <v>0x1000C454</v>
      </c>
      <c r="F154" s="9" t="str">
        <f>IF(Table13[[#This Row],[template]]="","",VLOOKUP(Table13[[#This Row],[template]],Table2915[],2,FALSE))</f>
        <v>asynParamInt32</v>
      </c>
      <c r="G154" s="18" t="str">
        <f>IF(Table13[[#This Row],[template]]="","","1")</f>
        <v>1</v>
      </c>
      <c r="H154" s="10"/>
      <c r="I154" s="13" t="str">
        <f>IF(Table13[[#This Row],[template]]="","","0x"&amp;Table13[[#This Row],[D_Index]]&amp;"000")</f>
        <v>0x01000000</v>
      </c>
      <c r="J154" s="18"/>
      <c r="K154" s="10">
        <v>0</v>
      </c>
      <c r="L154" s="10"/>
      <c r="M154" s="11" t="str">
        <f>IF(Table13[[#This Row],[template]]="","",VLOOKUP(Table13[[#This Row],[template]],Table2915[],3,FALSE))</f>
        <v xml:space="preserve"> </v>
      </c>
      <c r="N154" s="10"/>
      <c r="O154" s="11"/>
      <c r="P154" s="9" t="str">
        <f>IF(Table13[[#This Row],[template]]="","",Table13[[#This Row],[IP]]&amp;"_"&amp;Table13[[#This Row],[PARAM_NAME]]&amp;IF(Table13[[#This Row],[SUB]]="","","_"&amp;Table13[[#This Row],[SUB]]))</f>
        <v>ev_pdpDelay_21</v>
      </c>
      <c r="Q154" s="1" t="s">
        <v>262</v>
      </c>
      <c r="R154" s="1" t="s">
        <v>417</v>
      </c>
      <c r="S154" s="6" t="s">
        <v>284</v>
      </c>
      <c r="T154" s="20" t="str">
        <f>DEC2HEX(HEX2DEC(Table13[[#This Row],[Index]])/4+Table13[[#This Row],[SUB]],4)</f>
        <v>3115</v>
      </c>
      <c r="U154" s="6" t="s">
        <v>363</v>
      </c>
      <c r="V154" s="1" t="s">
        <v>254</v>
      </c>
      <c r="W154" s="16">
        <v>0</v>
      </c>
      <c r="X154" s="6" t="s">
        <v>363</v>
      </c>
      <c r="AA154" s="11">
        <f>IF(Table13[[#This Row],[template]]="","",VLOOKUP(Table13[[#This Row],[IP]],Table51117[],2,FALSE))</f>
        <v>1</v>
      </c>
      <c r="AB154" s="13" t="str">
        <f>IF(Table13[[#This Row],[template]]="","",DEC2HEX(VLOOKUP(Table13[[#This Row],[D1-Type]],Table351218[],2,FALSE),1)&amp;DEC2HEX(VLOOKUP(Table13[[#This Row],[D2-Type]],Table31016[],2,FALSE),1)&amp; DEC2HEX(Table13[[#This Row],[D2-Offset]],2)&amp;DEC2HEX(VLOOKUP(Table13[[#This Row],[D3-Type]],Table371319[],2,FALSE),1))</f>
        <v>01000</v>
      </c>
      <c r="AC154" s="14">
        <f>IF(Table13[[#This Row],[template]]="","",HEX2DEC(Table13[[#This Row],[Addr_Hex]]))</f>
        <v>12565</v>
      </c>
    </row>
    <row r="155" spans="2:29" x14ac:dyDescent="0.3">
      <c r="B155" s="13" t="s">
        <v>500</v>
      </c>
      <c r="C155" s="4" t="s">
        <v>233</v>
      </c>
      <c r="D155" s="9" t="str">
        <f>UPPER(Table13[[#This Row],[SIGNAL]])</f>
        <v>EV_PDPDELAY_22</v>
      </c>
      <c r="E155" s="9" t="str">
        <f>IF(Table13[[#This Row],[template]]="","","0x"&amp;Table13[[#This Row],[IP_Index]]&amp;DEC2HEX(Table13[[#This Row],[Addr_Dec]]*4,7))</f>
        <v>0x1000C458</v>
      </c>
      <c r="F155" s="9" t="str">
        <f>IF(Table13[[#This Row],[template]]="","",VLOOKUP(Table13[[#This Row],[template]],Table2915[],2,FALSE))</f>
        <v>asynParamInt32</v>
      </c>
      <c r="G155" s="18" t="str">
        <f>IF(Table13[[#This Row],[template]]="","","1")</f>
        <v>1</v>
      </c>
      <c r="H155" s="10"/>
      <c r="I155" s="13" t="str">
        <f>IF(Table13[[#This Row],[template]]="","","0x"&amp;Table13[[#This Row],[D_Index]]&amp;"000")</f>
        <v>0x01000000</v>
      </c>
      <c r="J155" s="18"/>
      <c r="K155" s="10">
        <v>0</v>
      </c>
      <c r="L155" s="10"/>
      <c r="M155" s="11" t="str">
        <f>IF(Table13[[#This Row],[template]]="","",VLOOKUP(Table13[[#This Row],[template]],Table2915[],3,FALSE))</f>
        <v xml:space="preserve"> </v>
      </c>
      <c r="N155" s="10"/>
      <c r="O155" s="11"/>
      <c r="P155" s="9" t="str">
        <f>IF(Table13[[#This Row],[template]]="","",Table13[[#This Row],[IP]]&amp;"_"&amp;Table13[[#This Row],[PARAM_NAME]]&amp;IF(Table13[[#This Row],[SUB]]="","","_"&amp;Table13[[#This Row],[SUB]]))</f>
        <v>ev_pdpDelay_22</v>
      </c>
      <c r="Q155" s="1" t="s">
        <v>262</v>
      </c>
      <c r="R155" s="1" t="s">
        <v>417</v>
      </c>
      <c r="S155" s="6" t="s">
        <v>285</v>
      </c>
      <c r="T155" s="20" t="str">
        <f>DEC2HEX(HEX2DEC(Table13[[#This Row],[Index]])/4+Table13[[#This Row],[SUB]],4)</f>
        <v>3116</v>
      </c>
      <c r="U155" s="6" t="s">
        <v>363</v>
      </c>
      <c r="V155" s="1" t="s">
        <v>254</v>
      </c>
      <c r="W155" s="16">
        <v>0</v>
      </c>
      <c r="X155" s="6" t="s">
        <v>363</v>
      </c>
      <c r="AA155" s="11">
        <f>IF(Table13[[#This Row],[template]]="","",VLOOKUP(Table13[[#This Row],[IP]],Table51117[],2,FALSE))</f>
        <v>1</v>
      </c>
      <c r="AB155" s="13" t="str">
        <f>IF(Table13[[#This Row],[template]]="","",DEC2HEX(VLOOKUP(Table13[[#This Row],[D1-Type]],Table351218[],2,FALSE),1)&amp;DEC2HEX(VLOOKUP(Table13[[#This Row],[D2-Type]],Table31016[],2,FALSE),1)&amp; DEC2HEX(Table13[[#This Row],[D2-Offset]],2)&amp;DEC2HEX(VLOOKUP(Table13[[#This Row],[D3-Type]],Table371319[],2,FALSE),1))</f>
        <v>01000</v>
      </c>
      <c r="AC155" s="14">
        <f>IF(Table13[[#This Row],[template]]="","",HEX2DEC(Table13[[#This Row],[Addr_Hex]]))</f>
        <v>12566</v>
      </c>
    </row>
    <row r="156" spans="2:29" x14ac:dyDescent="0.3">
      <c r="B156" s="13" t="s">
        <v>500</v>
      </c>
      <c r="C156" s="4" t="s">
        <v>233</v>
      </c>
      <c r="D156" s="9" t="str">
        <f>UPPER(Table13[[#This Row],[SIGNAL]])</f>
        <v>EV_PDPDELAY_23</v>
      </c>
      <c r="E156" s="9" t="str">
        <f>IF(Table13[[#This Row],[template]]="","","0x"&amp;Table13[[#This Row],[IP_Index]]&amp;DEC2HEX(Table13[[#This Row],[Addr_Dec]]*4,7))</f>
        <v>0x1000C45C</v>
      </c>
      <c r="F156" s="9" t="str">
        <f>IF(Table13[[#This Row],[template]]="","",VLOOKUP(Table13[[#This Row],[template]],Table2915[],2,FALSE))</f>
        <v>asynParamInt32</v>
      </c>
      <c r="G156" s="18" t="str">
        <f>IF(Table13[[#This Row],[template]]="","","1")</f>
        <v>1</v>
      </c>
      <c r="H156" s="10"/>
      <c r="I156" s="13" t="str">
        <f>IF(Table13[[#This Row],[template]]="","","0x"&amp;Table13[[#This Row],[D_Index]]&amp;"000")</f>
        <v>0x01000000</v>
      </c>
      <c r="J156" s="18"/>
      <c r="K156" s="10">
        <v>0</v>
      </c>
      <c r="L156" s="10"/>
      <c r="M156" s="11" t="str">
        <f>IF(Table13[[#This Row],[template]]="","",VLOOKUP(Table13[[#This Row],[template]],Table2915[],3,FALSE))</f>
        <v xml:space="preserve"> </v>
      </c>
      <c r="N156" s="10"/>
      <c r="O156" s="11"/>
      <c r="P156" s="9" t="str">
        <f>IF(Table13[[#This Row],[template]]="","",Table13[[#This Row],[IP]]&amp;"_"&amp;Table13[[#This Row],[PARAM_NAME]]&amp;IF(Table13[[#This Row],[SUB]]="","","_"&amp;Table13[[#This Row],[SUB]]))</f>
        <v>ev_pdpDelay_23</v>
      </c>
      <c r="Q156" s="1" t="s">
        <v>262</v>
      </c>
      <c r="R156" s="1" t="s">
        <v>417</v>
      </c>
      <c r="S156" s="6" t="s">
        <v>286</v>
      </c>
      <c r="T156" s="20" t="str">
        <f>DEC2HEX(HEX2DEC(Table13[[#This Row],[Index]])/4+Table13[[#This Row],[SUB]],4)</f>
        <v>3117</v>
      </c>
      <c r="U156" s="6" t="s">
        <v>363</v>
      </c>
      <c r="V156" s="1" t="s">
        <v>254</v>
      </c>
      <c r="W156" s="16">
        <v>0</v>
      </c>
      <c r="X156" s="6" t="s">
        <v>363</v>
      </c>
      <c r="AA156" s="11">
        <f>IF(Table13[[#This Row],[template]]="","",VLOOKUP(Table13[[#This Row],[IP]],Table51117[],2,FALSE))</f>
        <v>1</v>
      </c>
      <c r="AB156" s="13" t="str">
        <f>IF(Table13[[#This Row],[template]]="","",DEC2HEX(VLOOKUP(Table13[[#This Row],[D1-Type]],Table351218[],2,FALSE),1)&amp;DEC2HEX(VLOOKUP(Table13[[#This Row],[D2-Type]],Table31016[],2,FALSE),1)&amp; DEC2HEX(Table13[[#This Row],[D2-Offset]],2)&amp;DEC2HEX(VLOOKUP(Table13[[#This Row],[D3-Type]],Table371319[],2,FALSE),1))</f>
        <v>01000</v>
      </c>
      <c r="AC156" s="14">
        <f>IF(Table13[[#This Row],[template]]="","",HEX2DEC(Table13[[#This Row],[Addr_Hex]]))</f>
        <v>12567</v>
      </c>
    </row>
    <row r="157" spans="2:29" x14ac:dyDescent="0.3">
      <c r="B157" s="13" t="s">
        <v>500</v>
      </c>
      <c r="C157" s="4" t="s">
        <v>233</v>
      </c>
      <c r="D157" s="9" t="str">
        <f>UPPER(Table13[[#This Row],[SIGNAL]])</f>
        <v>EV_PDPDELAY_24</v>
      </c>
      <c r="E157" s="9" t="str">
        <f>IF(Table13[[#This Row],[template]]="","","0x"&amp;Table13[[#This Row],[IP_Index]]&amp;DEC2HEX(Table13[[#This Row],[Addr_Dec]]*4,7))</f>
        <v>0x1000C460</v>
      </c>
      <c r="F157" s="9" t="str">
        <f>IF(Table13[[#This Row],[template]]="","",VLOOKUP(Table13[[#This Row],[template]],Table2915[],2,FALSE))</f>
        <v>asynParamInt32</v>
      </c>
      <c r="G157" s="18" t="str">
        <f>IF(Table13[[#This Row],[template]]="","","1")</f>
        <v>1</v>
      </c>
      <c r="H157" s="10"/>
      <c r="I157" s="13" t="str">
        <f>IF(Table13[[#This Row],[template]]="","","0x"&amp;Table13[[#This Row],[D_Index]]&amp;"000")</f>
        <v>0x01000000</v>
      </c>
      <c r="J157" s="18"/>
      <c r="K157" s="10">
        <v>0</v>
      </c>
      <c r="L157" s="10"/>
      <c r="M157" s="11" t="str">
        <f>IF(Table13[[#This Row],[template]]="","",VLOOKUP(Table13[[#This Row],[template]],Table2915[],3,FALSE))</f>
        <v xml:space="preserve"> </v>
      </c>
      <c r="N157" s="10"/>
      <c r="O157" s="11"/>
      <c r="P157" s="9" t="str">
        <f>IF(Table13[[#This Row],[template]]="","",Table13[[#This Row],[IP]]&amp;"_"&amp;Table13[[#This Row],[PARAM_NAME]]&amp;IF(Table13[[#This Row],[SUB]]="","","_"&amp;Table13[[#This Row],[SUB]]))</f>
        <v>ev_pdpDelay_24</v>
      </c>
      <c r="Q157" s="1" t="s">
        <v>262</v>
      </c>
      <c r="R157" s="1" t="s">
        <v>417</v>
      </c>
      <c r="S157" s="6" t="s">
        <v>287</v>
      </c>
      <c r="T157" s="20" t="str">
        <f>DEC2HEX(HEX2DEC(Table13[[#This Row],[Index]])/4+Table13[[#This Row],[SUB]],4)</f>
        <v>3118</v>
      </c>
      <c r="U157" s="6" t="s">
        <v>363</v>
      </c>
      <c r="V157" s="1" t="s">
        <v>254</v>
      </c>
      <c r="W157" s="16">
        <v>0</v>
      </c>
      <c r="X157" s="6" t="s">
        <v>363</v>
      </c>
      <c r="AA157" s="11">
        <f>IF(Table13[[#This Row],[template]]="","",VLOOKUP(Table13[[#This Row],[IP]],Table51117[],2,FALSE))</f>
        <v>1</v>
      </c>
      <c r="AB157" s="13" t="str">
        <f>IF(Table13[[#This Row],[template]]="","",DEC2HEX(VLOOKUP(Table13[[#This Row],[D1-Type]],Table351218[],2,FALSE),1)&amp;DEC2HEX(VLOOKUP(Table13[[#This Row],[D2-Type]],Table31016[],2,FALSE),1)&amp; DEC2HEX(Table13[[#This Row],[D2-Offset]],2)&amp;DEC2HEX(VLOOKUP(Table13[[#This Row],[D3-Type]],Table371319[],2,FALSE),1))</f>
        <v>01000</v>
      </c>
      <c r="AC157" s="14">
        <f>IF(Table13[[#This Row],[template]]="","",HEX2DEC(Table13[[#This Row],[Addr_Hex]]))</f>
        <v>12568</v>
      </c>
    </row>
    <row r="158" spans="2:29" x14ac:dyDescent="0.3">
      <c r="B158" s="13" t="s">
        <v>500</v>
      </c>
      <c r="C158" s="4" t="s">
        <v>233</v>
      </c>
      <c r="D158" s="9" t="str">
        <f>UPPER(Table13[[#This Row],[SIGNAL]])</f>
        <v>EV_PDPDELAY_25</v>
      </c>
      <c r="E158" s="9" t="str">
        <f>IF(Table13[[#This Row],[template]]="","","0x"&amp;Table13[[#This Row],[IP_Index]]&amp;DEC2HEX(Table13[[#This Row],[Addr_Dec]]*4,7))</f>
        <v>0x1000C464</v>
      </c>
      <c r="F158" s="9" t="str">
        <f>IF(Table13[[#This Row],[template]]="","",VLOOKUP(Table13[[#This Row],[template]],Table2915[],2,FALSE))</f>
        <v>asynParamInt32</v>
      </c>
      <c r="G158" s="18" t="str">
        <f>IF(Table13[[#This Row],[template]]="","","1")</f>
        <v>1</v>
      </c>
      <c r="H158" s="10"/>
      <c r="I158" s="13" t="str">
        <f>IF(Table13[[#This Row],[template]]="","","0x"&amp;Table13[[#This Row],[D_Index]]&amp;"000")</f>
        <v>0x01000000</v>
      </c>
      <c r="J158" s="18"/>
      <c r="K158" s="10">
        <v>0</v>
      </c>
      <c r="L158" s="10"/>
      <c r="M158" s="11" t="str">
        <f>IF(Table13[[#This Row],[template]]="","",VLOOKUP(Table13[[#This Row],[template]],Table2915[],3,FALSE))</f>
        <v xml:space="preserve"> </v>
      </c>
      <c r="N158" s="10"/>
      <c r="O158" s="11"/>
      <c r="P158" s="9" t="str">
        <f>IF(Table13[[#This Row],[template]]="","",Table13[[#This Row],[IP]]&amp;"_"&amp;Table13[[#This Row],[PARAM_NAME]]&amp;IF(Table13[[#This Row],[SUB]]="","","_"&amp;Table13[[#This Row],[SUB]]))</f>
        <v>ev_pdpDelay_25</v>
      </c>
      <c r="Q158" s="1" t="s">
        <v>262</v>
      </c>
      <c r="R158" s="1" t="s">
        <v>417</v>
      </c>
      <c r="S158" s="6" t="s">
        <v>288</v>
      </c>
      <c r="T158" s="20" t="str">
        <f>DEC2HEX(HEX2DEC(Table13[[#This Row],[Index]])/4+Table13[[#This Row],[SUB]],4)</f>
        <v>3119</v>
      </c>
      <c r="U158" s="6" t="s">
        <v>363</v>
      </c>
      <c r="V158" s="1" t="s">
        <v>254</v>
      </c>
      <c r="W158" s="16">
        <v>0</v>
      </c>
      <c r="X158" s="6" t="s">
        <v>363</v>
      </c>
      <c r="AA158" s="11">
        <f>IF(Table13[[#This Row],[template]]="","",VLOOKUP(Table13[[#This Row],[IP]],Table51117[],2,FALSE))</f>
        <v>1</v>
      </c>
      <c r="AB158" s="13" t="str">
        <f>IF(Table13[[#This Row],[template]]="","",DEC2HEX(VLOOKUP(Table13[[#This Row],[D1-Type]],Table351218[],2,FALSE),1)&amp;DEC2HEX(VLOOKUP(Table13[[#This Row],[D2-Type]],Table31016[],2,FALSE),1)&amp; DEC2HEX(Table13[[#This Row],[D2-Offset]],2)&amp;DEC2HEX(VLOOKUP(Table13[[#This Row],[D3-Type]],Table371319[],2,FALSE),1))</f>
        <v>01000</v>
      </c>
      <c r="AC158" s="14">
        <f>IF(Table13[[#This Row],[template]]="","",HEX2DEC(Table13[[#This Row],[Addr_Hex]]))</f>
        <v>12569</v>
      </c>
    </row>
    <row r="159" spans="2:29" x14ac:dyDescent="0.3">
      <c r="B159" s="13" t="s">
        <v>500</v>
      </c>
      <c r="C159" s="4" t="s">
        <v>233</v>
      </c>
      <c r="D159" s="9" t="str">
        <f>UPPER(Table13[[#This Row],[SIGNAL]])</f>
        <v>EV_PDPDELAY_26</v>
      </c>
      <c r="E159" s="9" t="str">
        <f>IF(Table13[[#This Row],[template]]="","","0x"&amp;Table13[[#This Row],[IP_Index]]&amp;DEC2HEX(Table13[[#This Row],[Addr_Dec]]*4,7))</f>
        <v>0x1000C468</v>
      </c>
      <c r="F159" s="9" t="str">
        <f>IF(Table13[[#This Row],[template]]="","",VLOOKUP(Table13[[#This Row],[template]],Table2915[],2,FALSE))</f>
        <v>asynParamInt32</v>
      </c>
      <c r="G159" s="18" t="str">
        <f>IF(Table13[[#This Row],[template]]="","","1")</f>
        <v>1</v>
      </c>
      <c r="H159" s="10"/>
      <c r="I159" s="13" t="str">
        <f>IF(Table13[[#This Row],[template]]="","","0x"&amp;Table13[[#This Row],[D_Index]]&amp;"000")</f>
        <v>0x01000000</v>
      </c>
      <c r="J159" s="18"/>
      <c r="K159" s="10">
        <v>0</v>
      </c>
      <c r="L159" s="10"/>
      <c r="M159" s="11" t="str">
        <f>IF(Table13[[#This Row],[template]]="","",VLOOKUP(Table13[[#This Row],[template]],Table2915[],3,FALSE))</f>
        <v xml:space="preserve"> </v>
      </c>
      <c r="N159" s="10"/>
      <c r="O159" s="11"/>
      <c r="P159" s="9" t="str">
        <f>IF(Table13[[#This Row],[template]]="","",Table13[[#This Row],[IP]]&amp;"_"&amp;Table13[[#This Row],[PARAM_NAME]]&amp;IF(Table13[[#This Row],[SUB]]="","","_"&amp;Table13[[#This Row],[SUB]]))</f>
        <v>ev_pdpDelay_26</v>
      </c>
      <c r="Q159" s="1" t="s">
        <v>262</v>
      </c>
      <c r="R159" s="1" t="s">
        <v>417</v>
      </c>
      <c r="S159" s="6" t="s">
        <v>289</v>
      </c>
      <c r="T159" s="20" t="str">
        <f>DEC2HEX(HEX2DEC(Table13[[#This Row],[Index]])/4+Table13[[#This Row],[SUB]],4)</f>
        <v>311A</v>
      </c>
      <c r="U159" s="6" t="s">
        <v>363</v>
      </c>
      <c r="V159" s="1" t="s">
        <v>254</v>
      </c>
      <c r="W159" s="16">
        <v>0</v>
      </c>
      <c r="X159" s="6" t="s">
        <v>363</v>
      </c>
      <c r="AA159" s="11">
        <f>IF(Table13[[#This Row],[template]]="","",VLOOKUP(Table13[[#This Row],[IP]],Table51117[],2,FALSE))</f>
        <v>1</v>
      </c>
      <c r="AB159" s="13" t="str">
        <f>IF(Table13[[#This Row],[template]]="","",DEC2HEX(VLOOKUP(Table13[[#This Row],[D1-Type]],Table351218[],2,FALSE),1)&amp;DEC2HEX(VLOOKUP(Table13[[#This Row],[D2-Type]],Table31016[],2,FALSE),1)&amp; DEC2HEX(Table13[[#This Row],[D2-Offset]],2)&amp;DEC2HEX(VLOOKUP(Table13[[#This Row],[D3-Type]],Table371319[],2,FALSE),1))</f>
        <v>01000</v>
      </c>
      <c r="AC159" s="14">
        <f>IF(Table13[[#This Row],[template]]="","",HEX2DEC(Table13[[#This Row],[Addr_Hex]]))</f>
        <v>12570</v>
      </c>
    </row>
    <row r="160" spans="2:29" x14ac:dyDescent="0.3">
      <c r="B160" s="13" t="s">
        <v>500</v>
      </c>
      <c r="C160" s="4" t="s">
        <v>233</v>
      </c>
      <c r="D160" s="9" t="str">
        <f>UPPER(Table13[[#This Row],[SIGNAL]])</f>
        <v>EV_PDPDELAY_27</v>
      </c>
      <c r="E160" s="9" t="str">
        <f>IF(Table13[[#This Row],[template]]="","","0x"&amp;Table13[[#This Row],[IP_Index]]&amp;DEC2HEX(Table13[[#This Row],[Addr_Dec]]*4,7))</f>
        <v>0x1000C46C</v>
      </c>
      <c r="F160" s="9" t="str">
        <f>IF(Table13[[#This Row],[template]]="","",VLOOKUP(Table13[[#This Row],[template]],Table2915[],2,FALSE))</f>
        <v>asynParamInt32</v>
      </c>
      <c r="G160" s="18" t="str">
        <f>IF(Table13[[#This Row],[template]]="","","1")</f>
        <v>1</v>
      </c>
      <c r="H160" s="10"/>
      <c r="I160" s="13" t="str">
        <f>IF(Table13[[#This Row],[template]]="","","0x"&amp;Table13[[#This Row],[D_Index]]&amp;"000")</f>
        <v>0x01000000</v>
      </c>
      <c r="J160" s="18"/>
      <c r="K160" s="10">
        <v>0</v>
      </c>
      <c r="L160" s="10"/>
      <c r="M160" s="11" t="str">
        <f>IF(Table13[[#This Row],[template]]="","",VLOOKUP(Table13[[#This Row],[template]],Table2915[],3,FALSE))</f>
        <v xml:space="preserve"> </v>
      </c>
      <c r="N160" s="10"/>
      <c r="O160" s="11"/>
      <c r="P160" s="9" t="str">
        <f>IF(Table13[[#This Row],[template]]="","",Table13[[#This Row],[IP]]&amp;"_"&amp;Table13[[#This Row],[PARAM_NAME]]&amp;IF(Table13[[#This Row],[SUB]]="","","_"&amp;Table13[[#This Row],[SUB]]))</f>
        <v>ev_pdpDelay_27</v>
      </c>
      <c r="Q160" s="1" t="s">
        <v>262</v>
      </c>
      <c r="R160" s="1" t="s">
        <v>417</v>
      </c>
      <c r="S160" s="6" t="s">
        <v>290</v>
      </c>
      <c r="T160" s="20" t="str">
        <f>DEC2HEX(HEX2DEC(Table13[[#This Row],[Index]])/4+Table13[[#This Row],[SUB]],4)</f>
        <v>311B</v>
      </c>
      <c r="U160" s="6" t="s">
        <v>363</v>
      </c>
      <c r="V160" s="1" t="s">
        <v>254</v>
      </c>
      <c r="W160" s="16">
        <v>0</v>
      </c>
      <c r="X160" s="6" t="s">
        <v>363</v>
      </c>
      <c r="AA160" s="11">
        <f>IF(Table13[[#This Row],[template]]="","",VLOOKUP(Table13[[#This Row],[IP]],Table51117[],2,FALSE))</f>
        <v>1</v>
      </c>
      <c r="AB160" s="13" t="str">
        <f>IF(Table13[[#This Row],[template]]="","",DEC2HEX(VLOOKUP(Table13[[#This Row],[D1-Type]],Table351218[],2,FALSE),1)&amp;DEC2HEX(VLOOKUP(Table13[[#This Row],[D2-Type]],Table31016[],2,FALSE),1)&amp; DEC2HEX(Table13[[#This Row],[D2-Offset]],2)&amp;DEC2HEX(VLOOKUP(Table13[[#This Row],[D3-Type]],Table371319[],2,FALSE),1))</f>
        <v>01000</v>
      </c>
      <c r="AC160" s="14">
        <f>IF(Table13[[#This Row],[template]]="","",HEX2DEC(Table13[[#This Row],[Addr_Hex]]))</f>
        <v>12571</v>
      </c>
    </row>
    <row r="161" spans="2:29" x14ac:dyDescent="0.3">
      <c r="B161" s="13" t="s">
        <v>500</v>
      </c>
      <c r="C161" s="4" t="s">
        <v>233</v>
      </c>
      <c r="D161" s="9" t="str">
        <f>UPPER(Table13[[#This Row],[SIGNAL]])</f>
        <v>EV_PDPDELAY_28</v>
      </c>
      <c r="E161" s="9" t="str">
        <f>IF(Table13[[#This Row],[template]]="","","0x"&amp;Table13[[#This Row],[IP_Index]]&amp;DEC2HEX(Table13[[#This Row],[Addr_Dec]]*4,7))</f>
        <v>0x1000C470</v>
      </c>
      <c r="F161" s="9" t="str">
        <f>IF(Table13[[#This Row],[template]]="","",VLOOKUP(Table13[[#This Row],[template]],Table2915[],2,FALSE))</f>
        <v>asynParamInt32</v>
      </c>
      <c r="G161" s="18" t="str">
        <f>IF(Table13[[#This Row],[template]]="","","1")</f>
        <v>1</v>
      </c>
      <c r="H161" s="10"/>
      <c r="I161" s="13" t="str">
        <f>IF(Table13[[#This Row],[template]]="","","0x"&amp;Table13[[#This Row],[D_Index]]&amp;"000")</f>
        <v>0x01000000</v>
      </c>
      <c r="J161" s="18"/>
      <c r="K161" s="10">
        <v>0</v>
      </c>
      <c r="L161" s="10"/>
      <c r="M161" s="11" t="str">
        <f>IF(Table13[[#This Row],[template]]="","",VLOOKUP(Table13[[#This Row],[template]],Table2915[],3,FALSE))</f>
        <v xml:space="preserve"> </v>
      </c>
      <c r="N161" s="10"/>
      <c r="O161" s="11"/>
      <c r="P161" s="9" t="str">
        <f>IF(Table13[[#This Row],[template]]="","",Table13[[#This Row],[IP]]&amp;"_"&amp;Table13[[#This Row],[PARAM_NAME]]&amp;IF(Table13[[#This Row],[SUB]]="","","_"&amp;Table13[[#This Row],[SUB]]))</f>
        <v>ev_pdpDelay_28</v>
      </c>
      <c r="Q161" s="1" t="s">
        <v>262</v>
      </c>
      <c r="R161" s="1" t="s">
        <v>417</v>
      </c>
      <c r="S161" s="6" t="s">
        <v>291</v>
      </c>
      <c r="T161" s="20" t="str">
        <f>DEC2HEX(HEX2DEC(Table13[[#This Row],[Index]])/4+Table13[[#This Row],[SUB]],4)</f>
        <v>311C</v>
      </c>
      <c r="U161" s="6" t="s">
        <v>363</v>
      </c>
      <c r="V161" s="1" t="s">
        <v>254</v>
      </c>
      <c r="W161" s="16">
        <v>0</v>
      </c>
      <c r="X161" s="6" t="s">
        <v>363</v>
      </c>
      <c r="AA161" s="11">
        <f>IF(Table13[[#This Row],[template]]="","",VLOOKUP(Table13[[#This Row],[IP]],Table51117[],2,FALSE))</f>
        <v>1</v>
      </c>
      <c r="AB161" s="13" t="str">
        <f>IF(Table13[[#This Row],[template]]="","",DEC2HEX(VLOOKUP(Table13[[#This Row],[D1-Type]],Table351218[],2,FALSE),1)&amp;DEC2HEX(VLOOKUP(Table13[[#This Row],[D2-Type]],Table31016[],2,FALSE),1)&amp; DEC2HEX(Table13[[#This Row],[D2-Offset]],2)&amp;DEC2HEX(VLOOKUP(Table13[[#This Row],[D3-Type]],Table371319[],2,FALSE),1))</f>
        <v>01000</v>
      </c>
      <c r="AC161" s="14">
        <f>IF(Table13[[#This Row],[template]]="","",HEX2DEC(Table13[[#This Row],[Addr_Hex]]))</f>
        <v>12572</v>
      </c>
    </row>
    <row r="162" spans="2:29" x14ac:dyDescent="0.3">
      <c r="B162" s="13" t="s">
        <v>500</v>
      </c>
      <c r="C162" s="4" t="s">
        <v>233</v>
      </c>
      <c r="D162" s="9" t="str">
        <f>UPPER(Table13[[#This Row],[SIGNAL]])</f>
        <v>EV_PDPDELAY_29</v>
      </c>
      <c r="E162" s="9" t="str">
        <f>IF(Table13[[#This Row],[template]]="","","0x"&amp;Table13[[#This Row],[IP_Index]]&amp;DEC2HEX(Table13[[#This Row],[Addr_Dec]]*4,7))</f>
        <v>0x1000C474</v>
      </c>
      <c r="F162" s="9" t="str">
        <f>IF(Table13[[#This Row],[template]]="","",VLOOKUP(Table13[[#This Row],[template]],Table2915[],2,FALSE))</f>
        <v>asynParamInt32</v>
      </c>
      <c r="G162" s="18" t="str">
        <f>IF(Table13[[#This Row],[template]]="","","1")</f>
        <v>1</v>
      </c>
      <c r="H162" s="10"/>
      <c r="I162" s="13" t="str">
        <f>IF(Table13[[#This Row],[template]]="","","0x"&amp;Table13[[#This Row],[D_Index]]&amp;"000")</f>
        <v>0x01000000</v>
      </c>
      <c r="J162" s="18"/>
      <c r="K162" s="10">
        <v>0</v>
      </c>
      <c r="L162" s="10"/>
      <c r="M162" s="11" t="str">
        <f>IF(Table13[[#This Row],[template]]="","",VLOOKUP(Table13[[#This Row],[template]],Table2915[],3,FALSE))</f>
        <v xml:space="preserve"> </v>
      </c>
      <c r="N162" s="10"/>
      <c r="O162" s="11"/>
      <c r="P162" s="9" t="str">
        <f>IF(Table13[[#This Row],[template]]="","",Table13[[#This Row],[IP]]&amp;"_"&amp;Table13[[#This Row],[PARAM_NAME]]&amp;IF(Table13[[#This Row],[SUB]]="","","_"&amp;Table13[[#This Row],[SUB]]))</f>
        <v>ev_pdpDelay_29</v>
      </c>
      <c r="Q162" s="1" t="s">
        <v>262</v>
      </c>
      <c r="R162" s="1" t="s">
        <v>417</v>
      </c>
      <c r="S162" s="6" t="s">
        <v>292</v>
      </c>
      <c r="T162" s="20" t="str">
        <f>DEC2HEX(HEX2DEC(Table13[[#This Row],[Index]])/4+Table13[[#This Row],[SUB]],4)</f>
        <v>311D</v>
      </c>
      <c r="U162" s="6" t="s">
        <v>363</v>
      </c>
      <c r="V162" s="1" t="s">
        <v>254</v>
      </c>
      <c r="W162" s="16">
        <v>0</v>
      </c>
      <c r="X162" s="6" t="s">
        <v>363</v>
      </c>
      <c r="AA162" s="11">
        <f>IF(Table13[[#This Row],[template]]="","",VLOOKUP(Table13[[#This Row],[IP]],Table51117[],2,FALSE))</f>
        <v>1</v>
      </c>
      <c r="AB162" s="13" t="str">
        <f>IF(Table13[[#This Row],[template]]="","",DEC2HEX(VLOOKUP(Table13[[#This Row],[D1-Type]],Table351218[],2,FALSE),1)&amp;DEC2HEX(VLOOKUP(Table13[[#This Row],[D2-Type]],Table31016[],2,FALSE),1)&amp; DEC2HEX(Table13[[#This Row],[D2-Offset]],2)&amp;DEC2HEX(VLOOKUP(Table13[[#This Row],[D3-Type]],Table371319[],2,FALSE),1))</f>
        <v>01000</v>
      </c>
      <c r="AC162" s="14">
        <f>IF(Table13[[#This Row],[template]]="","",HEX2DEC(Table13[[#This Row],[Addr_Hex]]))</f>
        <v>12573</v>
      </c>
    </row>
    <row r="163" spans="2:29" x14ac:dyDescent="0.3">
      <c r="B163" s="13" t="s">
        <v>500</v>
      </c>
      <c r="C163" s="4" t="s">
        <v>233</v>
      </c>
      <c r="D163" s="9" t="str">
        <f>UPPER(Table13[[#This Row],[SIGNAL]])</f>
        <v>EV_PDPDELAY_30</v>
      </c>
      <c r="E163" s="9" t="str">
        <f>IF(Table13[[#This Row],[template]]="","","0x"&amp;Table13[[#This Row],[IP_Index]]&amp;DEC2HEX(Table13[[#This Row],[Addr_Dec]]*4,7))</f>
        <v>0x1000C478</v>
      </c>
      <c r="F163" s="9" t="str">
        <f>IF(Table13[[#This Row],[template]]="","",VLOOKUP(Table13[[#This Row],[template]],Table2915[],2,FALSE))</f>
        <v>asynParamInt32</v>
      </c>
      <c r="G163" s="18" t="str">
        <f>IF(Table13[[#This Row],[template]]="","","1")</f>
        <v>1</v>
      </c>
      <c r="H163" s="10"/>
      <c r="I163" s="13" t="str">
        <f>IF(Table13[[#This Row],[template]]="","","0x"&amp;Table13[[#This Row],[D_Index]]&amp;"000")</f>
        <v>0x01000000</v>
      </c>
      <c r="J163" s="18"/>
      <c r="K163" s="10">
        <v>0</v>
      </c>
      <c r="L163" s="10"/>
      <c r="M163" s="11" t="str">
        <f>IF(Table13[[#This Row],[template]]="","",VLOOKUP(Table13[[#This Row],[template]],Table2915[],3,FALSE))</f>
        <v xml:space="preserve"> </v>
      </c>
      <c r="N163" s="10"/>
      <c r="O163" s="11"/>
      <c r="P163" s="9" t="str">
        <f>IF(Table13[[#This Row],[template]]="","",Table13[[#This Row],[IP]]&amp;"_"&amp;Table13[[#This Row],[PARAM_NAME]]&amp;IF(Table13[[#This Row],[SUB]]="","","_"&amp;Table13[[#This Row],[SUB]]))</f>
        <v>ev_pdpDelay_30</v>
      </c>
      <c r="Q163" s="1" t="s">
        <v>262</v>
      </c>
      <c r="R163" s="1" t="s">
        <v>417</v>
      </c>
      <c r="S163" s="6" t="s">
        <v>293</v>
      </c>
      <c r="T163" s="20" t="str">
        <f>DEC2HEX(HEX2DEC(Table13[[#This Row],[Index]])/4+Table13[[#This Row],[SUB]],4)</f>
        <v>311E</v>
      </c>
      <c r="U163" s="6" t="s">
        <v>363</v>
      </c>
      <c r="V163" s="1" t="s">
        <v>254</v>
      </c>
      <c r="W163" s="16">
        <v>0</v>
      </c>
      <c r="X163" s="6" t="s">
        <v>363</v>
      </c>
      <c r="AA163" s="11">
        <f>IF(Table13[[#This Row],[template]]="","",VLOOKUP(Table13[[#This Row],[IP]],Table51117[],2,FALSE))</f>
        <v>1</v>
      </c>
      <c r="AB163" s="13" t="str">
        <f>IF(Table13[[#This Row],[template]]="","",DEC2HEX(VLOOKUP(Table13[[#This Row],[D1-Type]],Table351218[],2,FALSE),1)&amp;DEC2HEX(VLOOKUP(Table13[[#This Row],[D2-Type]],Table31016[],2,FALSE),1)&amp; DEC2HEX(Table13[[#This Row],[D2-Offset]],2)&amp;DEC2HEX(VLOOKUP(Table13[[#This Row],[D3-Type]],Table371319[],2,FALSE),1))</f>
        <v>01000</v>
      </c>
      <c r="AC163" s="14">
        <f>IF(Table13[[#This Row],[template]]="","",HEX2DEC(Table13[[#This Row],[Addr_Hex]]))</f>
        <v>12574</v>
      </c>
    </row>
    <row r="164" spans="2:29" x14ac:dyDescent="0.3">
      <c r="B164" s="13" t="s">
        <v>500</v>
      </c>
      <c r="C164" s="4" t="s">
        <v>233</v>
      </c>
      <c r="D164" s="9" t="str">
        <f>UPPER(Table13[[#This Row],[SIGNAL]])</f>
        <v>EV_PDPDELAY_31</v>
      </c>
      <c r="E164" s="9" t="str">
        <f>IF(Table13[[#This Row],[template]]="","","0x"&amp;Table13[[#This Row],[IP_Index]]&amp;DEC2HEX(Table13[[#This Row],[Addr_Dec]]*4,7))</f>
        <v>0x1000C47C</v>
      </c>
      <c r="F164" s="9" t="str">
        <f>IF(Table13[[#This Row],[template]]="","",VLOOKUP(Table13[[#This Row],[template]],Table2915[],2,FALSE))</f>
        <v>asynParamInt32</v>
      </c>
      <c r="G164" s="18" t="str">
        <f>IF(Table13[[#This Row],[template]]="","","1")</f>
        <v>1</v>
      </c>
      <c r="H164" s="10"/>
      <c r="I164" s="13" t="str">
        <f>IF(Table13[[#This Row],[template]]="","","0x"&amp;Table13[[#This Row],[D_Index]]&amp;"000")</f>
        <v>0x01000000</v>
      </c>
      <c r="J164" s="18"/>
      <c r="K164" s="10">
        <v>0</v>
      </c>
      <c r="L164" s="10"/>
      <c r="M164" s="11" t="str">
        <f>IF(Table13[[#This Row],[template]]="","",VLOOKUP(Table13[[#This Row],[template]],Table2915[],3,FALSE))</f>
        <v xml:space="preserve"> </v>
      </c>
      <c r="N164" s="10"/>
      <c r="O164" s="11"/>
      <c r="P164" s="9" t="str">
        <f>IF(Table13[[#This Row],[template]]="","",Table13[[#This Row],[IP]]&amp;"_"&amp;Table13[[#This Row],[PARAM_NAME]]&amp;IF(Table13[[#This Row],[SUB]]="","","_"&amp;Table13[[#This Row],[SUB]]))</f>
        <v>ev_pdpDelay_31</v>
      </c>
      <c r="Q164" s="1" t="s">
        <v>262</v>
      </c>
      <c r="R164" s="1" t="s">
        <v>417</v>
      </c>
      <c r="S164" s="6" t="s">
        <v>294</v>
      </c>
      <c r="T164" s="20" t="str">
        <f>DEC2HEX(HEX2DEC(Table13[[#This Row],[Index]])/4+Table13[[#This Row],[SUB]],4)</f>
        <v>311F</v>
      </c>
      <c r="U164" s="6" t="s">
        <v>363</v>
      </c>
      <c r="V164" s="1" t="s">
        <v>254</v>
      </c>
      <c r="W164" s="16">
        <v>0</v>
      </c>
      <c r="X164" s="6" t="s">
        <v>363</v>
      </c>
      <c r="AA164" s="11">
        <f>IF(Table13[[#This Row],[template]]="","",VLOOKUP(Table13[[#This Row],[IP]],Table51117[],2,FALSE))</f>
        <v>1</v>
      </c>
      <c r="AB164" s="13" t="str">
        <f>IF(Table13[[#This Row],[template]]="","",DEC2HEX(VLOOKUP(Table13[[#This Row],[D1-Type]],Table351218[],2,FALSE),1)&amp;DEC2HEX(VLOOKUP(Table13[[#This Row],[D2-Type]],Table31016[],2,FALSE),1)&amp; DEC2HEX(Table13[[#This Row],[D2-Offset]],2)&amp;DEC2HEX(VLOOKUP(Table13[[#This Row],[D3-Type]],Table371319[],2,FALSE),1))</f>
        <v>01000</v>
      </c>
      <c r="AC164" s="14">
        <f>IF(Table13[[#This Row],[template]]="","",HEX2DEC(Table13[[#This Row],[Addr_Hex]]))</f>
        <v>12575</v>
      </c>
    </row>
    <row r="165" spans="2:29" x14ac:dyDescent="0.3">
      <c r="B165" s="4">
        <v>218</v>
      </c>
      <c r="C165" s="4"/>
      <c r="D165" s="9" t="str">
        <f>UPPER(Table13[[#This Row],[SIGNAL]])</f>
        <v/>
      </c>
      <c r="E165" s="9" t="str">
        <f>IF(Table13[[#This Row],[template]]="","","0x"&amp;Table13[[#This Row],[IP_Index]]&amp;DEC2HEX(Table13[[#This Row],[Addr_Dec]]*4,7))</f>
        <v/>
      </c>
      <c r="F165" s="9" t="str">
        <f>IF(Table13[[#This Row],[template]]="","",VLOOKUP(Table13[[#This Row],[template]],Table2915[],2,FALSE))</f>
        <v/>
      </c>
      <c r="G165" s="18" t="str">
        <f>IF(Table13[[#This Row],[template]]="","","1")</f>
        <v/>
      </c>
      <c r="H165" s="10"/>
      <c r="I165" s="13" t="str">
        <f>IF(Table13[[#This Row],[template]]="","","0x"&amp;Table13[[#This Row],[D_Index]]&amp;"000")</f>
        <v/>
      </c>
      <c r="J165" s="18"/>
      <c r="K165" s="10"/>
      <c r="L165" s="10"/>
      <c r="M165" s="11" t="str">
        <f>IF(Table13[[#This Row],[template]]="","",VLOOKUP(Table13[[#This Row],[template]],Table2915[],3,FALSE))</f>
        <v/>
      </c>
      <c r="N165" s="10"/>
      <c r="O165" s="11"/>
      <c r="P165" s="9" t="str">
        <f>IF(Table13[[#This Row],[template]]="","",Table13[[#This Row],[IP]]&amp;"_"&amp;Table13[[#This Row],[PARAM_NAME]]&amp;IF(Table13[[#This Row],[SUB]]="","","_"&amp;Table13[[#This Row],[SUB]]))</f>
        <v/>
      </c>
      <c r="S165" s="6"/>
      <c r="T165" s="4"/>
      <c r="U165" s="6"/>
      <c r="W165" s="16"/>
      <c r="X165" s="6"/>
      <c r="AA165" s="11" t="str">
        <f>IF(Table13[[#This Row],[template]]="","",VLOOKUP(Table13[[#This Row],[IP]],Table51117[],2,FALSE))</f>
        <v/>
      </c>
      <c r="AB165" s="13" t="str">
        <f>IF(Table13[[#This Row],[template]]="","",DEC2HEX(VLOOKUP(Table13[[#This Row],[D1-Type]],Table351218[],2,FALSE),1)&amp;DEC2HEX(VLOOKUP(Table13[[#This Row],[D2-Type]],Table31016[],2,FALSE),1)&amp; DEC2HEX(Table13[[#This Row],[D2-Offset]],2)&amp;DEC2HEX(VLOOKUP(Table13[[#This Row],[D3-Type]],Table371319[],2,FALSE),1))</f>
        <v/>
      </c>
      <c r="AC165" s="14" t="str">
        <f>IF(Table13[[#This Row],[template]]="","",HEX2DEC(Table13[[#This Row],[Addr_Hex]]))</f>
        <v/>
      </c>
    </row>
    <row r="166" spans="2:29" x14ac:dyDescent="0.3">
      <c r="B166" s="13" t="s">
        <v>501</v>
      </c>
      <c r="C166" s="4" t="s">
        <v>233</v>
      </c>
      <c r="D166" s="9" t="str">
        <f>UPPER(Table13[[#This Row],[SIGNAL]])</f>
        <v>EV_PDPWIDTH_0</v>
      </c>
      <c r="E166" s="9" t="str">
        <f>IF(Table13[[#This Row],[template]]="","","0x"&amp;Table13[[#This Row],[IP_Index]]&amp;DEC2HEX(Table13[[#This Row],[Addr_Dec]]*4,7))</f>
        <v>0x1000C480</v>
      </c>
      <c r="F166" s="9" t="str">
        <f>IF(Table13[[#This Row],[template]]="","",VLOOKUP(Table13[[#This Row],[template]],Table2915[],2,FALSE))</f>
        <v>asynParamInt32</v>
      </c>
      <c r="G166" s="18" t="str">
        <f>IF(Table13[[#This Row],[template]]="","","1")</f>
        <v>1</v>
      </c>
      <c r="H166" s="10"/>
      <c r="I166" s="13" t="str">
        <f>IF(Table13[[#This Row],[template]]="","","0x"&amp;Table13[[#This Row],[D_Index]]&amp;"000")</f>
        <v>0x01000000</v>
      </c>
      <c r="J166" s="18"/>
      <c r="K166" s="10">
        <v>0</v>
      </c>
      <c r="L166" s="10"/>
      <c r="M166" s="11" t="str">
        <f>IF(Table13[[#This Row],[template]]="","",VLOOKUP(Table13[[#This Row],[template]],Table2915[],3,FALSE))</f>
        <v xml:space="preserve"> </v>
      </c>
      <c r="N166" s="10"/>
      <c r="O166" s="11"/>
      <c r="P166" s="9" t="str">
        <f>IF(Table13[[#This Row],[template]]="","",Table13[[#This Row],[IP]]&amp;"_"&amp;Table13[[#This Row],[PARAM_NAME]]&amp;IF(Table13[[#This Row],[SUB]]="","","_"&amp;Table13[[#This Row],[SUB]]))</f>
        <v>ev_pdpWidth_0</v>
      </c>
      <c r="Q166" s="1" t="s">
        <v>262</v>
      </c>
      <c r="R166" s="1" t="s">
        <v>418</v>
      </c>
      <c r="S166" s="6" t="s">
        <v>367</v>
      </c>
      <c r="T166" s="20" t="str">
        <f>DEC2HEX(HEX2DEC(Table13[[#This Row],[Index]])/4+Table13[[#This Row],[SUB]],4)</f>
        <v>3120</v>
      </c>
      <c r="U166" s="6" t="s">
        <v>363</v>
      </c>
      <c r="V166" s="1" t="s">
        <v>254</v>
      </c>
      <c r="W166" s="16">
        <v>0</v>
      </c>
      <c r="X166" s="6" t="s">
        <v>363</v>
      </c>
      <c r="AA166" s="11">
        <f>IF(Table13[[#This Row],[template]]="","",VLOOKUP(Table13[[#This Row],[IP]],Table51117[],2,FALSE))</f>
        <v>1</v>
      </c>
      <c r="AB166" s="13" t="str">
        <f>IF(Table13[[#This Row],[template]]="","",DEC2HEX(VLOOKUP(Table13[[#This Row],[D1-Type]],Table351218[],2,FALSE),1)&amp;DEC2HEX(VLOOKUP(Table13[[#This Row],[D2-Type]],Table31016[],2,FALSE),1)&amp; DEC2HEX(Table13[[#This Row],[D2-Offset]],2)&amp;DEC2HEX(VLOOKUP(Table13[[#This Row],[D3-Type]],Table371319[],2,FALSE),1))</f>
        <v>01000</v>
      </c>
      <c r="AC166" s="14">
        <f>IF(Table13[[#This Row],[template]]="","",HEX2DEC(Table13[[#This Row],[Addr_Hex]]))</f>
        <v>12576</v>
      </c>
    </row>
    <row r="167" spans="2:29" x14ac:dyDescent="0.3">
      <c r="B167" s="13" t="s">
        <v>501</v>
      </c>
      <c r="C167" s="4" t="s">
        <v>233</v>
      </c>
      <c r="D167" s="9" t="str">
        <f>UPPER(Table13[[#This Row],[SIGNAL]])</f>
        <v>EV_PDPWIDTH_1</v>
      </c>
      <c r="E167" s="9" t="str">
        <f>IF(Table13[[#This Row],[template]]="","","0x"&amp;Table13[[#This Row],[IP_Index]]&amp;DEC2HEX(Table13[[#This Row],[Addr_Dec]]*4,7))</f>
        <v>0x1000C484</v>
      </c>
      <c r="F167" s="9" t="str">
        <f>IF(Table13[[#This Row],[template]]="","",VLOOKUP(Table13[[#This Row],[template]],Table2915[],2,FALSE))</f>
        <v>asynParamInt32</v>
      </c>
      <c r="G167" s="18" t="str">
        <f>IF(Table13[[#This Row],[template]]="","","1")</f>
        <v>1</v>
      </c>
      <c r="H167" s="10"/>
      <c r="I167" s="13" t="str">
        <f>IF(Table13[[#This Row],[template]]="","","0x"&amp;Table13[[#This Row],[D_Index]]&amp;"000")</f>
        <v>0x01000000</v>
      </c>
      <c r="J167" s="18"/>
      <c r="K167" s="10">
        <v>0</v>
      </c>
      <c r="L167" s="10"/>
      <c r="M167" s="11" t="str">
        <f>IF(Table13[[#This Row],[template]]="","",VLOOKUP(Table13[[#This Row],[template]],Table2915[],3,FALSE))</f>
        <v xml:space="preserve"> </v>
      </c>
      <c r="N167" s="10"/>
      <c r="O167" s="11"/>
      <c r="P167" s="9" t="str">
        <f>IF(Table13[[#This Row],[template]]="","",Table13[[#This Row],[IP]]&amp;"_"&amp;Table13[[#This Row],[PARAM_NAME]]&amp;IF(Table13[[#This Row],[SUB]]="","","_"&amp;Table13[[#This Row],[SUB]]))</f>
        <v>ev_pdpWidth_1</v>
      </c>
      <c r="Q167" s="1" t="s">
        <v>262</v>
      </c>
      <c r="R167" s="1" t="s">
        <v>418</v>
      </c>
      <c r="S167" s="6" t="s">
        <v>271</v>
      </c>
      <c r="T167" s="20" t="s">
        <v>419</v>
      </c>
      <c r="U167" s="6" t="s">
        <v>363</v>
      </c>
      <c r="V167" s="1" t="s">
        <v>254</v>
      </c>
      <c r="W167" s="16">
        <v>0</v>
      </c>
      <c r="X167" s="6" t="s">
        <v>363</v>
      </c>
      <c r="AA167" s="11">
        <f>IF(Table13[[#This Row],[template]]="","",VLOOKUP(Table13[[#This Row],[IP]],Table51117[],2,FALSE))</f>
        <v>1</v>
      </c>
      <c r="AB167" s="13" t="str">
        <f>IF(Table13[[#This Row],[template]]="","",DEC2HEX(VLOOKUP(Table13[[#This Row],[D1-Type]],Table351218[],2,FALSE),1)&amp;DEC2HEX(VLOOKUP(Table13[[#This Row],[D2-Type]],Table31016[],2,FALSE),1)&amp; DEC2HEX(Table13[[#This Row],[D2-Offset]],2)&amp;DEC2HEX(VLOOKUP(Table13[[#This Row],[D3-Type]],Table371319[],2,FALSE),1))</f>
        <v>01000</v>
      </c>
      <c r="AC167" s="14">
        <f>IF(Table13[[#This Row],[template]]="","",HEX2DEC(Table13[[#This Row],[Addr_Hex]]))</f>
        <v>12577</v>
      </c>
    </row>
    <row r="168" spans="2:29" x14ac:dyDescent="0.3">
      <c r="B168" s="13" t="s">
        <v>501</v>
      </c>
      <c r="C168" s="4" t="s">
        <v>233</v>
      </c>
      <c r="D168" s="9" t="str">
        <f>UPPER(Table13[[#This Row],[SIGNAL]])</f>
        <v>EV_PDPWIDTH_2</v>
      </c>
      <c r="E168" s="9" t="str">
        <f>IF(Table13[[#This Row],[template]]="","","0x"&amp;Table13[[#This Row],[IP_Index]]&amp;DEC2HEX(Table13[[#This Row],[Addr_Dec]]*4,7))</f>
        <v>0x1000C488</v>
      </c>
      <c r="F168" s="9" t="str">
        <f>IF(Table13[[#This Row],[template]]="","",VLOOKUP(Table13[[#This Row],[template]],Table2915[],2,FALSE))</f>
        <v>asynParamInt32</v>
      </c>
      <c r="G168" s="18" t="str">
        <f>IF(Table13[[#This Row],[template]]="","","1")</f>
        <v>1</v>
      </c>
      <c r="H168" s="10"/>
      <c r="I168" s="13" t="str">
        <f>IF(Table13[[#This Row],[template]]="","","0x"&amp;Table13[[#This Row],[D_Index]]&amp;"000")</f>
        <v>0x01000000</v>
      </c>
      <c r="J168" s="18"/>
      <c r="K168" s="10">
        <v>0</v>
      </c>
      <c r="L168" s="10"/>
      <c r="M168" s="11" t="str">
        <f>IF(Table13[[#This Row],[template]]="","",VLOOKUP(Table13[[#This Row],[template]],Table2915[],3,FALSE))</f>
        <v xml:space="preserve"> </v>
      </c>
      <c r="N168" s="10"/>
      <c r="O168" s="11"/>
      <c r="P168" s="9" t="str">
        <f>IF(Table13[[#This Row],[template]]="","",Table13[[#This Row],[IP]]&amp;"_"&amp;Table13[[#This Row],[PARAM_NAME]]&amp;IF(Table13[[#This Row],[SUB]]="","","_"&amp;Table13[[#This Row],[SUB]]))</f>
        <v>ev_pdpWidth_2</v>
      </c>
      <c r="Q168" s="1" t="s">
        <v>262</v>
      </c>
      <c r="R168" s="1" t="s">
        <v>418</v>
      </c>
      <c r="S168" s="6" t="s">
        <v>243</v>
      </c>
      <c r="T168" s="20" t="s">
        <v>420</v>
      </c>
      <c r="U168" s="6" t="s">
        <v>363</v>
      </c>
      <c r="V168" s="1" t="s">
        <v>254</v>
      </c>
      <c r="W168" s="16">
        <v>0</v>
      </c>
      <c r="X168" s="6" t="s">
        <v>363</v>
      </c>
      <c r="AA168" s="11">
        <f>IF(Table13[[#This Row],[template]]="","",VLOOKUP(Table13[[#This Row],[IP]],Table51117[],2,FALSE))</f>
        <v>1</v>
      </c>
      <c r="AB168" s="13" t="str">
        <f>IF(Table13[[#This Row],[template]]="","",DEC2HEX(VLOOKUP(Table13[[#This Row],[D1-Type]],Table351218[],2,FALSE),1)&amp;DEC2HEX(VLOOKUP(Table13[[#This Row],[D2-Type]],Table31016[],2,FALSE),1)&amp; DEC2HEX(Table13[[#This Row],[D2-Offset]],2)&amp;DEC2HEX(VLOOKUP(Table13[[#This Row],[D3-Type]],Table371319[],2,FALSE),1))</f>
        <v>01000</v>
      </c>
      <c r="AC168" s="14">
        <f>IF(Table13[[#This Row],[template]]="","",HEX2DEC(Table13[[#This Row],[Addr_Hex]]))</f>
        <v>12578</v>
      </c>
    </row>
    <row r="169" spans="2:29" x14ac:dyDescent="0.3">
      <c r="B169" s="13" t="s">
        <v>501</v>
      </c>
      <c r="C169" s="4" t="s">
        <v>233</v>
      </c>
      <c r="D169" s="9" t="str">
        <f>UPPER(Table13[[#This Row],[SIGNAL]])</f>
        <v>EV_PDPWIDTH_3</v>
      </c>
      <c r="E169" s="9" t="str">
        <f>IF(Table13[[#This Row],[template]]="","","0x"&amp;Table13[[#This Row],[IP_Index]]&amp;DEC2HEX(Table13[[#This Row],[Addr_Dec]]*4,7))</f>
        <v>0x1000C48C</v>
      </c>
      <c r="F169" s="9" t="str">
        <f>IF(Table13[[#This Row],[template]]="","",VLOOKUP(Table13[[#This Row],[template]],Table2915[],2,FALSE))</f>
        <v>asynParamInt32</v>
      </c>
      <c r="G169" s="18" t="str">
        <f>IF(Table13[[#This Row],[template]]="","","1")</f>
        <v>1</v>
      </c>
      <c r="H169" s="10"/>
      <c r="I169" s="13" t="str">
        <f>IF(Table13[[#This Row],[template]]="","","0x"&amp;Table13[[#This Row],[D_Index]]&amp;"000")</f>
        <v>0x01000000</v>
      </c>
      <c r="J169" s="18"/>
      <c r="K169" s="10">
        <v>0</v>
      </c>
      <c r="L169" s="10"/>
      <c r="M169" s="11" t="str">
        <f>IF(Table13[[#This Row],[template]]="","",VLOOKUP(Table13[[#This Row],[template]],Table2915[],3,FALSE))</f>
        <v xml:space="preserve"> </v>
      </c>
      <c r="N169" s="10"/>
      <c r="O169" s="11"/>
      <c r="P169" s="9" t="str">
        <f>IF(Table13[[#This Row],[template]]="","",Table13[[#This Row],[IP]]&amp;"_"&amp;Table13[[#This Row],[PARAM_NAME]]&amp;IF(Table13[[#This Row],[SUB]]="","","_"&amp;Table13[[#This Row],[SUB]]))</f>
        <v>ev_pdpWidth_3</v>
      </c>
      <c r="Q169" s="1" t="s">
        <v>262</v>
      </c>
      <c r="R169" s="1" t="s">
        <v>418</v>
      </c>
      <c r="S169" s="6" t="s">
        <v>244</v>
      </c>
      <c r="T169" s="20" t="s">
        <v>421</v>
      </c>
      <c r="U169" s="6" t="s">
        <v>363</v>
      </c>
      <c r="V169" s="1" t="s">
        <v>254</v>
      </c>
      <c r="W169" s="16">
        <v>0</v>
      </c>
      <c r="X169" s="6" t="s">
        <v>363</v>
      </c>
      <c r="AA169" s="11">
        <f>IF(Table13[[#This Row],[template]]="","",VLOOKUP(Table13[[#This Row],[IP]],Table51117[],2,FALSE))</f>
        <v>1</v>
      </c>
      <c r="AB169" s="13" t="str">
        <f>IF(Table13[[#This Row],[template]]="","",DEC2HEX(VLOOKUP(Table13[[#This Row],[D1-Type]],Table351218[],2,FALSE),1)&amp;DEC2HEX(VLOOKUP(Table13[[#This Row],[D2-Type]],Table31016[],2,FALSE),1)&amp; DEC2HEX(Table13[[#This Row],[D2-Offset]],2)&amp;DEC2HEX(VLOOKUP(Table13[[#This Row],[D3-Type]],Table371319[],2,FALSE),1))</f>
        <v>01000</v>
      </c>
      <c r="AC169" s="14">
        <f>IF(Table13[[#This Row],[template]]="","",HEX2DEC(Table13[[#This Row],[Addr_Hex]]))</f>
        <v>12579</v>
      </c>
    </row>
    <row r="170" spans="2:29" x14ac:dyDescent="0.3">
      <c r="B170" s="13" t="s">
        <v>501</v>
      </c>
      <c r="C170" s="4" t="s">
        <v>233</v>
      </c>
      <c r="D170" s="9" t="str">
        <f>UPPER(Table13[[#This Row],[SIGNAL]])</f>
        <v>EV_PDPWIDTH_4</v>
      </c>
      <c r="E170" s="9" t="str">
        <f>IF(Table13[[#This Row],[template]]="","","0x"&amp;Table13[[#This Row],[IP_Index]]&amp;DEC2HEX(Table13[[#This Row],[Addr_Dec]]*4,7))</f>
        <v>0x1000C490</v>
      </c>
      <c r="F170" s="9" t="str">
        <f>IF(Table13[[#This Row],[template]]="","",VLOOKUP(Table13[[#This Row],[template]],Table2915[],2,FALSE))</f>
        <v>asynParamInt32</v>
      </c>
      <c r="G170" s="18" t="str">
        <f>IF(Table13[[#This Row],[template]]="","","1")</f>
        <v>1</v>
      </c>
      <c r="H170" s="10"/>
      <c r="I170" s="13" t="str">
        <f>IF(Table13[[#This Row],[template]]="","","0x"&amp;Table13[[#This Row],[D_Index]]&amp;"000")</f>
        <v>0x01000000</v>
      </c>
      <c r="J170" s="18"/>
      <c r="K170" s="10">
        <v>0</v>
      </c>
      <c r="L170" s="10"/>
      <c r="M170" s="11" t="str">
        <f>IF(Table13[[#This Row],[template]]="","",VLOOKUP(Table13[[#This Row],[template]],Table2915[],3,FALSE))</f>
        <v xml:space="preserve"> </v>
      </c>
      <c r="N170" s="10"/>
      <c r="O170" s="11"/>
      <c r="P170" s="9" t="str">
        <f>IF(Table13[[#This Row],[template]]="","",Table13[[#This Row],[IP]]&amp;"_"&amp;Table13[[#This Row],[PARAM_NAME]]&amp;IF(Table13[[#This Row],[SUB]]="","","_"&amp;Table13[[#This Row],[SUB]]))</f>
        <v>ev_pdpWidth_4</v>
      </c>
      <c r="Q170" s="1" t="s">
        <v>262</v>
      </c>
      <c r="R170" s="1" t="s">
        <v>418</v>
      </c>
      <c r="S170" s="6" t="s">
        <v>245</v>
      </c>
      <c r="T170" s="20" t="s">
        <v>422</v>
      </c>
      <c r="U170" s="6" t="s">
        <v>363</v>
      </c>
      <c r="V170" s="1" t="s">
        <v>254</v>
      </c>
      <c r="W170" s="16">
        <v>0</v>
      </c>
      <c r="X170" s="6" t="s">
        <v>363</v>
      </c>
      <c r="AA170" s="11">
        <f>IF(Table13[[#This Row],[template]]="","",VLOOKUP(Table13[[#This Row],[IP]],Table51117[],2,FALSE))</f>
        <v>1</v>
      </c>
      <c r="AB170" s="13" t="str">
        <f>IF(Table13[[#This Row],[template]]="","",DEC2HEX(VLOOKUP(Table13[[#This Row],[D1-Type]],Table351218[],2,FALSE),1)&amp;DEC2HEX(VLOOKUP(Table13[[#This Row],[D2-Type]],Table31016[],2,FALSE),1)&amp; DEC2HEX(Table13[[#This Row],[D2-Offset]],2)&amp;DEC2HEX(VLOOKUP(Table13[[#This Row],[D3-Type]],Table371319[],2,FALSE),1))</f>
        <v>01000</v>
      </c>
      <c r="AC170" s="14">
        <f>IF(Table13[[#This Row],[template]]="","",HEX2DEC(Table13[[#This Row],[Addr_Hex]]))</f>
        <v>12580</v>
      </c>
    </row>
    <row r="171" spans="2:29" x14ac:dyDescent="0.3">
      <c r="B171" s="13" t="s">
        <v>501</v>
      </c>
      <c r="C171" s="4" t="s">
        <v>233</v>
      </c>
      <c r="D171" s="9" t="str">
        <f>UPPER(Table13[[#This Row],[SIGNAL]])</f>
        <v>EV_PDPWIDTH_5</v>
      </c>
      <c r="E171" s="9" t="str">
        <f>IF(Table13[[#This Row],[template]]="","","0x"&amp;Table13[[#This Row],[IP_Index]]&amp;DEC2HEX(Table13[[#This Row],[Addr_Dec]]*4,7))</f>
        <v>0x1000C494</v>
      </c>
      <c r="F171" s="9" t="str">
        <f>IF(Table13[[#This Row],[template]]="","",VLOOKUP(Table13[[#This Row],[template]],Table2915[],2,FALSE))</f>
        <v>asynParamInt32</v>
      </c>
      <c r="G171" s="18" t="str">
        <f>IF(Table13[[#This Row],[template]]="","","1")</f>
        <v>1</v>
      </c>
      <c r="H171" s="10"/>
      <c r="I171" s="13" t="str">
        <f>IF(Table13[[#This Row],[template]]="","","0x"&amp;Table13[[#This Row],[D_Index]]&amp;"000")</f>
        <v>0x01000000</v>
      </c>
      <c r="J171" s="18"/>
      <c r="K171" s="10">
        <v>0</v>
      </c>
      <c r="L171" s="10"/>
      <c r="M171" s="11" t="str">
        <f>IF(Table13[[#This Row],[template]]="","",VLOOKUP(Table13[[#This Row],[template]],Table2915[],3,FALSE))</f>
        <v xml:space="preserve"> </v>
      </c>
      <c r="N171" s="10"/>
      <c r="O171" s="11"/>
      <c r="P171" s="9" t="str">
        <f>IF(Table13[[#This Row],[template]]="","",Table13[[#This Row],[IP]]&amp;"_"&amp;Table13[[#This Row],[PARAM_NAME]]&amp;IF(Table13[[#This Row],[SUB]]="","","_"&amp;Table13[[#This Row],[SUB]]))</f>
        <v>ev_pdpWidth_5</v>
      </c>
      <c r="Q171" s="1" t="s">
        <v>262</v>
      </c>
      <c r="R171" s="1" t="s">
        <v>418</v>
      </c>
      <c r="S171" s="6" t="s">
        <v>246</v>
      </c>
      <c r="T171" s="20" t="s">
        <v>423</v>
      </c>
      <c r="U171" s="6" t="s">
        <v>363</v>
      </c>
      <c r="V171" s="1" t="s">
        <v>254</v>
      </c>
      <c r="W171" s="16">
        <v>0</v>
      </c>
      <c r="X171" s="6" t="s">
        <v>363</v>
      </c>
      <c r="AA171" s="11">
        <f>IF(Table13[[#This Row],[template]]="","",VLOOKUP(Table13[[#This Row],[IP]],Table51117[],2,FALSE))</f>
        <v>1</v>
      </c>
      <c r="AB171" s="13" t="str">
        <f>IF(Table13[[#This Row],[template]]="","",DEC2HEX(VLOOKUP(Table13[[#This Row],[D1-Type]],Table351218[],2,FALSE),1)&amp;DEC2HEX(VLOOKUP(Table13[[#This Row],[D2-Type]],Table31016[],2,FALSE),1)&amp; DEC2HEX(Table13[[#This Row],[D2-Offset]],2)&amp;DEC2HEX(VLOOKUP(Table13[[#This Row],[D3-Type]],Table371319[],2,FALSE),1))</f>
        <v>01000</v>
      </c>
      <c r="AC171" s="14">
        <f>IF(Table13[[#This Row],[template]]="","",HEX2DEC(Table13[[#This Row],[Addr_Hex]]))</f>
        <v>12581</v>
      </c>
    </row>
    <row r="172" spans="2:29" x14ac:dyDescent="0.3">
      <c r="B172" s="13" t="s">
        <v>501</v>
      </c>
      <c r="C172" s="4" t="s">
        <v>233</v>
      </c>
      <c r="D172" s="9" t="str">
        <f>UPPER(Table13[[#This Row],[SIGNAL]])</f>
        <v>EV_PDPWIDTH_6</v>
      </c>
      <c r="E172" s="9" t="str">
        <f>IF(Table13[[#This Row],[template]]="","","0x"&amp;Table13[[#This Row],[IP_Index]]&amp;DEC2HEX(Table13[[#This Row],[Addr_Dec]]*4,7))</f>
        <v>0x1000C498</v>
      </c>
      <c r="F172" s="9" t="str">
        <f>IF(Table13[[#This Row],[template]]="","",VLOOKUP(Table13[[#This Row],[template]],Table2915[],2,FALSE))</f>
        <v>asynParamInt32</v>
      </c>
      <c r="G172" s="18" t="str">
        <f>IF(Table13[[#This Row],[template]]="","","1")</f>
        <v>1</v>
      </c>
      <c r="H172" s="10"/>
      <c r="I172" s="13" t="str">
        <f>IF(Table13[[#This Row],[template]]="","","0x"&amp;Table13[[#This Row],[D_Index]]&amp;"000")</f>
        <v>0x01000000</v>
      </c>
      <c r="J172" s="18"/>
      <c r="K172" s="10">
        <v>0</v>
      </c>
      <c r="L172" s="10"/>
      <c r="M172" s="11" t="str">
        <f>IF(Table13[[#This Row],[template]]="","",VLOOKUP(Table13[[#This Row],[template]],Table2915[],3,FALSE))</f>
        <v xml:space="preserve"> </v>
      </c>
      <c r="N172" s="10"/>
      <c r="O172" s="11"/>
      <c r="P172" s="9" t="str">
        <f>IF(Table13[[#This Row],[template]]="","",Table13[[#This Row],[IP]]&amp;"_"&amp;Table13[[#This Row],[PARAM_NAME]]&amp;IF(Table13[[#This Row],[SUB]]="","","_"&amp;Table13[[#This Row],[SUB]]))</f>
        <v>ev_pdpWidth_6</v>
      </c>
      <c r="Q172" s="1" t="s">
        <v>262</v>
      </c>
      <c r="R172" s="1" t="s">
        <v>418</v>
      </c>
      <c r="S172" s="6" t="s">
        <v>247</v>
      </c>
      <c r="T172" s="20" t="s">
        <v>424</v>
      </c>
      <c r="U172" s="6" t="s">
        <v>363</v>
      </c>
      <c r="V172" s="1" t="s">
        <v>254</v>
      </c>
      <c r="W172" s="16">
        <v>0</v>
      </c>
      <c r="X172" s="6" t="s">
        <v>363</v>
      </c>
      <c r="AA172" s="11">
        <f>IF(Table13[[#This Row],[template]]="","",VLOOKUP(Table13[[#This Row],[IP]],Table51117[],2,FALSE))</f>
        <v>1</v>
      </c>
      <c r="AB172" s="13" t="str">
        <f>IF(Table13[[#This Row],[template]]="","",DEC2HEX(VLOOKUP(Table13[[#This Row],[D1-Type]],Table351218[],2,FALSE),1)&amp;DEC2HEX(VLOOKUP(Table13[[#This Row],[D2-Type]],Table31016[],2,FALSE),1)&amp; DEC2HEX(Table13[[#This Row],[D2-Offset]],2)&amp;DEC2HEX(VLOOKUP(Table13[[#This Row],[D3-Type]],Table371319[],2,FALSE),1))</f>
        <v>01000</v>
      </c>
      <c r="AC172" s="14">
        <f>IF(Table13[[#This Row],[template]]="","",HEX2DEC(Table13[[#This Row],[Addr_Hex]]))</f>
        <v>12582</v>
      </c>
    </row>
    <row r="173" spans="2:29" x14ac:dyDescent="0.3">
      <c r="B173" s="13" t="s">
        <v>501</v>
      </c>
      <c r="C173" s="4" t="s">
        <v>233</v>
      </c>
      <c r="D173" s="9" t="str">
        <f>UPPER(Table13[[#This Row],[SIGNAL]])</f>
        <v>EV_PDPWIDTH_7</v>
      </c>
      <c r="E173" s="9" t="str">
        <f>IF(Table13[[#This Row],[template]]="","","0x"&amp;Table13[[#This Row],[IP_Index]]&amp;DEC2HEX(Table13[[#This Row],[Addr_Dec]]*4,7))</f>
        <v>0x1000C49C</v>
      </c>
      <c r="F173" s="9" t="str">
        <f>IF(Table13[[#This Row],[template]]="","",VLOOKUP(Table13[[#This Row],[template]],Table2915[],2,FALSE))</f>
        <v>asynParamInt32</v>
      </c>
      <c r="G173" s="18" t="str">
        <f>IF(Table13[[#This Row],[template]]="","","1")</f>
        <v>1</v>
      </c>
      <c r="H173" s="10"/>
      <c r="I173" s="13" t="str">
        <f>IF(Table13[[#This Row],[template]]="","","0x"&amp;Table13[[#This Row],[D_Index]]&amp;"000")</f>
        <v>0x01000000</v>
      </c>
      <c r="J173" s="18"/>
      <c r="K173" s="10">
        <v>0</v>
      </c>
      <c r="L173" s="10"/>
      <c r="M173" s="11" t="str">
        <f>IF(Table13[[#This Row],[template]]="","",VLOOKUP(Table13[[#This Row],[template]],Table2915[],3,FALSE))</f>
        <v xml:space="preserve"> </v>
      </c>
      <c r="N173" s="10"/>
      <c r="O173" s="11"/>
      <c r="P173" s="9" t="str">
        <f>IF(Table13[[#This Row],[template]]="","",Table13[[#This Row],[IP]]&amp;"_"&amp;Table13[[#This Row],[PARAM_NAME]]&amp;IF(Table13[[#This Row],[SUB]]="","","_"&amp;Table13[[#This Row],[SUB]]))</f>
        <v>ev_pdpWidth_7</v>
      </c>
      <c r="Q173" s="1" t="s">
        <v>262</v>
      </c>
      <c r="R173" s="1" t="s">
        <v>418</v>
      </c>
      <c r="S173" s="6" t="s">
        <v>248</v>
      </c>
      <c r="T173" s="20" t="s">
        <v>425</v>
      </c>
      <c r="U173" s="6" t="s">
        <v>363</v>
      </c>
      <c r="V173" s="1" t="s">
        <v>254</v>
      </c>
      <c r="W173" s="16">
        <v>0</v>
      </c>
      <c r="X173" s="6" t="s">
        <v>363</v>
      </c>
      <c r="AA173" s="11">
        <f>IF(Table13[[#This Row],[template]]="","",VLOOKUP(Table13[[#This Row],[IP]],Table51117[],2,FALSE))</f>
        <v>1</v>
      </c>
      <c r="AB173" s="13" t="str">
        <f>IF(Table13[[#This Row],[template]]="","",DEC2HEX(VLOOKUP(Table13[[#This Row],[D1-Type]],Table351218[],2,FALSE),1)&amp;DEC2HEX(VLOOKUP(Table13[[#This Row],[D2-Type]],Table31016[],2,FALSE),1)&amp; DEC2HEX(Table13[[#This Row],[D2-Offset]],2)&amp;DEC2HEX(VLOOKUP(Table13[[#This Row],[D3-Type]],Table371319[],2,FALSE),1))</f>
        <v>01000</v>
      </c>
      <c r="AC173" s="14">
        <f>IF(Table13[[#This Row],[template]]="","",HEX2DEC(Table13[[#This Row],[Addr_Hex]]))</f>
        <v>12583</v>
      </c>
    </row>
    <row r="174" spans="2:29" x14ac:dyDescent="0.3">
      <c r="B174" s="13" t="s">
        <v>501</v>
      </c>
      <c r="C174" s="4" t="s">
        <v>233</v>
      </c>
      <c r="D174" s="9" t="str">
        <f>UPPER(Table13[[#This Row],[SIGNAL]])</f>
        <v>EV_PDPWIDTH_8</v>
      </c>
      <c r="E174" s="9" t="str">
        <f>IF(Table13[[#This Row],[template]]="","","0x"&amp;Table13[[#This Row],[IP_Index]]&amp;DEC2HEX(Table13[[#This Row],[Addr_Dec]]*4,7))</f>
        <v>0x1000C4A0</v>
      </c>
      <c r="F174" s="9" t="str">
        <f>IF(Table13[[#This Row],[template]]="","",VLOOKUP(Table13[[#This Row],[template]],Table2915[],2,FALSE))</f>
        <v>asynParamInt32</v>
      </c>
      <c r="G174" s="18" t="str">
        <f>IF(Table13[[#This Row],[template]]="","","1")</f>
        <v>1</v>
      </c>
      <c r="H174" s="10"/>
      <c r="I174" s="13" t="str">
        <f>IF(Table13[[#This Row],[template]]="","","0x"&amp;Table13[[#This Row],[D_Index]]&amp;"000")</f>
        <v>0x01000000</v>
      </c>
      <c r="J174" s="18"/>
      <c r="K174" s="10">
        <v>0</v>
      </c>
      <c r="L174" s="10"/>
      <c r="M174" s="11" t="str">
        <f>IF(Table13[[#This Row],[template]]="","",VLOOKUP(Table13[[#This Row],[template]],Table2915[],3,FALSE))</f>
        <v xml:space="preserve"> </v>
      </c>
      <c r="N174" s="10"/>
      <c r="O174" s="11"/>
      <c r="P174" s="9" t="str">
        <f>IF(Table13[[#This Row],[template]]="","",Table13[[#This Row],[IP]]&amp;"_"&amp;Table13[[#This Row],[PARAM_NAME]]&amp;IF(Table13[[#This Row],[SUB]]="","","_"&amp;Table13[[#This Row],[SUB]]))</f>
        <v>ev_pdpWidth_8</v>
      </c>
      <c r="Q174" s="1" t="s">
        <v>262</v>
      </c>
      <c r="R174" s="1" t="s">
        <v>418</v>
      </c>
      <c r="S174" s="6" t="s">
        <v>249</v>
      </c>
      <c r="T174" s="20" t="s">
        <v>426</v>
      </c>
      <c r="U174" s="6" t="s">
        <v>363</v>
      </c>
      <c r="V174" s="1" t="s">
        <v>254</v>
      </c>
      <c r="W174" s="16">
        <v>0</v>
      </c>
      <c r="X174" s="6" t="s">
        <v>363</v>
      </c>
      <c r="AA174" s="11">
        <f>IF(Table13[[#This Row],[template]]="","",VLOOKUP(Table13[[#This Row],[IP]],Table51117[],2,FALSE))</f>
        <v>1</v>
      </c>
      <c r="AB174" s="13" t="str">
        <f>IF(Table13[[#This Row],[template]]="","",DEC2HEX(VLOOKUP(Table13[[#This Row],[D1-Type]],Table351218[],2,FALSE),1)&amp;DEC2HEX(VLOOKUP(Table13[[#This Row],[D2-Type]],Table31016[],2,FALSE),1)&amp; DEC2HEX(Table13[[#This Row],[D2-Offset]],2)&amp;DEC2HEX(VLOOKUP(Table13[[#This Row],[D3-Type]],Table371319[],2,FALSE),1))</f>
        <v>01000</v>
      </c>
      <c r="AC174" s="14">
        <f>IF(Table13[[#This Row],[template]]="","",HEX2DEC(Table13[[#This Row],[Addr_Hex]]))</f>
        <v>12584</v>
      </c>
    </row>
    <row r="175" spans="2:29" x14ac:dyDescent="0.3">
      <c r="B175" s="13" t="s">
        <v>501</v>
      </c>
      <c r="C175" s="4" t="s">
        <v>233</v>
      </c>
      <c r="D175" s="9" t="str">
        <f>UPPER(Table13[[#This Row],[SIGNAL]])</f>
        <v>EV_PDPWIDTH_9</v>
      </c>
      <c r="E175" s="9" t="str">
        <f>IF(Table13[[#This Row],[template]]="","","0x"&amp;Table13[[#This Row],[IP_Index]]&amp;DEC2HEX(Table13[[#This Row],[Addr_Dec]]*4,7))</f>
        <v>0x1000C4A4</v>
      </c>
      <c r="F175" s="9" t="str">
        <f>IF(Table13[[#This Row],[template]]="","",VLOOKUP(Table13[[#This Row],[template]],Table2915[],2,FALSE))</f>
        <v>asynParamInt32</v>
      </c>
      <c r="G175" s="18" t="str">
        <f>IF(Table13[[#This Row],[template]]="","","1")</f>
        <v>1</v>
      </c>
      <c r="H175" s="10"/>
      <c r="I175" s="13" t="str">
        <f>IF(Table13[[#This Row],[template]]="","","0x"&amp;Table13[[#This Row],[D_Index]]&amp;"000")</f>
        <v>0x01000000</v>
      </c>
      <c r="J175" s="18"/>
      <c r="K175" s="10">
        <v>0</v>
      </c>
      <c r="L175" s="10"/>
      <c r="M175" s="11" t="str">
        <f>IF(Table13[[#This Row],[template]]="","",VLOOKUP(Table13[[#This Row],[template]],Table2915[],3,FALSE))</f>
        <v xml:space="preserve"> </v>
      </c>
      <c r="N175" s="10"/>
      <c r="O175" s="11"/>
      <c r="P175" s="9" t="str">
        <f>IF(Table13[[#This Row],[template]]="","",Table13[[#This Row],[IP]]&amp;"_"&amp;Table13[[#This Row],[PARAM_NAME]]&amp;IF(Table13[[#This Row],[SUB]]="","","_"&amp;Table13[[#This Row],[SUB]]))</f>
        <v>ev_pdpWidth_9</v>
      </c>
      <c r="Q175" s="1" t="s">
        <v>262</v>
      </c>
      <c r="R175" s="1" t="s">
        <v>418</v>
      </c>
      <c r="S175" s="6" t="s">
        <v>250</v>
      </c>
      <c r="T175" s="20" t="s">
        <v>427</v>
      </c>
      <c r="U175" s="6" t="s">
        <v>363</v>
      </c>
      <c r="V175" s="1" t="s">
        <v>254</v>
      </c>
      <c r="W175" s="16">
        <v>0</v>
      </c>
      <c r="X175" s="6" t="s">
        <v>363</v>
      </c>
      <c r="AA175" s="11">
        <f>IF(Table13[[#This Row],[template]]="","",VLOOKUP(Table13[[#This Row],[IP]],Table51117[],2,FALSE))</f>
        <v>1</v>
      </c>
      <c r="AB175" s="13" t="str">
        <f>IF(Table13[[#This Row],[template]]="","",DEC2HEX(VLOOKUP(Table13[[#This Row],[D1-Type]],Table351218[],2,FALSE),1)&amp;DEC2HEX(VLOOKUP(Table13[[#This Row],[D2-Type]],Table31016[],2,FALSE),1)&amp; DEC2HEX(Table13[[#This Row],[D2-Offset]],2)&amp;DEC2HEX(VLOOKUP(Table13[[#This Row],[D3-Type]],Table371319[],2,FALSE),1))</f>
        <v>01000</v>
      </c>
      <c r="AC175" s="14">
        <f>IF(Table13[[#This Row],[template]]="","",HEX2DEC(Table13[[#This Row],[Addr_Hex]]))</f>
        <v>12585</v>
      </c>
    </row>
    <row r="176" spans="2:29" x14ac:dyDescent="0.3">
      <c r="B176" s="13" t="s">
        <v>501</v>
      </c>
      <c r="C176" s="4" t="s">
        <v>233</v>
      </c>
      <c r="D176" s="9" t="str">
        <f>UPPER(Table13[[#This Row],[SIGNAL]])</f>
        <v>EV_PDPWIDTH_10</v>
      </c>
      <c r="E176" s="9" t="str">
        <f>IF(Table13[[#This Row],[template]]="","","0x"&amp;Table13[[#This Row],[IP_Index]]&amp;DEC2HEX(Table13[[#This Row],[Addr_Dec]]*4,7))</f>
        <v>0x1000C4A8</v>
      </c>
      <c r="F176" s="9" t="str">
        <f>IF(Table13[[#This Row],[template]]="","",VLOOKUP(Table13[[#This Row],[template]],Table2915[],2,FALSE))</f>
        <v>asynParamInt32</v>
      </c>
      <c r="G176" s="18" t="str">
        <f>IF(Table13[[#This Row],[template]]="","","1")</f>
        <v>1</v>
      </c>
      <c r="H176" s="10"/>
      <c r="I176" s="13" t="str">
        <f>IF(Table13[[#This Row],[template]]="","","0x"&amp;Table13[[#This Row],[D_Index]]&amp;"000")</f>
        <v>0x01000000</v>
      </c>
      <c r="J176" s="18"/>
      <c r="K176" s="10">
        <v>0</v>
      </c>
      <c r="L176" s="10"/>
      <c r="M176" s="11" t="str">
        <f>IF(Table13[[#This Row],[template]]="","",VLOOKUP(Table13[[#This Row],[template]],Table2915[],3,FALSE))</f>
        <v xml:space="preserve"> </v>
      </c>
      <c r="N176" s="10"/>
      <c r="O176" s="11"/>
      <c r="P176" s="9" t="str">
        <f>IF(Table13[[#This Row],[template]]="","",Table13[[#This Row],[IP]]&amp;"_"&amp;Table13[[#This Row],[PARAM_NAME]]&amp;IF(Table13[[#This Row],[SUB]]="","","_"&amp;Table13[[#This Row],[SUB]]))</f>
        <v>ev_pdpWidth_10</v>
      </c>
      <c r="Q176" s="1" t="s">
        <v>262</v>
      </c>
      <c r="R176" s="1" t="s">
        <v>418</v>
      </c>
      <c r="S176" s="6" t="s">
        <v>273</v>
      </c>
      <c r="T176" s="20" t="s">
        <v>428</v>
      </c>
      <c r="U176" s="6" t="s">
        <v>363</v>
      </c>
      <c r="V176" s="1" t="s">
        <v>254</v>
      </c>
      <c r="W176" s="16">
        <v>0</v>
      </c>
      <c r="X176" s="6" t="s">
        <v>363</v>
      </c>
      <c r="AA176" s="11">
        <f>IF(Table13[[#This Row],[template]]="","",VLOOKUP(Table13[[#This Row],[IP]],Table51117[],2,FALSE))</f>
        <v>1</v>
      </c>
      <c r="AB176" s="13" t="str">
        <f>IF(Table13[[#This Row],[template]]="","",DEC2HEX(VLOOKUP(Table13[[#This Row],[D1-Type]],Table351218[],2,FALSE),1)&amp;DEC2HEX(VLOOKUP(Table13[[#This Row],[D2-Type]],Table31016[],2,FALSE),1)&amp; DEC2HEX(Table13[[#This Row],[D2-Offset]],2)&amp;DEC2HEX(VLOOKUP(Table13[[#This Row],[D3-Type]],Table371319[],2,FALSE),1))</f>
        <v>01000</v>
      </c>
      <c r="AC176" s="14">
        <f>IF(Table13[[#This Row],[template]]="","",HEX2DEC(Table13[[#This Row],[Addr_Hex]]))</f>
        <v>12586</v>
      </c>
    </row>
    <row r="177" spans="2:29" x14ac:dyDescent="0.3">
      <c r="B177" s="13" t="s">
        <v>501</v>
      </c>
      <c r="C177" s="4" t="s">
        <v>233</v>
      </c>
      <c r="D177" s="9" t="str">
        <f>UPPER(Table13[[#This Row],[SIGNAL]])</f>
        <v>EV_PDPWIDTH_11</v>
      </c>
      <c r="E177" s="9" t="str">
        <f>IF(Table13[[#This Row],[template]]="","","0x"&amp;Table13[[#This Row],[IP_Index]]&amp;DEC2HEX(Table13[[#This Row],[Addr_Dec]]*4,7))</f>
        <v>0x1000C4AC</v>
      </c>
      <c r="F177" s="9" t="str">
        <f>IF(Table13[[#This Row],[template]]="","",VLOOKUP(Table13[[#This Row],[template]],Table2915[],2,FALSE))</f>
        <v>asynParamInt32</v>
      </c>
      <c r="G177" s="18" t="str">
        <f>IF(Table13[[#This Row],[template]]="","","1")</f>
        <v>1</v>
      </c>
      <c r="H177" s="10"/>
      <c r="I177" s="13" t="str">
        <f>IF(Table13[[#This Row],[template]]="","","0x"&amp;Table13[[#This Row],[D_Index]]&amp;"000")</f>
        <v>0x01000000</v>
      </c>
      <c r="J177" s="18"/>
      <c r="K177" s="10">
        <v>0</v>
      </c>
      <c r="L177" s="10"/>
      <c r="M177" s="11" t="str">
        <f>IF(Table13[[#This Row],[template]]="","",VLOOKUP(Table13[[#This Row],[template]],Table2915[],3,FALSE))</f>
        <v xml:space="preserve"> </v>
      </c>
      <c r="N177" s="10"/>
      <c r="O177" s="11"/>
      <c r="P177" s="9" t="str">
        <f>IF(Table13[[#This Row],[template]]="","",Table13[[#This Row],[IP]]&amp;"_"&amp;Table13[[#This Row],[PARAM_NAME]]&amp;IF(Table13[[#This Row],[SUB]]="","","_"&amp;Table13[[#This Row],[SUB]]))</f>
        <v>ev_pdpWidth_11</v>
      </c>
      <c r="Q177" s="1" t="s">
        <v>262</v>
      </c>
      <c r="R177" s="1" t="s">
        <v>418</v>
      </c>
      <c r="S177" s="6" t="s">
        <v>274</v>
      </c>
      <c r="T177" s="20" t="s">
        <v>429</v>
      </c>
      <c r="U177" s="6" t="s">
        <v>363</v>
      </c>
      <c r="V177" s="1" t="s">
        <v>254</v>
      </c>
      <c r="W177" s="16">
        <v>0</v>
      </c>
      <c r="X177" s="6" t="s">
        <v>363</v>
      </c>
      <c r="AA177" s="11">
        <f>IF(Table13[[#This Row],[template]]="","",VLOOKUP(Table13[[#This Row],[IP]],Table51117[],2,FALSE))</f>
        <v>1</v>
      </c>
      <c r="AB177" s="13" t="str">
        <f>IF(Table13[[#This Row],[template]]="","",DEC2HEX(VLOOKUP(Table13[[#This Row],[D1-Type]],Table351218[],2,FALSE),1)&amp;DEC2HEX(VLOOKUP(Table13[[#This Row],[D2-Type]],Table31016[],2,FALSE),1)&amp; DEC2HEX(Table13[[#This Row],[D2-Offset]],2)&amp;DEC2HEX(VLOOKUP(Table13[[#This Row],[D3-Type]],Table371319[],2,FALSE),1))</f>
        <v>01000</v>
      </c>
      <c r="AC177" s="14">
        <f>IF(Table13[[#This Row],[template]]="","",HEX2DEC(Table13[[#This Row],[Addr_Hex]]))</f>
        <v>12587</v>
      </c>
    </row>
    <row r="178" spans="2:29" x14ac:dyDescent="0.3">
      <c r="B178" s="13" t="s">
        <v>501</v>
      </c>
      <c r="C178" s="4" t="s">
        <v>233</v>
      </c>
      <c r="D178" s="9" t="str">
        <f>UPPER(Table13[[#This Row],[SIGNAL]])</f>
        <v>EV_PDPWIDTH_12</v>
      </c>
      <c r="E178" s="9" t="str">
        <f>IF(Table13[[#This Row],[template]]="","","0x"&amp;Table13[[#This Row],[IP_Index]]&amp;DEC2HEX(Table13[[#This Row],[Addr_Dec]]*4,7))</f>
        <v>0x1000C4B0</v>
      </c>
      <c r="F178" s="9" t="str">
        <f>IF(Table13[[#This Row],[template]]="","",VLOOKUP(Table13[[#This Row],[template]],Table2915[],2,FALSE))</f>
        <v>asynParamInt32</v>
      </c>
      <c r="G178" s="18" t="str">
        <f>IF(Table13[[#This Row],[template]]="","","1")</f>
        <v>1</v>
      </c>
      <c r="H178" s="10"/>
      <c r="I178" s="13" t="str">
        <f>IF(Table13[[#This Row],[template]]="","","0x"&amp;Table13[[#This Row],[D_Index]]&amp;"000")</f>
        <v>0x01000000</v>
      </c>
      <c r="J178" s="18"/>
      <c r="K178" s="10">
        <v>0</v>
      </c>
      <c r="L178" s="10"/>
      <c r="M178" s="11" t="str">
        <f>IF(Table13[[#This Row],[template]]="","",VLOOKUP(Table13[[#This Row],[template]],Table2915[],3,FALSE))</f>
        <v xml:space="preserve"> </v>
      </c>
      <c r="N178" s="10"/>
      <c r="O178" s="11"/>
      <c r="P178" s="9" t="str">
        <f>IF(Table13[[#This Row],[template]]="","",Table13[[#This Row],[IP]]&amp;"_"&amp;Table13[[#This Row],[PARAM_NAME]]&amp;IF(Table13[[#This Row],[SUB]]="","","_"&amp;Table13[[#This Row],[SUB]]))</f>
        <v>ev_pdpWidth_12</v>
      </c>
      <c r="Q178" s="1" t="s">
        <v>262</v>
      </c>
      <c r="R178" s="1" t="s">
        <v>418</v>
      </c>
      <c r="S178" s="6" t="s">
        <v>275</v>
      </c>
      <c r="T178" s="20" t="s">
        <v>430</v>
      </c>
      <c r="U178" s="6" t="s">
        <v>363</v>
      </c>
      <c r="V178" s="1" t="s">
        <v>254</v>
      </c>
      <c r="W178" s="16">
        <v>0</v>
      </c>
      <c r="X178" s="6" t="s">
        <v>363</v>
      </c>
      <c r="AA178" s="11">
        <f>IF(Table13[[#This Row],[template]]="","",VLOOKUP(Table13[[#This Row],[IP]],Table51117[],2,FALSE))</f>
        <v>1</v>
      </c>
      <c r="AB178" s="13" t="str">
        <f>IF(Table13[[#This Row],[template]]="","",DEC2HEX(VLOOKUP(Table13[[#This Row],[D1-Type]],Table351218[],2,FALSE),1)&amp;DEC2HEX(VLOOKUP(Table13[[#This Row],[D2-Type]],Table31016[],2,FALSE),1)&amp; DEC2HEX(Table13[[#This Row],[D2-Offset]],2)&amp;DEC2HEX(VLOOKUP(Table13[[#This Row],[D3-Type]],Table371319[],2,FALSE),1))</f>
        <v>01000</v>
      </c>
      <c r="AC178" s="14">
        <f>IF(Table13[[#This Row],[template]]="","",HEX2DEC(Table13[[#This Row],[Addr_Hex]]))</f>
        <v>12588</v>
      </c>
    </row>
    <row r="179" spans="2:29" x14ac:dyDescent="0.3">
      <c r="B179" s="13" t="s">
        <v>501</v>
      </c>
      <c r="C179" s="4" t="s">
        <v>233</v>
      </c>
      <c r="D179" s="9" t="str">
        <f>UPPER(Table13[[#This Row],[SIGNAL]])</f>
        <v>EV_PDPWIDTH_13</v>
      </c>
      <c r="E179" s="9" t="str">
        <f>IF(Table13[[#This Row],[template]]="","","0x"&amp;Table13[[#This Row],[IP_Index]]&amp;DEC2HEX(Table13[[#This Row],[Addr_Dec]]*4,7))</f>
        <v>0x1000C4B4</v>
      </c>
      <c r="F179" s="9" t="str">
        <f>IF(Table13[[#This Row],[template]]="","",VLOOKUP(Table13[[#This Row],[template]],Table2915[],2,FALSE))</f>
        <v>asynParamInt32</v>
      </c>
      <c r="G179" s="18" t="str">
        <f>IF(Table13[[#This Row],[template]]="","","1")</f>
        <v>1</v>
      </c>
      <c r="H179" s="10"/>
      <c r="I179" s="13" t="str">
        <f>IF(Table13[[#This Row],[template]]="","","0x"&amp;Table13[[#This Row],[D_Index]]&amp;"000")</f>
        <v>0x01000000</v>
      </c>
      <c r="J179" s="18"/>
      <c r="K179" s="10">
        <v>0</v>
      </c>
      <c r="L179" s="10"/>
      <c r="M179" s="11" t="str">
        <f>IF(Table13[[#This Row],[template]]="","",VLOOKUP(Table13[[#This Row],[template]],Table2915[],3,FALSE))</f>
        <v xml:space="preserve"> </v>
      </c>
      <c r="N179" s="10"/>
      <c r="O179" s="11"/>
      <c r="P179" s="9" t="str">
        <f>IF(Table13[[#This Row],[template]]="","",Table13[[#This Row],[IP]]&amp;"_"&amp;Table13[[#This Row],[PARAM_NAME]]&amp;IF(Table13[[#This Row],[SUB]]="","","_"&amp;Table13[[#This Row],[SUB]]))</f>
        <v>ev_pdpWidth_13</v>
      </c>
      <c r="Q179" s="1" t="s">
        <v>262</v>
      </c>
      <c r="R179" s="1" t="s">
        <v>418</v>
      </c>
      <c r="S179" s="6" t="s">
        <v>276</v>
      </c>
      <c r="T179" s="20" t="s">
        <v>431</v>
      </c>
      <c r="U179" s="6" t="s">
        <v>363</v>
      </c>
      <c r="V179" s="1" t="s">
        <v>254</v>
      </c>
      <c r="W179" s="16">
        <v>0</v>
      </c>
      <c r="X179" s="6" t="s">
        <v>363</v>
      </c>
      <c r="AA179" s="11">
        <f>IF(Table13[[#This Row],[template]]="","",VLOOKUP(Table13[[#This Row],[IP]],Table51117[],2,FALSE))</f>
        <v>1</v>
      </c>
      <c r="AB179" s="13" t="str">
        <f>IF(Table13[[#This Row],[template]]="","",DEC2HEX(VLOOKUP(Table13[[#This Row],[D1-Type]],Table351218[],2,FALSE),1)&amp;DEC2HEX(VLOOKUP(Table13[[#This Row],[D2-Type]],Table31016[],2,FALSE),1)&amp; DEC2HEX(Table13[[#This Row],[D2-Offset]],2)&amp;DEC2HEX(VLOOKUP(Table13[[#This Row],[D3-Type]],Table371319[],2,FALSE),1))</f>
        <v>01000</v>
      </c>
      <c r="AC179" s="14">
        <f>IF(Table13[[#This Row],[template]]="","",HEX2DEC(Table13[[#This Row],[Addr_Hex]]))</f>
        <v>12589</v>
      </c>
    </row>
    <row r="180" spans="2:29" x14ac:dyDescent="0.3">
      <c r="B180" s="13" t="s">
        <v>501</v>
      </c>
      <c r="C180" s="4" t="s">
        <v>233</v>
      </c>
      <c r="D180" s="9" t="str">
        <f>UPPER(Table13[[#This Row],[SIGNAL]])</f>
        <v>EV_PDPWIDTH_14</v>
      </c>
      <c r="E180" s="9" t="str">
        <f>IF(Table13[[#This Row],[template]]="","","0x"&amp;Table13[[#This Row],[IP_Index]]&amp;DEC2HEX(Table13[[#This Row],[Addr_Dec]]*4,7))</f>
        <v>0x1000C4B8</v>
      </c>
      <c r="F180" s="9" t="str">
        <f>IF(Table13[[#This Row],[template]]="","",VLOOKUP(Table13[[#This Row],[template]],Table2915[],2,FALSE))</f>
        <v>asynParamInt32</v>
      </c>
      <c r="G180" s="18" t="str">
        <f>IF(Table13[[#This Row],[template]]="","","1")</f>
        <v>1</v>
      </c>
      <c r="H180" s="10"/>
      <c r="I180" s="13" t="str">
        <f>IF(Table13[[#This Row],[template]]="","","0x"&amp;Table13[[#This Row],[D_Index]]&amp;"000")</f>
        <v>0x01000000</v>
      </c>
      <c r="J180" s="18"/>
      <c r="K180" s="10">
        <v>0</v>
      </c>
      <c r="L180" s="10"/>
      <c r="M180" s="11" t="str">
        <f>IF(Table13[[#This Row],[template]]="","",VLOOKUP(Table13[[#This Row],[template]],Table2915[],3,FALSE))</f>
        <v xml:space="preserve"> </v>
      </c>
      <c r="N180" s="10"/>
      <c r="O180" s="11"/>
      <c r="P180" s="9" t="str">
        <f>IF(Table13[[#This Row],[template]]="","",Table13[[#This Row],[IP]]&amp;"_"&amp;Table13[[#This Row],[PARAM_NAME]]&amp;IF(Table13[[#This Row],[SUB]]="","","_"&amp;Table13[[#This Row],[SUB]]))</f>
        <v>ev_pdpWidth_14</v>
      </c>
      <c r="Q180" s="1" t="s">
        <v>262</v>
      </c>
      <c r="R180" s="1" t="s">
        <v>418</v>
      </c>
      <c r="S180" s="6" t="s">
        <v>277</v>
      </c>
      <c r="T180" s="20" t="s">
        <v>432</v>
      </c>
      <c r="U180" s="6" t="s">
        <v>363</v>
      </c>
      <c r="V180" s="1" t="s">
        <v>254</v>
      </c>
      <c r="W180" s="16">
        <v>0</v>
      </c>
      <c r="X180" s="6" t="s">
        <v>363</v>
      </c>
      <c r="AA180" s="11">
        <f>IF(Table13[[#This Row],[template]]="","",VLOOKUP(Table13[[#This Row],[IP]],Table51117[],2,FALSE))</f>
        <v>1</v>
      </c>
      <c r="AB180" s="13" t="str">
        <f>IF(Table13[[#This Row],[template]]="","",DEC2HEX(VLOOKUP(Table13[[#This Row],[D1-Type]],Table351218[],2,FALSE),1)&amp;DEC2HEX(VLOOKUP(Table13[[#This Row],[D2-Type]],Table31016[],2,FALSE),1)&amp; DEC2HEX(Table13[[#This Row],[D2-Offset]],2)&amp;DEC2HEX(VLOOKUP(Table13[[#This Row],[D3-Type]],Table371319[],2,FALSE),1))</f>
        <v>01000</v>
      </c>
      <c r="AC180" s="14">
        <f>IF(Table13[[#This Row],[template]]="","",HEX2DEC(Table13[[#This Row],[Addr_Hex]]))</f>
        <v>12590</v>
      </c>
    </row>
    <row r="181" spans="2:29" x14ac:dyDescent="0.3">
      <c r="B181" s="13" t="s">
        <v>501</v>
      </c>
      <c r="C181" s="4" t="s">
        <v>233</v>
      </c>
      <c r="D181" s="9" t="str">
        <f>UPPER(Table13[[#This Row],[SIGNAL]])</f>
        <v>EV_PDPWIDTH_15</v>
      </c>
      <c r="E181" s="9" t="str">
        <f>IF(Table13[[#This Row],[template]]="","","0x"&amp;Table13[[#This Row],[IP_Index]]&amp;DEC2HEX(Table13[[#This Row],[Addr_Dec]]*4,7))</f>
        <v>0x1000C4BC</v>
      </c>
      <c r="F181" s="9" t="str">
        <f>IF(Table13[[#This Row],[template]]="","",VLOOKUP(Table13[[#This Row],[template]],Table2915[],2,FALSE))</f>
        <v>asynParamInt32</v>
      </c>
      <c r="G181" s="18" t="str">
        <f>IF(Table13[[#This Row],[template]]="","","1")</f>
        <v>1</v>
      </c>
      <c r="H181" s="10"/>
      <c r="I181" s="13" t="str">
        <f>IF(Table13[[#This Row],[template]]="","","0x"&amp;Table13[[#This Row],[D_Index]]&amp;"000")</f>
        <v>0x01000000</v>
      </c>
      <c r="J181" s="18"/>
      <c r="K181" s="10">
        <v>0</v>
      </c>
      <c r="L181" s="10"/>
      <c r="M181" s="11" t="str">
        <f>IF(Table13[[#This Row],[template]]="","",VLOOKUP(Table13[[#This Row],[template]],Table2915[],3,FALSE))</f>
        <v xml:space="preserve"> </v>
      </c>
      <c r="N181" s="10"/>
      <c r="O181" s="11"/>
      <c r="P181" s="9" t="str">
        <f>IF(Table13[[#This Row],[template]]="","",Table13[[#This Row],[IP]]&amp;"_"&amp;Table13[[#This Row],[PARAM_NAME]]&amp;IF(Table13[[#This Row],[SUB]]="","","_"&amp;Table13[[#This Row],[SUB]]))</f>
        <v>ev_pdpWidth_15</v>
      </c>
      <c r="Q181" s="1" t="s">
        <v>262</v>
      </c>
      <c r="R181" s="1" t="s">
        <v>418</v>
      </c>
      <c r="S181" s="6" t="s">
        <v>278</v>
      </c>
      <c r="T181" s="20" t="s">
        <v>433</v>
      </c>
      <c r="U181" s="6" t="s">
        <v>363</v>
      </c>
      <c r="V181" s="1" t="s">
        <v>254</v>
      </c>
      <c r="W181" s="16">
        <v>0</v>
      </c>
      <c r="X181" s="6" t="s">
        <v>363</v>
      </c>
      <c r="AA181" s="11">
        <f>IF(Table13[[#This Row],[template]]="","",VLOOKUP(Table13[[#This Row],[IP]],Table51117[],2,FALSE))</f>
        <v>1</v>
      </c>
      <c r="AB181" s="13" t="str">
        <f>IF(Table13[[#This Row],[template]]="","",DEC2HEX(VLOOKUP(Table13[[#This Row],[D1-Type]],Table351218[],2,FALSE),1)&amp;DEC2HEX(VLOOKUP(Table13[[#This Row],[D2-Type]],Table31016[],2,FALSE),1)&amp; DEC2HEX(Table13[[#This Row],[D2-Offset]],2)&amp;DEC2HEX(VLOOKUP(Table13[[#This Row],[D3-Type]],Table371319[],2,FALSE),1))</f>
        <v>01000</v>
      </c>
      <c r="AC181" s="14">
        <f>IF(Table13[[#This Row],[template]]="","",HEX2DEC(Table13[[#This Row],[Addr_Hex]]))</f>
        <v>12591</v>
      </c>
    </row>
    <row r="182" spans="2:29" x14ac:dyDescent="0.3">
      <c r="B182" s="13" t="s">
        <v>501</v>
      </c>
      <c r="C182" s="4" t="s">
        <v>233</v>
      </c>
      <c r="D182" s="9" t="str">
        <f>UPPER(Table13[[#This Row],[SIGNAL]])</f>
        <v>EV_PDPWIDTH_16</v>
      </c>
      <c r="E182" s="9" t="str">
        <f>IF(Table13[[#This Row],[template]]="","","0x"&amp;Table13[[#This Row],[IP_Index]]&amp;DEC2HEX(Table13[[#This Row],[Addr_Dec]]*4,7))</f>
        <v>0x1000C4C0</v>
      </c>
      <c r="F182" s="9" t="str">
        <f>IF(Table13[[#This Row],[template]]="","",VLOOKUP(Table13[[#This Row],[template]],Table2915[],2,FALSE))</f>
        <v>asynParamInt32</v>
      </c>
      <c r="G182" s="18" t="str">
        <f>IF(Table13[[#This Row],[template]]="","","1")</f>
        <v>1</v>
      </c>
      <c r="H182" s="10"/>
      <c r="I182" s="13" t="str">
        <f>IF(Table13[[#This Row],[template]]="","","0x"&amp;Table13[[#This Row],[D_Index]]&amp;"000")</f>
        <v>0x01000000</v>
      </c>
      <c r="J182" s="18"/>
      <c r="K182" s="10">
        <v>0</v>
      </c>
      <c r="L182" s="10"/>
      <c r="M182" s="11" t="str">
        <f>IF(Table13[[#This Row],[template]]="","",VLOOKUP(Table13[[#This Row],[template]],Table2915[],3,FALSE))</f>
        <v xml:space="preserve"> </v>
      </c>
      <c r="N182" s="10"/>
      <c r="O182" s="11"/>
      <c r="P182" s="9" t="str">
        <f>IF(Table13[[#This Row],[template]]="","",Table13[[#This Row],[IP]]&amp;"_"&amp;Table13[[#This Row],[PARAM_NAME]]&amp;IF(Table13[[#This Row],[SUB]]="","","_"&amp;Table13[[#This Row],[SUB]]))</f>
        <v>ev_pdpWidth_16</v>
      </c>
      <c r="Q182" s="1" t="s">
        <v>262</v>
      </c>
      <c r="R182" s="1" t="s">
        <v>418</v>
      </c>
      <c r="S182" s="6" t="s">
        <v>279</v>
      </c>
      <c r="T182" s="20" t="s">
        <v>434</v>
      </c>
      <c r="U182" s="6" t="s">
        <v>363</v>
      </c>
      <c r="V182" s="1" t="s">
        <v>254</v>
      </c>
      <c r="W182" s="16">
        <v>0</v>
      </c>
      <c r="X182" s="6" t="s">
        <v>363</v>
      </c>
      <c r="AA182" s="11">
        <f>IF(Table13[[#This Row],[template]]="","",VLOOKUP(Table13[[#This Row],[IP]],Table51117[],2,FALSE))</f>
        <v>1</v>
      </c>
      <c r="AB182" s="13" t="str">
        <f>IF(Table13[[#This Row],[template]]="","",DEC2HEX(VLOOKUP(Table13[[#This Row],[D1-Type]],Table351218[],2,FALSE),1)&amp;DEC2HEX(VLOOKUP(Table13[[#This Row],[D2-Type]],Table31016[],2,FALSE),1)&amp; DEC2HEX(Table13[[#This Row],[D2-Offset]],2)&amp;DEC2HEX(VLOOKUP(Table13[[#This Row],[D3-Type]],Table371319[],2,FALSE),1))</f>
        <v>01000</v>
      </c>
      <c r="AC182" s="14">
        <f>IF(Table13[[#This Row],[template]]="","",HEX2DEC(Table13[[#This Row],[Addr_Hex]]))</f>
        <v>12592</v>
      </c>
    </row>
    <row r="183" spans="2:29" x14ac:dyDescent="0.3">
      <c r="B183" s="13" t="s">
        <v>501</v>
      </c>
      <c r="C183" s="4" t="s">
        <v>233</v>
      </c>
      <c r="D183" s="9" t="str">
        <f>UPPER(Table13[[#This Row],[SIGNAL]])</f>
        <v>EV_PDPWIDTH_17</v>
      </c>
      <c r="E183" s="9" t="str">
        <f>IF(Table13[[#This Row],[template]]="","","0x"&amp;Table13[[#This Row],[IP_Index]]&amp;DEC2HEX(Table13[[#This Row],[Addr_Dec]]*4,7))</f>
        <v>0x1000C4C4</v>
      </c>
      <c r="F183" s="9" t="str">
        <f>IF(Table13[[#This Row],[template]]="","",VLOOKUP(Table13[[#This Row],[template]],Table2915[],2,FALSE))</f>
        <v>asynParamInt32</v>
      </c>
      <c r="G183" s="18" t="str">
        <f>IF(Table13[[#This Row],[template]]="","","1")</f>
        <v>1</v>
      </c>
      <c r="H183" s="10"/>
      <c r="I183" s="13" t="str">
        <f>IF(Table13[[#This Row],[template]]="","","0x"&amp;Table13[[#This Row],[D_Index]]&amp;"000")</f>
        <v>0x01000000</v>
      </c>
      <c r="J183" s="18"/>
      <c r="K183" s="10">
        <v>0</v>
      </c>
      <c r="L183" s="10"/>
      <c r="M183" s="11" t="str">
        <f>IF(Table13[[#This Row],[template]]="","",VLOOKUP(Table13[[#This Row],[template]],Table2915[],3,FALSE))</f>
        <v xml:space="preserve"> </v>
      </c>
      <c r="N183" s="10"/>
      <c r="O183" s="11"/>
      <c r="P183" s="9" t="str">
        <f>IF(Table13[[#This Row],[template]]="","",Table13[[#This Row],[IP]]&amp;"_"&amp;Table13[[#This Row],[PARAM_NAME]]&amp;IF(Table13[[#This Row],[SUB]]="","","_"&amp;Table13[[#This Row],[SUB]]))</f>
        <v>ev_pdpWidth_17</v>
      </c>
      <c r="Q183" s="1" t="s">
        <v>262</v>
      </c>
      <c r="R183" s="1" t="s">
        <v>418</v>
      </c>
      <c r="S183" s="6" t="s">
        <v>280</v>
      </c>
      <c r="T183" s="20" t="s">
        <v>435</v>
      </c>
      <c r="U183" s="6" t="s">
        <v>363</v>
      </c>
      <c r="V183" s="1" t="s">
        <v>254</v>
      </c>
      <c r="W183" s="16">
        <v>0</v>
      </c>
      <c r="X183" s="6" t="s">
        <v>363</v>
      </c>
      <c r="AA183" s="11">
        <f>IF(Table13[[#This Row],[template]]="","",VLOOKUP(Table13[[#This Row],[IP]],Table51117[],2,FALSE))</f>
        <v>1</v>
      </c>
      <c r="AB183" s="13" t="str">
        <f>IF(Table13[[#This Row],[template]]="","",DEC2HEX(VLOOKUP(Table13[[#This Row],[D1-Type]],Table351218[],2,FALSE),1)&amp;DEC2HEX(VLOOKUP(Table13[[#This Row],[D2-Type]],Table31016[],2,FALSE),1)&amp; DEC2HEX(Table13[[#This Row],[D2-Offset]],2)&amp;DEC2HEX(VLOOKUP(Table13[[#This Row],[D3-Type]],Table371319[],2,FALSE),1))</f>
        <v>01000</v>
      </c>
      <c r="AC183" s="14">
        <f>IF(Table13[[#This Row],[template]]="","",HEX2DEC(Table13[[#This Row],[Addr_Hex]]))</f>
        <v>12593</v>
      </c>
    </row>
    <row r="184" spans="2:29" x14ac:dyDescent="0.3">
      <c r="B184" s="13" t="s">
        <v>501</v>
      </c>
      <c r="C184" s="4" t="s">
        <v>233</v>
      </c>
      <c r="D184" s="9" t="str">
        <f>UPPER(Table13[[#This Row],[SIGNAL]])</f>
        <v>EV_PDPWIDTH_18</v>
      </c>
      <c r="E184" s="9" t="str">
        <f>IF(Table13[[#This Row],[template]]="","","0x"&amp;Table13[[#This Row],[IP_Index]]&amp;DEC2HEX(Table13[[#This Row],[Addr_Dec]]*4,7))</f>
        <v>0x1000C4C8</v>
      </c>
      <c r="F184" s="9" t="str">
        <f>IF(Table13[[#This Row],[template]]="","",VLOOKUP(Table13[[#This Row],[template]],Table2915[],2,FALSE))</f>
        <v>asynParamInt32</v>
      </c>
      <c r="G184" s="18" t="str">
        <f>IF(Table13[[#This Row],[template]]="","","1")</f>
        <v>1</v>
      </c>
      <c r="H184" s="10"/>
      <c r="I184" s="13" t="str">
        <f>IF(Table13[[#This Row],[template]]="","","0x"&amp;Table13[[#This Row],[D_Index]]&amp;"000")</f>
        <v>0x01000000</v>
      </c>
      <c r="J184" s="18"/>
      <c r="K184" s="10">
        <v>0</v>
      </c>
      <c r="L184" s="10"/>
      <c r="M184" s="11" t="str">
        <f>IF(Table13[[#This Row],[template]]="","",VLOOKUP(Table13[[#This Row],[template]],Table2915[],3,FALSE))</f>
        <v xml:space="preserve"> </v>
      </c>
      <c r="N184" s="10"/>
      <c r="O184" s="11"/>
      <c r="P184" s="9" t="str">
        <f>IF(Table13[[#This Row],[template]]="","",Table13[[#This Row],[IP]]&amp;"_"&amp;Table13[[#This Row],[PARAM_NAME]]&amp;IF(Table13[[#This Row],[SUB]]="","","_"&amp;Table13[[#This Row],[SUB]]))</f>
        <v>ev_pdpWidth_18</v>
      </c>
      <c r="Q184" s="1" t="s">
        <v>262</v>
      </c>
      <c r="R184" s="1" t="s">
        <v>418</v>
      </c>
      <c r="S184" s="6" t="s">
        <v>281</v>
      </c>
      <c r="T184" s="20" t="s">
        <v>436</v>
      </c>
      <c r="U184" s="6" t="s">
        <v>363</v>
      </c>
      <c r="V184" s="1" t="s">
        <v>254</v>
      </c>
      <c r="W184" s="16">
        <v>0</v>
      </c>
      <c r="X184" s="6" t="s">
        <v>363</v>
      </c>
      <c r="AA184" s="11">
        <f>IF(Table13[[#This Row],[template]]="","",VLOOKUP(Table13[[#This Row],[IP]],Table51117[],2,FALSE))</f>
        <v>1</v>
      </c>
      <c r="AB184" s="13" t="str">
        <f>IF(Table13[[#This Row],[template]]="","",DEC2HEX(VLOOKUP(Table13[[#This Row],[D1-Type]],Table351218[],2,FALSE),1)&amp;DEC2HEX(VLOOKUP(Table13[[#This Row],[D2-Type]],Table31016[],2,FALSE),1)&amp; DEC2HEX(Table13[[#This Row],[D2-Offset]],2)&amp;DEC2HEX(VLOOKUP(Table13[[#This Row],[D3-Type]],Table371319[],2,FALSE),1))</f>
        <v>01000</v>
      </c>
      <c r="AC184" s="14">
        <f>IF(Table13[[#This Row],[template]]="","",HEX2DEC(Table13[[#This Row],[Addr_Hex]]))</f>
        <v>12594</v>
      </c>
    </row>
    <row r="185" spans="2:29" x14ac:dyDescent="0.3">
      <c r="B185" s="13" t="s">
        <v>501</v>
      </c>
      <c r="C185" s="4" t="s">
        <v>233</v>
      </c>
      <c r="D185" s="9" t="str">
        <f>UPPER(Table13[[#This Row],[SIGNAL]])</f>
        <v>EV_PDPWIDTH_19</v>
      </c>
      <c r="E185" s="9" t="str">
        <f>IF(Table13[[#This Row],[template]]="","","0x"&amp;Table13[[#This Row],[IP_Index]]&amp;DEC2HEX(Table13[[#This Row],[Addr_Dec]]*4,7))</f>
        <v>0x1000C4CC</v>
      </c>
      <c r="F185" s="9" t="str">
        <f>IF(Table13[[#This Row],[template]]="","",VLOOKUP(Table13[[#This Row],[template]],Table2915[],2,FALSE))</f>
        <v>asynParamInt32</v>
      </c>
      <c r="G185" s="18" t="str">
        <f>IF(Table13[[#This Row],[template]]="","","1")</f>
        <v>1</v>
      </c>
      <c r="H185" s="10"/>
      <c r="I185" s="13" t="str">
        <f>IF(Table13[[#This Row],[template]]="","","0x"&amp;Table13[[#This Row],[D_Index]]&amp;"000")</f>
        <v>0x01000000</v>
      </c>
      <c r="J185" s="18"/>
      <c r="K185" s="10">
        <v>0</v>
      </c>
      <c r="L185" s="10"/>
      <c r="M185" s="11" t="str">
        <f>IF(Table13[[#This Row],[template]]="","",VLOOKUP(Table13[[#This Row],[template]],Table2915[],3,FALSE))</f>
        <v xml:space="preserve"> </v>
      </c>
      <c r="N185" s="10"/>
      <c r="O185" s="11"/>
      <c r="P185" s="9" t="str">
        <f>IF(Table13[[#This Row],[template]]="","",Table13[[#This Row],[IP]]&amp;"_"&amp;Table13[[#This Row],[PARAM_NAME]]&amp;IF(Table13[[#This Row],[SUB]]="","","_"&amp;Table13[[#This Row],[SUB]]))</f>
        <v>ev_pdpWidth_19</v>
      </c>
      <c r="Q185" s="1" t="s">
        <v>262</v>
      </c>
      <c r="R185" s="1" t="s">
        <v>418</v>
      </c>
      <c r="S185" s="6" t="s">
        <v>282</v>
      </c>
      <c r="T185" s="20" t="s">
        <v>437</v>
      </c>
      <c r="U185" s="6" t="s">
        <v>363</v>
      </c>
      <c r="V185" s="1" t="s">
        <v>254</v>
      </c>
      <c r="W185" s="16">
        <v>0</v>
      </c>
      <c r="X185" s="6" t="s">
        <v>363</v>
      </c>
      <c r="AA185" s="11">
        <f>IF(Table13[[#This Row],[template]]="","",VLOOKUP(Table13[[#This Row],[IP]],Table51117[],2,FALSE))</f>
        <v>1</v>
      </c>
      <c r="AB185" s="13" t="str">
        <f>IF(Table13[[#This Row],[template]]="","",DEC2HEX(VLOOKUP(Table13[[#This Row],[D1-Type]],Table351218[],2,FALSE),1)&amp;DEC2HEX(VLOOKUP(Table13[[#This Row],[D2-Type]],Table31016[],2,FALSE),1)&amp; DEC2HEX(Table13[[#This Row],[D2-Offset]],2)&amp;DEC2HEX(VLOOKUP(Table13[[#This Row],[D3-Type]],Table371319[],2,FALSE),1))</f>
        <v>01000</v>
      </c>
      <c r="AC185" s="14">
        <f>IF(Table13[[#This Row],[template]]="","",HEX2DEC(Table13[[#This Row],[Addr_Hex]]))</f>
        <v>12595</v>
      </c>
    </row>
    <row r="186" spans="2:29" x14ac:dyDescent="0.3">
      <c r="B186" s="13" t="s">
        <v>501</v>
      </c>
      <c r="C186" s="4" t="s">
        <v>233</v>
      </c>
      <c r="D186" s="9" t="str">
        <f>UPPER(Table13[[#This Row],[SIGNAL]])</f>
        <v>EV_PDPWIDTH_20</v>
      </c>
      <c r="E186" s="9" t="str">
        <f>IF(Table13[[#This Row],[template]]="","","0x"&amp;Table13[[#This Row],[IP_Index]]&amp;DEC2HEX(Table13[[#This Row],[Addr_Dec]]*4,7))</f>
        <v>0x1000C4D0</v>
      </c>
      <c r="F186" s="9" t="str">
        <f>IF(Table13[[#This Row],[template]]="","",VLOOKUP(Table13[[#This Row],[template]],Table2915[],2,FALSE))</f>
        <v>asynParamInt32</v>
      </c>
      <c r="G186" s="18" t="str">
        <f>IF(Table13[[#This Row],[template]]="","","1")</f>
        <v>1</v>
      </c>
      <c r="H186" s="10"/>
      <c r="I186" s="13" t="str">
        <f>IF(Table13[[#This Row],[template]]="","","0x"&amp;Table13[[#This Row],[D_Index]]&amp;"000")</f>
        <v>0x01000000</v>
      </c>
      <c r="J186" s="18"/>
      <c r="K186" s="10">
        <v>0</v>
      </c>
      <c r="L186" s="10"/>
      <c r="M186" s="11" t="str">
        <f>IF(Table13[[#This Row],[template]]="","",VLOOKUP(Table13[[#This Row],[template]],Table2915[],3,FALSE))</f>
        <v xml:space="preserve"> </v>
      </c>
      <c r="N186" s="10"/>
      <c r="O186" s="11"/>
      <c r="P186" s="9" t="str">
        <f>IF(Table13[[#This Row],[template]]="","",Table13[[#This Row],[IP]]&amp;"_"&amp;Table13[[#This Row],[PARAM_NAME]]&amp;IF(Table13[[#This Row],[SUB]]="","","_"&amp;Table13[[#This Row],[SUB]]))</f>
        <v>ev_pdpWidth_20</v>
      </c>
      <c r="Q186" s="1" t="s">
        <v>262</v>
      </c>
      <c r="R186" s="1" t="s">
        <v>418</v>
      </c>
      <c r="S186" s="6" t="s">
        <v>283</v>
      </c>
      <c r="T186" s="20" t="s">
        <v>438</v>
      </c>
      <c r="U186" s="6" t="s">
        <v>363</v>
      </c>
      <c r="V186" s="1" t="s">
        <v>254</v>
      </c>
      <c r="W186" s="16">
        <v>0</v>
      </c>
      <c r="X186" s="6" t="s">
        <v>363</v>
      </c>
      <c r="AA186" s="11">
        <f>IF(Table13[[#This Row],[template]]="","",VLOOKUP(Table13[[#This Row],[IP]],Table51117[],2,FALSE))</f>
        <v>1</v>
      </c>
      <c r="AB186" s="13" t="str">
        <f>IF(Table13[[#This Row],[template]]="","",DEC2HEX(VLOOKUP(Table13[[#This Row],[D1-Type]],Table351218[],2,FALSE),1)&amp;DEC2HEX(VLOOKUP(Table13[[#This Row],[D2-Type]],Table31016[],2,FALSE),1)&amp; DEC2HEX(Table13[[#This Row],[D2-Offset]],2)&amp;DEC2HEX(VLOOKUP(Table13[[#This Row],[D3-Type]],Table371319[],2,FALSE),1))</f>
        <v>01000</v>
      </c>
      <c r="AC186" s="14">
        <f>IF(Table13[[#This Row],[template]]="","",HEX2DEC(Table13[[#This Row],[Addr_Hex]]))</f>
        <v>12596</v>
      </c>
    </row>
    <row r="187" spans="2:29" x14ac:dyDescent="0.3">
      <c r="B187" s="13" t="s">
        <v>501</v>
      </c>
      <c r="C187" s="4" t="s">
        <v>233</v>
      </c>
      <c r="D187" s="9" t="str">
        <f>UPPER(Table13[[#This Row],[SIGNAL]])</f>
        <v>EV_PDPWIDTH_21</v>
      </c>
      <c r="E187" s="9" t="str">
        <f>IF(Table13[[#This Row],[template]]="","","0x"&amp;Table13[[#This Row],[IP_Index]]&amp;DEC2HEX(Table13[[#This Row],[Addr_Dec]]*4,7))</f>
        <v>0x1000C4D4</v>
      </c>
      <c r="F187" s="9" t="str">
        <f>IF(Table13[[#This Row],[template]]="","",VLOOKUP(Table13[[#This Row],[template]],Table2915[],2,FALSE))</f>
        <v>asynParamInt32</v>
      </c>
      <c r="G187" s="18" t="str">
        <f>IF(Table13[[#This Row],[template]]="","","1")</f>
        <v>1</v>
      </c>
      <c r="H187" s="10"/>
      <c r="I187" s="13" t="str">
        <f>IF(Table13[[#This Row],[template]]="","","0x"&amp;Table13[[#This Row],[D_Index]]&amp;"000")</f>
        <v>0x01000000</v>
      </c>
      <c r="J187" s="18"/>
      <c r="K187" s="10">
        <v>0</v>
      </c>
      <c r="L187" s="10"/>
      <c r="M187" s="11" t="str">
        <f>IF(Table13[[#This Row],[template]]="","",VLOOKUP(Table13[[#This Row],[template]],Table2915[],3,FALSE))</f>
        <v xml:space="preserve"> </v>
      </c>
      <c r="N187" s="10"/>
      <c r="O187" s="11"/>
      <c r="P187" s="9" t="str">
        <f>IF(Table13[[#This Row],[template]]="","",Table13[[#This Row],[IP]]&amp;"_"&amp;Table13[[#This Row],[PARAM_NAME]]&amp;IF(Table13[[#This Row],[SUB]]="","","_"&amp;Table13[[#This Row],[SUB]]))</f>
        <v>ev_pdpWidth_21</v>
      </c>
      <c r="Q187" s="1" t="s">
        <v>262</v>
      </c>
      <c r="R187" s="1" t="s">
        <v>418</v>
      </c>
      <c r="S187" s="6" t="s">
        <v>284</v>
      </c>
      <c r="T187" s="20" t="s">
        <v>439</v>
      </c>
      <c r="U187" s="6" t="s">
        <v>363</v>
      </c>
      <c r="V187" s="1" t="s">
        <v>254</v>
      </c>
      <c r="W187" s="16">
        <v>0</v>
      </c>
      <c r="X187" s="6" t="s">
        <v>363</v>
      </c>
      <c r="AA187" s="11">
        <f>IF(Table13[[#This Row],[template]]="","",VLOOKUP(Table13[[#This Row],[IP]],Table51117[],2,FALSE))</f>
        <v>1</v>
      </c>
      <c r="AB187" s="13" t="str">
        <f>IF(Table13[[#This Row],[template]]="","",DEC2HEX(VLOOKUP(Table13[[#This Row],[D1-Type]],Table351218[],2,FALSE),1)&amp;DEC2HEX(VLOOKUP(Table13[[#This Row],[D2-Type]],Table31016[],2,FALSE),1)&amp; DEC2HEX(Table13[[#This Row],[D2-Offset]],2)&amp;DEC2HEX(VLOOKUP(Table13[[#This Row],[D3-Type]],Table371319[],2,FALSE),1))</f>
        <v>01000</v>
      </c>
      <c r="AC187" s="14">
        <f>IF(Table13[[#This Row],[template]]="","",HEX2DEC(Table13[[#This Row],[Addr_Hex]]))</f>
        <v>12597</v>
      </c>
    </row>
    <row r="188" spans="2:29" x14ac:dyDescent="0.3">
      <c r="B188" s="13" t="s">
        <v>501</v>
      </c>
      <c r="C188" s="4" t="s">
        <v>233</v>
      </c>
      <c r="D188" s="9" t="str">
        <f>UPPER(Table13[[#This Row],[SIGNAL]])</f>
        <v>EV_PDPWIDTH_22</v>
      </c>
      <c r="E188" s="9" t="str">
        <f>IF(Table13[[#This Row],[template]]="","","0x"&amp;Table13[[#This Row],[IP_Index]]&amp;DEC2HEX(Table13[[#This Row],[Addr_Dec]]*4,7))</f>
        <v>0x1000C4D8</v>
      </c>
      <c r="F188" s="9" t="str">
        <f>IF(Table13[[#This Row],[template]]="","",VLOOKUP(Table13[[#This Row],[template]],Table2915[],2,FALSE))</f>
        <v>asynParamInt32</v>
      </c>
      <c r="G188" s="18" t="str">
        <f>IF(Table13[[#This Row],[template]]="","","1")</f>
        <v>1</v>
      </c>
      <c r="H188" s="10"/>
      <c r="I188" s="13" t="str">
        <f>IF(Table13[[#This Row],[template]]="","","0x"&amp;Table13[[#This Row],[D_Index]]&amp;"000")</f>
        <v>0x01000000</v>
      </c>
      <c r="J188" s="18"/>
      <c r="K188" s="10">
        <v>0</v>
      </c>
      <c r="L188" s="10"/>
      <c r="M188" s="11" t="str">
        <f>IF(Table13[[#This Row],[template]]="","",VLOOKUP(Table13[[#This Row],[template]],Table2915[],3,FALSE))</f>
        <v xml:space="preserve"> </v>
      </c>
      <c r="N188" s="10"/>
      <c r="O188" s="11"/>
      <c r="P188" s="9" t="str">
        <f>IF(Table13[[#This Row],[template]]="","",Table13[[#This Row],[IP]]&amp;"_"&amp;Table13[[#This Row],[PARAM_NAME]]&amp;IF(Table13[[#This Row],[SUB]]="","","_"&amp;Table13[[#This Row],[SUB]]))</f>
        <v>ev_pdpWidth_22</v>
      </c>
      <c r="Q188" s="1" t="s">
        <v>262</v>
      </c>
      <c r="R188" s="1" t="s">
        <v>418</v>
      </c>
      <c r="S188" s="6" t="s">
        <v>285</v>
      </c>
      <c r="T188" s="20" t="s">
        <v>440</v>
      </c>
      <c r="U188" s="6" t="s">
        <v>363</v>
      </c>
      <c r="V188" s="1" t="s">
        <v>254</v>
      </c>
      <c r="W188" s="16">
        <v>0</v>
      </c>
      <c r="X188" s="6" t="s">
        <v>363</v>
      </c>
      <c r="AA188" s="11">
        <f>IF(Table13[[#This Row],[template]]="","",VLOOKUP(Table13[[#This Row],[IP]],Table51117[],2,FALSE))</f>
        <v>1</v>
      </c>
      <c r="AB188" s="13" t="str">
        <f>IF(Table13[[#This Row],[template]]="","",DEC2HEX(VLOOKUP(Table13[[#This Row],[D1-Type]],Table351218[],2,FALSE),1)&amp;DEC2HEX(VLOOKUP(Table13[[#This Row],[D2-Type]],Table31016[],2,FALSE),1)&amp; DEC2HEX(Table13[[#This Row],[D2-Offset]],2)&amp;DEC2HEX(VLOOKUP(Table13[[#This Row],[D3-Type]],Table371319[],2,FALSE),1))</f>
        <v>01000</v>
      </c>
      <c r="AC188" s="14">
        <f>IF(Table13[[#This Row],[template]]="","",HEX2DEC(Table13[[#This Row],[Addr_Hex]]))</f>
        <v>12598</v>
      </c>
    </row>
    <row r="189" spans="2:29" x14ac:dyDescent="0.3">
      <c r="B189" s="13" t="s">
        <v>501</v>
      </c>
      <c r="C189" s="4" t="s">
        <v>233</v>
      </c>
      <c r="D189" s="9" t="str">
        <f>UPPER(Table13[[#This Row],[SIGNAL]])</f>
        <v>EV_PDPWIDTH_23</v>
      </c>
      <c r="E189" s="9" t="str">
        <f>IF(Table13[[#This Row],[template]]="","","0x"&amp;Table13[[#This Row],[IP_Index]]&amp;DEC2HEX(Table13[[#This Row],[Addr_Dec]]*4,7))</f>
        <v>0x1000C4DC</v>
      </c>
      <c r="F189" s="9" t="str">
        <f>IF(Table13[[#This Row],[template]]="","",VLOOKUP(Table13[[#This Row],[template]],Table2915[],2,FALSE))</f>
        <v>asynParamInt32</v>
      </c>
      <c r="G189" s="18" t="str">
        <f>IF(Table13[[#This Row],[template]]="","","1")</f>
        <v>1</v>
      </c>
      <c r="H189" s="10"/>
      <c r="I189" s="13" t="str">
        <f>IF(Table13[[#This Row],[template]]="","","0x"&amp;Table13[[#This Row],[D_Index]]&amp;"000")</f>
        <v>0x01000000</v>
      </c>
      <c r="J189" s="18"/>
      <c r="K189" s="10">
        <v>0</v>
      </c>
      <c r="L189" s="10"/>
      <c r="M189" s="11" t="str">
        <f>IF(Table13[[#This Row],[template]]="","",VLOOKUP(Table13[[#This Row],[template]],Table2915[],3,FALSE))</f>
        <v xml:space="preserve"> </v>
      </c>
      <c r="N189" s="10"/>
      <c r="O189" s="11"/>
      <c r="P189" s="9" t="str">
        <f>IF(Table13[[#This Row],[template]]="","",Table13[[#This Row],[IP]]&amp;"_"&amp;Table13[[#This Row],[PARAM_NAME]]&amp;IF(Table13[[#This Row],[SUB]]="","","_"&amp;Table13[[#This Row],[SUB]]))</f>
        <v>ev_pdpWidth_23</v>
      </c>
      <c r="Q189" s="1" t="s">
        <v>262</v>
      </c>
      <c r="R189" s="1" t="s">
        <v>418</v>
      </c>
      <c r="S189" s="6" t="s">
        <v>286</v>
      </c>
      <c r="T189" s="20" t="s">
        <v>441</v>
      </c>
      <c r="U189" s="6" t="s">
        <v>363</v>
      </c>
      <c r="V189" s="1" t="s">
        <v>254</v>
      </c>
      <c r="W189" s="16">
        <v>0</v>
      </c>
      <c r="X189" s="6" t="s">
        <v>363</v>
      </c>
      <c r="AA189" s="11">
        <f>IF(Table13[[#This Row],[template]]="","",VLOOKUP(Table13[[#This Row],[IP]],Table51117[],2,FALSE))</f>
        <v>1</v>
      </c>
      <c r="AB189" s="13" t="str">
        <f>IF(Table13[[#This Row],[template]]="","",DEC2HEX(VLOOKUP(Table13[[#This Row],[D1-Type]],Table351218[],2,FALSE),1)&amp;DEC2HEX(VLOOKUP(Table13[[#This Row],[D2-Type]],Table31016[],2,FALSE),1)&amp; DEC2HEX(Table13[[#This Row],[D2-Offset]],2)&amp;DEC2HEX(VLOOKUP(Table13[[#This Row],[D3-Type]],Table371319[],2,FALSE),1))</f>
        <v>01000</v>
      </c>
      <c r="AC189" s="14">
        <f>IF(Table13[[#This Row],[template]]="","",HEX2DEC(Table13[[#This Row],[Addr_Hex]]))</f>
        <v>12599</v>
      </c>
    </row>
    <row r="190" spans="2:29" x14ac:dyDescent="0.3">
      <c r="B190" s="13" t="s">
        <v>501</v>
      </c>
      <c r="C190" s="4" t="s">
        <v>233</v>
      </c>
      <c r="D190" s="9" t="str">
        <f>UPPER(Table13[[#This Row],[SIGNAL]])</f>
        <v>EV_PDPWIDTH_24</v>
      </c>
      <c r="E190" s="9" t="str">
        <f>IF(Table13[[#This Row],[template]]="","","0x"&amp;Table13[[#This Row],[IP_Index]]&amp;DEC2HEX(Table13[[#This Row],[Addr_Dec]]*4,7))</f>
        <v>0x1000C4E0</v>
      </c>
      <c r="F190" s="9" t="str">
        <f>IF(Table13[[#This Row],[template]]="","",VLOOKUP(Table13[[#This Row],[template]],Table2915[],2,FALSE))</f>
        <v>asynParamInt32</v>
      </c>
      <c r="G190" s="18" t="str">
        <f>IF(Table13[[#This Row],[template]]="","","1")</f>
        <v>1</v>
      </c>
      <c r="H190" s="10"/>
      <c r="I190" s="13" t="str">
        <f>IF(Table13[[#This Row],[template]]="","","0x"&amp;Table13[[#This Row],[D_Index]]&amp;"000")</f>
        <v>0x01000000</v>
      </c>
      <c r="J190" s="18"/>
      <c r="K190" s="10">
        <v>0</v>
      </c>
      <c r="L190" s="10"/>
      <c r="M190" s="11" t="str">
        <f>IF(Table13[[#This Row],[template]]="","",VLOOKUP(Table13[[#This Row],[template]],Table2915[],3,FALSE))</f>
        <v xml:space="preserve"> </v>
      </c>
      <c r="N190" s="10"/>
      <c r="O190" s="11"/>
      <c r="P190" s="9" t="str">
        <f>IF(Table13[[#This Row],[template]]="","",Table13[[#This Row],[IP]]&amp;"_"&amp;Table13[[#This Row],[PARAM_NAME]]&amp;IF(Table13[[#This Row],[SUB]]="","","_"&amp;Table13[[#This Row],[SUB]]))</f>
        <v>ev_pdpWidth_24</v>
      </c>
      <c r="Q190" s="1" t="s">
        <v>262</v>
      </c>
      <c r="R190" s="1" t="s">
        <v>418</v>
      </c>
      <c r="S190" s="6" t="s">
        <v>287</v>
      </c>
      <c r="T190" s="20" t="s">
        <v>442</v>
      </c>
      <c r="U190" s="6" t="s">
        <v>363</v>
      </c>
      <c r="V190" s="1" t="s">
        <v>254</v>
      </c>
      <c r="W190" s="16">
        <v>0</v>
      </c>
      <c r="X190" s="6" t="s">
        <v>363</v>
      </c>
      <c r="AA190" s="11">
        <f>IF(Table13[[#This Row],[template]]="","",VLOOKUP(Table13[[#This Row],[IP]],Table51117[],2,FALSE))</f>
        <v>1</v>
      </c>
      <c r="AB190" s="13" t="str">
        <f>IF(Table13[[#This Row],[template]]="","",DEC2HEX(VLOOKUP(Table13[[#This Row],[D1-Type]],Table351218[],2,FALSE),1)&amp;DEC2HEX(VLOOKUP(Table13[[#This Row],[D2-Type]],Table31016[],2,FALSE),1)&amp; DEC2HEX(Table13[[#This Row],[D2-Offset]],2)&amp;DEC2HEX(VLOOKUP(Table13[[#This Row],[D3-Type]],Table371319[],2,FALSE),1))</f>
        <v>01000</v>
      </c>
      <c r="AC190" s="14">
        <f>IF(Table13[[#This Row],[template]]="","",HEX2DEC(Table13[[#This Row],[Addr_Hex]]))</f>
        <v>12600</v>
      </c>
    </row>
    <row r="191" spans="2:29" x14ac:dyDescent="0.3">
      <c r="B191" s="13" t="s">
        <v>501</v>
      </c>
      <c r="C191" s="4" t="s">
        <v>233</v>
      </c>
      <c r="D191" s="9" t="str">
        <f>UPPER(Table13[[#This Row],[SIGNAL]])</f>
        <v>EV_PDPWIDTH_25</v>
      </c>
      <c r="E191" s="9" t="str">
        <f>IF(Table13[[#This Row],[template]]="","","0x"&amp;Table13[[#This Row],[IP_Index]]&amp;DEC2HEX(Table13[[#This Row],[Addr_Dec]]*4,7))</f>
        <v>0x1000C4E4</v>
      </c>
      <c r="F191" s="9" t="str">
        <f>IF(Table13[[#This Row],[template]]="","",VLOOKUP(Table13[[#This Row],[template]],Table2915[],2,FALSE))</f>
        <v>asynParamInt32</v>
      </c>
      <c r="G191" s="18" t="str">
        <f>IF(Table13[[#This Row],[template]]="","","1")</f>
        <v>1</v>
      </c>
      <c r="H191" s="10"/>
      <c r="I191" s="13" t="str">
        <f>IF(Table13[[#This Row],[template]]="","","0x"&amp;Table13[[#This Row],[D_Index]]&amp;"000")</f>
        <v>0x01000000</v>
      </c>
      <c r="J191" s="18"/>
      <c r="K191" s="10">
        <v>0</v>
      </c>
      <c r="L191" s="10"/>
      <c r="M191" s="11" t="str">
        <f>IF(Table13[[#This Row],[template]]="","",VLOOKUP(Table13[[#This Row],[template]],Table2915[],3,FALSE))</f>
        <v xml:space="preserve"> </v>
      </c>
      <c r="N191" s="10"/>
      <c r="O191" s="11"/>
      <c r="P191" s="9" t="str">
        <f>IF(Table13[[#This Row],[template]]="","",Table13[[#This Row],[IP]]&amp;"_"&amp;Table13[[#This Row],[PARAM_NAME]]&amp;IF(Table13[[#This Row],[SUB]]="","","_"&amp;Table13[[#This Row],[SUB]]))</f>
        <v>ev_pdpWidth_25</v>
      </c>
      <c r="Q191" s="1" t="s">
        <v>262</v>
      </c>
      <c r="R191" s="1" t="s">
        <v>418</v>
      </c>
      <c r="S191" s="6" t="s">
        <v>288</v>
      </c>
      <c r="T191" s="20" t="s">
        <v>443</v>
      </c>
      <c r="U191" s="6" t="s">
        <v>363</v>
      </c>
      <c r="V191" s="1" t="s">
        <v>254</v>
      </c>
      <c r="W191" s="16">
        <v>0</v>
      </c>
      <c r="X191" s="6" t="s">
        <v>363</v>
      </c>
      <c r="AA191" s="11">
        <f>IF(Table13[[#This Row],[template]]="","",VLOOKUP(Table13[[#This Row],[IP]],Table51117[],2,FALSE))</f>
        <v>1</v>
      </c>
      <c r="AB191" s="13" t="str">
        <f>IF(Table13[[#This Row],[template]]="","",DEC2HEX(VLOOKUP(Table13[[#This Row],[D1-Type]],Table351218[],2,FALSE),1)&amp;DEC2HEX(VLOOKUP(Table13[[#This Row],[D2-Type]],Table31016[],2,FALSE),1)&amp; DEC2HEX(Table13[[#This Row],[D2-Offset]],2)&amp;DEC2HEX(VLOOKUP(Table13[[#This Row],[D3-Type]],Table371319[],2,FALSE),1))</f>
        <v>01000</v>
      </c>
      <c r="AC191" s="14">
        <f>IF(Table13[[#This Row],[template]]="","",HEX2DEC(Table13[[#This Row],[Addr_Hex]]))</f>
        <v>12601</v>
      </c>
    </row>
    <row r="192" spans="2:29" x14ac:dyDescent="0.3">
      <c r="B192" s="13" t="s">
        <v>501</v>
      </c>
      <c r="C192" s="4" t="s">
        <v>233</v>
      </c>
      <c r="D192" s="9" t="str">
        <f>UPPER(Table13[[#This Row],[SIGNAL]])</f>
        <v>EV_PDPWIDTH_26</v>
      </c>
      <c r="E192" s="9" t="str">
        <f>IF(Table13[[#This Row],[template]]="","","0x"&amp;Table13[[#This Row],[IP_Index]]&amp;DEC2HEX(Table13[[#This Row],[Addr_Dec]]*4,7))</f>
        <v>0x1000C4E8</v>
      </c>
      <c r="F192" s="9" t="str">
        <f>IF(Table13[[#This Row],[template]]="","",VLOOKUP(Table13[[#This Row],[template]],Table2915[],2,FALSE))</f>
        <v>asynParamInt32</v>
      </c>
      <c r="G192" s="18" t="str">
        <f>IF(Table13[[#This Row],[template]]="","","1")</f>
        <v>1</v>
      </c>
      <c r="H192" s="10"/>
      <c r="I192" s="13" t="str">
        <f>IF(Table13[[#This Row],[template]]="","","0x"&amp;Table13[[#This Row],[D_Index]]&amp;"000")</f>
        <v>0x01000000</v>
      </c>
      <c r="J192" s="18"/>
      <c r="K192" s="10">
        <v>0</v>
      </c>
      <c r="L192" s="10"/>
      <c r="M192" s="11" t="str">
        <f>IF(Table13[[#This Row],[template]]="","",VLOOKUP(Table13[[#This Row],[template]],Table2915[],3,FALSE))</f>
        <v xml:space="preserve"> </v>
      </c>
      <c r="N192" s="10"/>
      <c r="O192" s="11"/>
      <c r="P192" s="9" t="str">
        <f>IF(Table13[[#This Row],[template]]="","",Table13[[#This Row],[IP]]&amp;"_"&amp;Table13[[#This Row],[PARAM_NAME]]&amp;IF(Table13[[#This Row],[SUB]]="","","_"&amp;Table13[[#This Row],[SUB]]))</f>
        <v>ev_pdpWidth_26</v>
      </c>
      <c r="Q192" s="1" t="s">
        <v>262</v>
      </c>
      <c r="R192" s="1" t="s">
        <v>418</v>
      </c>
      <c r="S192" s="6" t="s">
        <v>289</v>
      </c>
      <c r="T192" s="20" t="s">
        <v>444</v>
      </c>
      <c r="U192" s="6" t="s">
        <v>363</v>
      </c>
      <c r="V192" s="1" t="s">
        <v>254</v>
      </c>
      <c r="W192" s="16">
        <v>0</v>
      </c>
      <c r="X192" s="6" t="s">
        <v>363</v>
      </c>
      <c r="AA192" s="11">
        <f>IF(Table13[[#This Row],[template]]="","",VLOOKUP(Table13[[#This Row],[IP]],Table51117[],2,FALSE))</f>
        <v>1</v>
      </c>
      <c r="AB192" s="13" t="str">
        <f>IF(Table13[[#This Row],[template]]="","",DEC2HEX(VLOOKUP(Table13[[#This Row],[D1-Type]],Table351218[],2,FALSE),1)&amp;DEC2HEX(VLOOKUP(Table13[[#This Row],[D2-Type]],Table31016[],2,FALSE),1)&amp; DEC2HEX(Table13[[#This Row],[D2-Offset]],2)&amp;DEC2HEX(VLOOKUP(Table13[[#This Row],[D3-Type]],Table371319[],2,FALSE),1))</f>
        <v>01000</v>
      </c>
      <c r="AC192" s="14">
        <f>IF(Table13[[#This Row],[template]]="","",HEX2DEC(Table13[[#This Row],[Addr_Hex]]))</f>
        <v>12602</v>
      </c>
    </row>
    <row r="193" spans="2:29" x14ac:dyDescent="0.3">
      <c r="B193" s="13" t="s">
        <v>501</v>
      </c>
      <c r="C193" s="4" t="s">
        <v>233</v>
      </c>
      <c r="D193" s="9" t="str">
        <f>UPPER(Table13[[#This Row],[SIGNAL]])</f>
        <v>EV_PDPWIDTH_27</v>
      </c>
      <c r="E193" s="9" t="str">
        <f>IF(Table13[[#This Row],[template]]="","","0x"&amp;Table13[[#This Row],[IP_Index]]&amp;DEC2HEX(Table13[[#This Row],[Addr_Dec]]*4,7))</f>
        <v>0x1000C4EC</v>
      </c>
      <c r="F193" s="9" t="str">
        <f>IF(Table13[[#This Row],[template]]="","",VLOOKUP(Table13[[#This Row],[template]],Table2915[],2,FALSE))</f>
        <v>asynParamInt32</v>
      </c>
      <c r="G193" s="18" t="str">
        <f>IF(Table13[[#This Row],[template]]="","","1")</f>
        <v>1</v>
      </c>
      <c r="H193" s="10"/>
      <c r="I193" s="13" t="str">
        <f>IF(Table13[[#This Row],[template]]="","","0x"&amp;Table13[[#This Row],[D_Index]]&amp;"000")</f>
        <v>0x01000000</v>
      </c>
      <c r="J193" s="18"/>
      <c r="K193" s="10">
        <v>0</v>
      </c>
      <c r="L193" s="10"/>
      <c r="M193" s="11" t="str">
        <f>IF(Table13[[#This Row],[template]]="","",VLOOKUP(Table13[[#This Row],[template]],Table2915[],3,FALSE))</f>
        <v xml:space="preserve"> </v>
      </c>
      <c r="N193" s="10"/>
      <c r="O193" s="11"/>
      <c r="P193" s="9" t="str">
        <f>IF(Table13[[#This Row],[template]]="","",Table13[[#This Row],[IP]]&amp;"_"&amp;Table13[[#This Row],[PARAM_NAME]]&amp;IF(Table13[[#This Row],[SUB]]="","","_"&amp;Table13[[#This Row],[SUB]]))</f>
        <v>ev_pdpWidth_27</v>
      </c>
      <c r="Q193" s="1" t="s">
        <v>262</v>
      </c>
      <c r="R193" s="1" t="s">
        <v>418</v>
      </c>
      <c r="S193" s="6" t="s">
        <v>290</v>
      </c>
      <c r="T193" s="20" t="s">
        <v>445</v>
      </c>
      <c r="U193" s="6" t="s">
        <v>363</v>
      </c>
      <c r="V193" s="1" t="s">
        <v>254</v>
      </c>
      <c r="W193" s="16">
        <v>0</v>
      </c>
      <c r="X193" s="6" t="s">
        <v>363</v>
      </c>
      <c r="AA193" s="11">
        <f>IF(Table13[[#This Row],[template]]="","",VLOOKUP(Table13[[#This Row],[IP]],Table51117[],2,FALSE))</f>
        <v>1</v>
      </c>
      <c r="AB193" s="13" t="str">
        <f>IF(Table13[[#This Row],[template]]="","",DEC2HEX(VLOOKUP(Table13[[#This Row],[D1-Type]],Table351218[],2,FALSE),1)&amp;DEC2HEX(VLOOKUP(Table13[[#This Row],[D2-Type]],Table31016[],2,FALSE),1)&amp; DEC2HEX(Table13[[#This Row],[D2-Offset]],2)&amp;DEC2HEX(VLOOKUP(Table13[[#This Row],[D3-Type]],Table371319[],2,FALSE),1))</f>
        <v>01000</v>
      </c>
      <c r="AC193" s="14">
        <f>IF(Table13[[#This Row],[template]]="","",HEX2DEC(Table13[[#This Row],[Addr_Hex]]))</f>
        <v>12603</v>
      </c>
    </row>
    <row r="194" spans="2:29" x14ac:dyDescent="0.3">
      <c r="B194" s="13" t="s">
        <v>501</v>
      </c>
      <c r="C194" s="4" t="s">
        <v>233</v>
      </c>
      <c r="D194" s="9" t="str">
        <f>UPPER(Table13[[#This Row],[SIGNAL]])</f>
        <v>EV_PDPWIDTH_28</v>
      </c>
      <c r="E194" s="9" t="str">
        <f>IF(Table13[[#This Row],[template]]="","","0x"&amp;Table13[[#This Row],[IP_Index]]&amp;DEC2HEX(Table13[[#This Row],[Addr_Dec]]*4,7))</f>
        <v>0x1000C4F0</v>
      </c>
      <c r="F194" s="9" t="str">
        <f>IF(Table13[[#This Row],[template]]="","",VLOOKUP(Table13[[#This Row],[template]],Table2915[],2,FALSE))</f>
        <v>asynParamInt32</v>
      </c>
      <c r="G194" s="18" t="str">
        <f>IF(Table13[[#This Row],[template]]="","","1")</f>
        <v>1</v>
      </c>
      <c r="H194" s="10"/>
      <c r="I194" s="13" t="str">
        <f>IF(Table13[[#This Row],[template]]="","","0x"&amp;Table13[[#This Row],[D_Index]]&amp;"000")</f>
        <v>0x01000000</v>
      </c>
      <c r="J194" s="18"/>
      <c r="K194" s="10">
        <v>0</v>
      </c>
      <c r="L194" s="10"/>
      <c r="M194" s="11" t="str">
        <f>IF(Table13[[#This Row],[template]]="","",VLOOKUP(Table13[[#This Row],[template]],Table2915[],3,FALSE))</f>
        <v xml:space="preserve"> </v>
      </c>
      <c r="N194" s="10"/>
      <c r="O194" s="11"/>
      <c r="P194" s="9" t="str">
        <f>IF(Table13[[#This Row],[template]]="","",Table13[[#This Row],[IP]]&amp;"_"&amp;Table13[[#This Row],[PARAM_NAME]]&amp;IF(Table13[[#This Row],[SUB]]="","","_"&amp;Table13[[#This Row],[SUB]]))</f>
        <v>ev_pdpWidth_28</v>
      </c>
      <c r="Q194" s="1" t="s">
        <v>262</v>
      </c>
      <c r="R194" s="1" t="s">
        <v>418</v>
      </c>
      <c r="S194" s="6" t="s">
        <v>291</v>
      </c>
      <c r="T194" s="20" t="s">
        <v>446</v>
      </c>
      <c r="U194" s="6" t="s">
        <v>363</v>
      </c>
      <c r="V194" s="1" t="s">
        <v>254</v>
      </c>
      <c r="W194" s="16">
        <v>0</v>
      </c>
      <c r="X194" s="6" t="s">
        <v>363</v>
      </c>
      <c r="AA194" s="11">
        <f>IF(Table13[[#This Row],[template]]="","",VLOOKUP(Table13[[#This Row],[IP]],Table51117[],2,FALSE))</f>
        <v>1</v>
      </c>
      <c r="AB194" s="13" t="str">
        <f>IF(Table13[[#This Row],[template]]="","",DEC2HEX(VLOOKUP(Table13[[#This Row],[D1-Type]],Table351218[],2,FALSE),1)&amp;DEC2HEX(VLOOKUP(Table13[[#This Row],[D2-Type]],Table31016[],2,FALSE),1)&amp; DEC2HEX(Table13[[#This Row],[D2-Offset]],2)&amp;DEC2HEX(VLOOKUP(Table13[[#This Row],[D3-Type]],Table371319[],2,FALSE),1))</f>
        <v>01000</v>
      </c>
      <c r="AC194" s="14">
        <f>IF(Table13[[#This Row],[template]]="","",HEX2DEC(Table13[[#This Row],[Addr_Hex]]))</f>
        <v>12604</v>
      </c>
    </row>
    <row r="195" spans="2:29" x14ac:dyDescent="0.3">
      <c r="B195" s="13" t="s">
        <v>501</v>
      </c>
      <c r="C195" s="4" t="s">
        <v>233</v>
      </c>
      <c r="D195" s="9" t="str">
        <f>UPPER(Table13[[#This Row],[SIGNAL]])</f>
        <v>EV_PDPWIDTH_29</v>
      </c>
      <c r="E195" s="9" t="str">
        <f>IF(Table13[[#This Row],[template]]="","","0x"&amp;Table13[[#This Row],[IP_Index]]&amp;DEC2HEX(Table13[[#This Row],[Addr_Dec]]*4,7))</f>
        <v>0x1000C4F4</v>
      </c>
      <c r="F195" s="9" t="str">
        <f>IF(Table13[[#This Row],[template]]="","",VLOOKUP(Table13[[#This Row],[template]],Table2915[],2,FALSE))</f>
        <v>asynParamInt32</v>
      </c>
      <c r="G195" s="18" t="str">
        <f>IF(Table13[[#This Row],[template]]="","","1")</f>
        <v>1</v>
      </c>
      <c r="H195" s="10"/>
      <c r="I195" s="13" t="str">
        <f>IF(Table13[[#This Row],[template]]="","","0x"&amp;Table13[[#This Row],[D_Index]]&amp;"000")</f>
        <v>0x01000000</v>
      </c>
      <c r="J195" s="18"/>
      <c r="K195" s="10">
        <v>0</v>
      </c>
      <c r="L195" s="10"/>
      <c r="M195" s="11" t="str">
        <f>IF(Table13[[#This Row],[template]]="","",VLOOKUP(Table13[[#This Row],[template]],Table2915[],3,FALSE))</f>
        <v xml:space="preserve"> </v>
      </c>
      <c r="N195" s="10"/>
      <c r="O195" s="11"/>
      <c r="P195" s="9" t="str">
        <f>IF(Table13[[#This Row],[template]]="","",Table13[[#This Row],[IP]]&amp;"_"&amp;Table13[[#This Row],[PARAM_NAME]]&amp;IF(Table13[[#This Row],[SUB]]="","","_"&amp;Table13[[#This Row],[SUB]]))</f>
        <v>ev_pdpWidth_29</v>
      </c>
      <c r="Q195" s="1" t="s">
        <v>262</v>
      </c>
      <c r="R195" s="1" t="s">
        <v>418</v>
      </c>
      <c r="S195" s="6" t="s">
        <v>292</v>
      </c>
      <c r="T195" s="20" t="s">
        <v>447</v>
      </c>
      <c r="U195" s="6" t="s">
        <v>363</v>
      </c>
      <c r="V195" s="1" t="s">
        <v>254</v>
      </c>
      <c r="W195" s="16">
        <v>0</v>
      </c>
      <c r="X195" s="6" t="s">
        <v>363</v>
      </c>
      <c r="AA195" s="11">
        <f>IF(Table13[[#This Row],[template]]="","",VLOOKUP(Table13[[#This Row],[IP]],Table51117[],2,FALSE))</f>
        <v>1</v>
      </c>
      <c r="AB195" s="13" t="str">
        <f>IF(Table13[[#This Row],[template]]="","",DEC2HEX(VLOOKUP(Table13[[#This Row],[D1-Type]],Table351218[],2,FALSE),1)&amp;DEC2HEX(VLOOKUP(Table13[[#This Row],[D2-Type]],Table31016[],2,FALSE),1)&amp; DEC2HEX(Table13[[#This Row],[D2-Offset]],2)&amp;DEC2HEX(VLOOKUP(Table13[[#This Row],[D3-Type]],Table371319[],2,FALSE),1))</f>
        <v>01000</v>
      </c>
      <c r="AC195" s="14">
        <f>IF(Table13[[#This Row],[template]]="","",HEX2DEC(Table13[[#This Row],[Addr_Hex]]))</f>
        <v>12605</v>
      </c>
    </row>
    <row r="196" spans="2:29" x14ac:dyDescent="0.3">
      <c r="B196" s="13" t="s">
        <v>501</v>
      </c>
      <c r="C196" s="4" t="s">
        <v>233</v>
      </c>
      <c r="D196" s="9" t="str">
        <f>UPPER(Table13[[#This Row],[SIGNAL]])</f>
        <v>EV_PDPWIDTH_30</v>
      </c>
      <c r="E196" s="9" t="str">
        <f>IF(Table13[[#This Row],[template]]="","","0x"&amp;Table13[[#This Row],[IP_Index]]&amp;DEC2HEX(Table13[[#This Row],[Addr_Dec]]*4,7))</f>
        <v>0x1000C4F8</v>
      </c>
      <c r="F196" s="9" t="str">
        <f>IF(Table13[[#This Row],[template]]="","",VLOOKUP(Table13[[#This Row],[template]],Table2915[],2,FALSE))</f>
        <v>asynParamInt32</v>
      </c>
      <c r="G196" s="18" t="str">
        <f>IF(Table13[[#This Row],[template]]="","","1")</f>
        <v>1</v>
      </c>
      <c r="H196" s="10"/>
      <c r="I196" s="13" t="str">
        <f>IF(Table13[[#This Row],[template]]="","","0x"&amp;Table13[[#This Row],[D_Index]]&amp;"000")</f>
        <v>0x01000000</v>
      </c>
      <c r="J196" s="18"/>
      <c r="K196" s="10">
        <v>0</v>
      </c>
      <c r="L196" s="10"/>
      <c r="M196" s="11" t="str">
        <f>IF(Table13[[#This Row],[template]]="","",VLOOKUP(Table13[[#This Row],[template]],Table2915[],3,FALSE))</f>
        <v xml:space="preserve"> </v>
      </c>
      <c r="N196" s="10"/>
      <c r="O196" s="11"/>
      <c r="P196" s="9" t="str">
        <f>IF(Table13[[#This Row],[template]]="","",Table13[[#This Row],[IP]]&amp;"_"&amp;Table13[[#This Row],[PARAM_NAME]]&amp;IF(Table13[[#This Row],[SUB]]="","","_"&amp;Table13[[#This Row],[SUB]]))</f>
        <v>ev_pdpWidth_30</v>
      </c>
      <c r="Q196" s="1" t="s">
        <v>262</v>
      </c>
      <c r="R196" s="1" t="s">
        <v>418</v>
      </c>
      <c r="S196" s="6" t="s">
        <v>293</v>
      </c>
      <c r="T196" s="20" t="s">
        <v>448</v>
      </c>
      <c r="U196" s="6" t="s">
        <v>363</v>
      </c>
      <c r="V196" s="1" t="s">
        <v>254</v>
      </c>
      <c r="W196" s="16">
        <v>0</v>
      </c>
      <c r="X196" s="6" t="s">
        <v>363</v>
      </c>
      <c r="AA196" s="11">
        <f>IF(Table13[[#This Row],[template]]="","",VLOOKUP(Table13[[#This Row],[IP]],Table51117[],2,FALSE))</f>
        <v>1</v>
      </c>
      <c r="AB196" s="13" t="str">
        <f>IF(Table13[[#This Row],[template]]="","",DEC2HEX(VLOOKUP(Table13[[#This Row],[D1-Type]],Table351218[],2,FALSE),1)&amp;DEC2HEX(VLOOKUP(Table13[[#This Row],[D2-Type]],Table31016[],2,FALSE),1)&amp; DEC2HEX(Table13[[#This Row],[D2-Offset]],2)&amp;DEC2HEX(VLOOKUP(Table13[[#This Row],[D3-Type]],Table371319[],2,FALSE),1))</f>
        <v>01000</v>
      </c>
      <c r="AC196" s="14">
        <f>IF(Table13[[#This Row],[template]]="","",HEX2DEC(Table13[[#This Row],[Addr_Hex]]))</f>
        <v>12606</v>
      </c>
    </row>
    <row r="197" spans="2:29" x14ac:dyDescent="0.3">
      <c r="B197" s="13" t="s">
        <v>501</v>
      </c>
      <c r="C197" s="4" t="s">
        <v>233</v>
      </c>
      <c r="D197" s="9" t="str">
        <f>UPPER(Table13[[#This Row],[SIGNAL]])</f>
        <v>EV_PDPWIDTH_31</v>
      </c>
      <c r="E197" s="9" t="str">
        <f>IF(Table13[[#This Row],[template]]="","","0x"&amp;Table13[[#This Row],[IP_Index]]&amp;DEC2HEX(Table13[[#This Row],[Addr_Dec]]*4,7))</f>
        <v>0x1000C4FC</v>
      </c>
      <c r="F197" s="9" t="str">
        <f>IF(Table13[[#This Row],[template]]="","",VLOOKUP(Table13[[#This Row],[template]],Table2915[],2,FALSE))</f>
        <v>asynParamInt32</v>
      </c>
      <c r="G197" s="18" t="str">
        <f>IF(Table13[[#This Row],[template]]="","","1")</f>
        <v>1</v>
      </c>
      <c r="H197" s="10"/>
      <c r="I197" s="13" t="str">
        <f>IF(Table13[[#This Row],[template]]="","","0x"&amp;Table13[[#This Row],[D_Index]]&amp;"000")</f>
        <v>0x01000000</v>
      </c>
      <c r="J197" s="18"/>
      <c r="K197" s="10">
        <v>0</v>
      </c>
      <c r="L197" s="10"/>
      <c r="M197" s="11" t="str">
        <f>IF(Table13[[#This Row],[template]]="","",VLOOKUP(Table13[[#This Row],[template]],Table2915[],3,FALSE))</f>
        <v xml:space="preserve"> </v>
      </c>
      <c r="N197" s="10"/>
      <c r="O197" s="11"/>
      <c r="P197" s="9" t="str">
        <f>IF(Table13[[#This Row],[template]]="","",Table13[[#This Row],[IP]]&amp;"_"&amp;Table13[[#This Row],[PARAM_NAME]]&amp;IF(Table13[[#This Row],[SUB]]="","","_"&amp;Table13[[#This Row],[SUB]]))</f>
        <v>ev_pdpWidth_31</v>
      </c>
      <c r="Q197" s="1" t="s">
        <v>262</v>
      </c>
      <c r="R197" s="1" t="s">
        <v>418</v>
      </c>
      <c r="S197" s="6" t="s">
        <v>294</v>
      </c>
      <c r="T197" s="20" t="s">
        <v>449</v>
      </c>
      <c r="U197" s="6" t="s">
        <v>363</v>
      </c>
      <c r="V197" s="1" t="s">
        <v>254</v>
      </c>
      <c r="W197" s="16">
        <v>0</v>
      </c>
      <c r="X197" s="6" t="s">
        <v>363</v>
      </c>
      <c r="AA197" s="11">
        <f>IF(Table13[[#This Row],[template]]="","",VLOOKUP(Table13[[#This Row],[IP]],Table51117[],2,FALSE))</f>
        <v>1</v>
      </c>
      <c r="AB197" s="13" t="str">
        <f>IF(Table13[[#This Row],[template]]="","",DEC2HEX(VLOOKUP(Table13[[#This Row],[D1-Type]],Table351218[],2,FALSE),1)&amp;DEC2HEX(VLOOKUP(Table13[[#This Row],[D2-Type]],Table31016[],2,FALSE),1)&amp; DEC2HEX(Table13[[#This Row],[D2-Offset]],2)&amp;DEC2HEX(VLOOKUP(Table13[[#This Row],[D3-Type]],Table371319[],2,FALSE),1))</f>
        <v>01000</v>
      </c>
      <c r="AC197" s="14">
        <f>IF(Table13[[#This Row],[template]]="","",HEX2DEC(Table13[[#This Row],[Addr_Hex]]))</f>
        <v>12607</v>
      </c>
    </row>
    <row r="198" spans="2:29" x14ac:dyDescent="0.3">
      <c r="B198" s="4">
        <v>251</v>
      </c>
      <c r="C198" s="4"/>
      <c r="D198" s="9" t="str">
        <f>UPPER(Table13[[#This Row],[SIGNAL]])</f>
        <v/>
      </c>
      <c r="E198" s="9" t="str">
        <f>IF(Table13[[#This Row],[template]]="","","0x"&amp;Table13[[#This Row],[IP_Index]]&amp;DEC2HEX(Table13[[#This Row],[Addr_Dec]]*4,7))</f>
        <v/>
      </c>
      <c r="F198" s="9" t="str">
        <f>IF(Table13[[#This Row],[template]]="","",VLOOKUP(Table13[[#This Row],[template]],Table2915[],2,FALSE))</f>
        <v/>
      </c>
      <c r="G198" s="18" t="str">
        <f>IF(Table13[[#This Row],[template]]="","","1")</f>
        <v/>
      </c>
      <c r="H198" s="10"/>
      <c r="I198" s="13" t="str">
        <f>IF(Table13[[#This Row],[template]]="","","0x"&amp;Table13[[#This Row],[D_Index]]&amp;"000")</f>
        <v/>
      </c>
      <c r="J198" s="18"/>
      <c r="K198" s="10"/>
      <c r="L198" s="10"/>
      <c r="M198" s="11" t="str">
        <f>IF(Table13[[#This Row],[template]]="","",VLOOKUP(Table13[[#This Row],[template]],Table2915[],3,FALSE))</f>
        <v/>
      </c>
      <c r="N198" s="10"/>
      <c r="O198" s="11"/>
      <c r="P198" s="9" t="str">
        <f>IF(Table13[[#This Row],[template]]="","",Table13[[#This Row],[IP]]&amp;"_"&amp;Table13[[#This Row],[PARAM_NAME]]&amp;IF(Table13[[#This Row],[SUB]]="","","_"&amp;Table13[[#This Row],[SUB]]))</f>
        <v/>
      </c>
      <c r="S198" s="6"/>
      <c r="T198" s="4"/>
      <c r="U198" s="6"/>
      <c r="W198" s="16"/>
      <c r="X198" s="6"/>
      <c r="AA198" s="11" t="str">
        <f>IF(Table13[[#This Row],[template]]="","",VLOOKUP(Table13[[#This Row],[IP]],Table51117[],2,FALSE))</f>
        <v/>
      </c>
      <c r="AB198" s="13" t="str">
        <f>IF(Table13[[#This Row],[template]]="","",DEC2HEX(VLOOKUP(Table13[[#This Row],[D1-Type]],Table351218[],2,FALSE),1)&amp;DEC2HEX(VLOOKUP(Table13[[#This Row],[D2-Type]],Table31016[],2,FALSE),1)&amp; DEC2HEX(Table13[[#This Row],[D2-Offset]],2)&amp;DEC2HEX(VLOOKUP(Table13[[#This Row],[D3-Type]],Table371319[],2,FALSE),1))</f>
        <v/>
      </c>
      <c r="AC198" s="14" t="str">
        <f>IF(Table13[[#This Row],[template]]="","",HEX2DEC(Table13[[#This Row],[Addr_Hex]]))</f>
        <v/>
      </c>
    </row>
    <row r="199" spans="2:29" x14ac:dyDescent="0.3">
      <c r="B199" s="13" t="s">
        <v>502</v>
      </c>
      <c r="C199" s="4" t="s">
        <v>456</v>
      </c>
      <c r="D199" s="9" t="str">
        <f>UPPER(Table13[[#This Row],[SIGNAL]])</f>
        <v>EV_PDPCNTR_0</v>
      </c>
      <c r="E199" s="9" t="str">
        <f>IF(Table13[[#This Row],[template]]="","","0x"&amp;Table13[[#This Row],[IP_Index]]&amp;DEC2HEX(Table13[[#This Row],[Addr_Dec]]*4,7))</f>
        <v>0x1000C500</v>
      </c>
      <c r="F199" s="9" t="str">
        <f>IF(Table13[[#This Row],[template]]="","",VLOOKUP(Table13[[#This Row],[template]],Table2915[],2,FALSE))</f>
        <v>asynParamInt32</v>
      </c>
      <c r="G199" s="18" t="str">
        <f>IF(Table13[[#This Row],[template]]="","","1")</f>
        <v>1</v>
      </c>
      <c r="H199" s="10" t="s">
        <v>454</v>
      </c>
      <c r="I199" s="13" t="str">
        <f>IF(Table13[[#This Row],[template]]="","","0x"&amp;Table13[[#This Row],[D_Index]]&amp;"000")</f>
        <v>0x01000000</v>
      </c>
      <c r="J199" s="18"/>
      <c r="K199" s="10">
        <v>0</v>
      </c>
      <c r="L199" s="10"/>
      <c r="M199" s="11" t="str">
        <f>IF(Table13[[#This Row],[template]]="","",VLOOKUP(Table13[[#This Row],[template]],Table2915[],3,FALSE))</f>
        <v xml:space="preserve"> </v>
      </c>
      <c r="N199" s="10"/>
      <c r="O199" s="11"/>
      <c r="P199" s="9" t="str">
        <f>IF(Table13[[#This Row],[template]]="","",Table13[[#This Row],[IP]]&amp;"_"&amp;Table13[[#This Row],[PARAM_NAME]]&amp;IF(Table13[[#This Row],[SUB]]="","","_"&amp;Table13[[#This Row],[SUB]]))</f>
        <v>ev_pdpCntr_0</v>
      </c>
      <c r="Q199" s="1" t="s">
        <v>262</v>
      </c>
      <c r="R199" s="1" t="s">
        <v>482</v>
      </c>
      <c r="S199" s="6" t="s">
        <v>367</v>
      </c>
      <c r="T199" s="20" t="str">
        <f>DEC2HEX(HEX2DEC(Table13[[#This Row],[Index]])/4+Table13[[#This Row],[SUB]],4)</f>
        <v>3140</v>
      </c>
      <c r="U199" s="6" t="s">
        <v>363</v>
      </c>
      <c r="V199" s="1" t="s">
        <v>254</v>
      </c>
      <c r="W199" s="16">
        <v>0</v>
      </c>
      <c r="X199" s="6" t="s">
        <v>363</v>
      </c>
      <c r="AA199" s="11">
        <f>IF(Table13[[#This Row],[template]]="","",VLOOKUP(Table13[[#This Row],[IP]],Table51117[],2,FALSE))</f>
        <v>1</v>
      </c>
      <c r="AB199" s="13" t="str">
        <f>IF(Table13[[#This Row],[template]]="","",DEC2HEX(VLOOKUP(Table13[[#This Row],[D1-Type]],Table351218[],2,FALSE),1)&amp;DEC2HEX(VLOOKUP(Table13[[#This Row],[D2-Type]],Table31016[],2,FALSE),1)&amp; DEC2HEX(Table13[[#This Row],[D2-Offset]],2)&amp;DEC2HEX(VLOOKUP(Table13[[#This Row],[D3-Type]],Table371319[],2,FALSE),1))</f>
        <v>01000</v>
      </c>
      <c r="AC199" s="14">
        <f>IF(Table13[[#This Row],[template]]="","",HEX2DEC(Table13[[#This Row],[Addr_Hex]]))</f>
        <v>12608</v>
      </c>
    </row>
    <row r="200" spans="2:29" x14ac:dyDescent="0.3">
      <c r="B200" s="13" t="s">
        <v>502</v>
      </c>
      <c r="C200" s="4" t="s">
        <v>456</v>
      </c>
      <c r="D200" s="9" t="str">
        <f>UPPER(Table13[[#This Row],[SIGNAL]])</f>
        <v>EV_PDPCNTR_1</v>
      </c>
      <c r="E200" s="9" t="str">
        <f>IF(Table13[[#This Row],[template]]="","","0x"&amp;Table13[[#This Row],[IP_Index]]&amp;DEC2HEX(Table13[[#This Row],[Addr_Dec]]*4,7))</f>
        <v>0x1000C504</v>
      </c>
      <c r="F200" s="9" t="str">
        <f>IF(Table13[[#This Row],[template]]="","",VLOOKUP(Table13[[#This Row],[template]],Table2915[],2,FALSE))</f>
        <v>asynParamInt32</v>
      </c>
      <c r="G200" s="18" t="str">
        <f>IF(Table13[[#This Row],[template]]="","","1")</f>
        <v>1</v>
      </c>
      <c r="H200" s="10" t="s">
        <v>454</v>
      </c>
      <c r="I200" s="13" t="str">
        <f>IF(Table13[[#This Row],[template]]="","","0x"&amp;Table13[[#This Row],[D_Index]]&amp;"000")</f>
        <v>0x01000000</v>
      </c>
      <c r="J200" s="18"/>
      <c r="K200" s="10">
        <v>0</v>
      </c>
      <c r="L200" s="10"/>
      <c r="M200" s="11" t="str">
        <f>IF(Table13[[#This Row],[template]]="","",VLOOKUP(Table13[[#This Row],[template]],Table2915[],3,FALSE))</f>
        <v xml:space="preserve"> </v>
      </c>
      <c r="N200" s="10"/>
      <c r="O200" s="11"/>
      <c r="P200" s="9" t="str">
        <f>IF(Table13[[#This Row],[template]]="","",Table13[[#This Row],[IP]]&amp;"_"&amp;Table13[[#This Row],[PARAM_NAME]]&amp;IF(Table13[[#This Row],[SUB]]="","","_"&amp;Table13[[#This Row],[SUB]]))</f>
        <v>ev_pdpCntr_1</v>
      </c>
      <c r="Q200" s="1" t="s">
        <v>262</v>
      </c>
      <c r="R200" s="1" t="s">
        <v>482</v>
      </c>
      <c r="S200" s="6" t="s">
        <v>271</v>
      </c>
      <c r="T200" s="20" t="str">
        <f>DEC2HEX(HEX2DEC(Table13[[#This Row],[Index]])/4+Table13[[#This Row],[SUB]],4)</f>
        <v>3141</v>
      </c>
      <c r="U200" s="6" t="s">
        <v>363</v>
      </c>
      <c r="V200" s="1" t="s">
        <v>254</v>
      </c>
      <c r="W200" s="16">
        <v>0</v>
      </c>
      <c r="X200" s="6" t="s">
        <v>363</v>
      </c>
      <c r="AA200" s="11">
        <f>IF(Table13[[#This Row],[template]]="","",VLOOKUP(Table13[[#This Row],[IP]],Table51117[],2,FALSE))</f>
        <v>1</v>
      </c>
      <c r="AB200" s="13" t="str">
        <f>IF(Table13[[#This Row],[template]]="","",DEC2HEX(VLOOKUP(Table13[[#This Row],[D1-Type]],Table351218[],2,FALSE),1)&amp;DEC2HEX(VLOOKUP(Table13[[#This Row],[D2-Type]],Table31016[],2,FALSE),1)&amp; DEC2HEX(Table13[[#This Row],[D2-Offset]],2)&amp;DEC2HEX(VLOOKUP(Table13[[#This Row],[D3-Type]],Table371319[],2,FALSE),1))</f>
        <v>01000</v>
      </c>
      <c r="AC200" s="14">
        <f>IF(Table13[[#This Row],[template]]="","",HEX2DEC(Table13[[#This Row],[Addr_Hex]]))</f>
        <v>12609</v>
      </c>
    </row>
    <row r="201" spans="2:29" x14ac:dyDescent="0.3">
      <c r="B201" s="13" t="s">
        <v>502</v>
      </c>
      <c r="C201" s="4" t="s">
        <v>456</v>
      </c>
      <c r="D201" s="9" t="str">
        <f>UPPER(Table13[[#This Row],[SIGNAL]])</f>
        <v>EV_PDPCNTR_2</v>
      </c>
      <c r="E201" s="9" t="str">
        <f>IF(Table13[[#This Row],[template]]="","","0x"&amp;Table13[[#This Row],[IP_Index]]&amp;DEC2HEX(Table13[[#This Row],[Addr_Dec]]*4,7))</f>
        <v>0x1000C508</v>
      </c>
      <c r="F201" s="9" t="str">
        <f>IF(Table13[[#This Row],[template]]="","",VLOOKUP(Table13[[#This Row],[template]],Table2915[],2,FALSE))</f>
        <v>asynParamInt32</v>
      </c>
      <c r="G201" s="18" t="str">
        <f>IF(Table13[[#This Row],[template]]="","","1")</f>
        <v>1</v>
      </c>
      <c r="H201" s="10" t="s">
        <v>454</v>
      </c>
      <c r="I201" s="13" t="str">
        <f>IF(Table13[[#This Row],[template]]="","","0x"&amp;Table13[[#This Row],[D_Index]]&amp;"000")</f>
        <v>0x01000000</v>
      </c>
      <c r="J201" s="18"/>
      <c r="K201" s="10">
        <v>0</v>
      </c>
      <c r="L201" s="10"/>
      <c r="M201" s="11" t="str">
        <f>IF(Table13[[#This Row],[template]]="","",VLOOKUP(Table13[[#This Row],[template]],Table2915[],3,FALSE))</f>
        <v xml:space="preserve"> </v>
      </c>
      <c r="N201" s="10"/>
      <c r="O201" s="11"/>
      <c r="P201" s="9" t="str">
        <f>IF(Table13[[#This Row],[template]]="","",Table13[[#This Row],[IP]]&amp;"_"&amp;Table13[[#This Row],[PARAM_NAME]]&amp;IF(Table13[[#This Row],[SUB]]="","","_"&amp;Table13[[#This Row],[SUB]]))</f>
        <v>ev_pdpCntr_2</v>
      </c>
      <c r="Q201" s="1" t="s">
        <v>262</v>
      </c>
      <c r="R201" s="1" t="s">
        <v>482</v>
      </c>
      <c r="S201" s="6" t="s">
        <v>243</v>
      </c>
      <c r="T201" s="20" t="str">
        <f>DEC2HEX(HEX2DEC(Table13[[#This Row],[Index]])/4+Table13[[#This Row],[SUB]],4)</f>
        <v>3142</v>
      </c>
      <c r="U201" s="6" t="s">
        <v>363</v>
      </c>
      <c r="V201" s="1" t="s">
        <v>254</v>
      </c>
      <c r="W201" s="16">
        <v>0</v>
      </c>
      <c r="X201" s="6" t="s">
        <v>363</v>
      </c>
      <c r="AA201" s="11">
        <f>IF(Table13[[#This Row],[template]]="","",VLOOKUP(Table13[[#This Row],[IP]],Table51117[],2,FALSE))</f>
        <v>1</v>
      </c>
      <c r="AB201" s="13" t="str">
        <f>IF(Table13[[#This Row],[template]]="","",DEC2HEX(VLOOKUP(Table13[[#This Row],[D1-Type]],Table351218[],2,FALSE),1)&amp;DEC2HEX(VLOOKUP(Table13[[#This Row],[D2-Type]],Table31016[],2,FALSE),1)&amp; DEC2HEX(Table13[[#This Row],[D2-Offset]],2)&amp;DEC2HEX(VLOOKUP(Table13[[#This Row],[D3-Type]],Table371319[],2,FALSE),1))</f>
        <v>01000</v>
      </c>
      <c r="AC201" s="14">
        <f>IF(Table13[[#This Row],[template]]="","",HEX2DEC(Table13[[#This Row],[Addr_Hex]]))</f>
        <v>12610</v>
      </c>
    </row>
    <row r="202" spans="2:29" x14ac:dyDescent="0.3">
      <c r="B202" s="13" t="s">
        <v>502</v>
      </c>
      <c r="C202" s="4" t="s">
        <v>456</v>
      </c>
      <c r="D202" s="9" t="str">
        <f>UPPER(Table13[[#This Row],[SIGNAL]])</f>
        <v>EV_PDPCNTR_3</v>
      </c>
      <c r="E202" s="9" t="str">
        <f>IF(Table13[[#This Row],[template]]="","","0x"&amp;Table13[[#This Row],[IP_Index]]&amp;DEC2HEX(Table13[[#This Row],[Addr_Dec]]*4,7))</f>
        <v>0x1000C50C</v>
      </c>
      <c r="F202" s="9" t="str">
        <f>IF(Table13[[#This Row],[template]]="","",VLOOKUP(Table13[[#This Row],[template]],Table2915[],2,FALSE))</f>
        <v>asynParamInt32</v>
      </c>
      <c r="G202" s="18" t="str">
        <f>IF(Table13[[#This Row],[template]]="","","1")</f>
        <v>1</v>
      </c>
      <c r="H202" s="10" t="s">
        <v>454</v>
      </c>
      <c r="I202" s="13" t="str">
        <f>IF(Table13[[#This Row],[template]]="","","0x"&amp;Table13[[#This Row],[D_Index]]&amp;"000")</f>
        <v>0x01000000</v>
      </c>
      <c r="J202" s="18"/>
      <c r="K202" s="10">
        <v>0</v>
      </c>
      <c r="L202" s="10"/>
      <c r="M202" s="11" t="str">
        <f>IF(Table13[[#This Row],[template]]="","",VLOOKUP(Table13[[#This Row],[template]],Table2915[],3,FALSE))</f>
        <v xml:space="preserve"> </v>
      </c>
      <c r="N202" s="10"/>
      <c r="O202" s="11"/>
      <c r="P202" s="9" t="str">
        <f>IF(Table13[[#This Row],[template]]="","",Table13[[#This Row],[IP]]&amp;"_"&amp;Table13[[#This Row],[PARAM_NAME]]&amp;IF(Table13[[#This Row],[SUB]]="","","_"&amp;Table13[[#This Row],[SUB]]))</f>
        <v>ev_pdpCntr_3</v>
      </c>
      <c r="Q202" s="1" t="s">
        <v>262</v>
      </c>
      <c r="R202" s="1" t="s">
        <v>482</v>
      </c>
      <c r="S202" s="6" t="s">
        <v>244</v>
      </c>
      <c r="T202" s="20" t="str">
        <f>DEC2HEX(HEX2DEC(Table13[[#This Row],[Index]])/4+Table13[[#This Row],[SUB]],4)</f>
        <v>3143</v>
      </c>
      <c r="U202" s="6" t="s">
        <v>363</v>
      </c>
      <c r="V202" s="1" t="s">
        <v>254</v>
      </c>
      <c r="W202" s="16">
        <v>0</v>
      </c>
      <c r="X202" s="6" t="s">
        <v>363</v>
      </c>
      <c r="AA202" s="11">
        <f>IF(Table13[[#This Row],[template]]="","",VLOOKUP(Table13[[#This Row],[IP]],Table51117[],2,FALSE))</f>
        <v>1</v>
      </c>
      <c r="AB202" s="13" t="str">
        <f>IF(Table13[[#This Row],[template]]="","",DEC2HEX(VLOOKUP(Table13[[#This Row],[D1-Type]],Table351218[],2,FALSE),1)&amp;DEC2HEX(VLOOKUP(Table13[[#This Row],[D2-Type]],Table31016[],2,FALSE),1)&amp; DEC2HEX(Table13[[#This Row],[D2-Offset]],2)&amp;DEC2HEX(VLOOKUP(Table13[[#This Row],[D3-Type]],Table371319[],2,FALSE),1))</f>
        <v>01000</v>
      </c>
      <c r="AC202" s="14">
        <f>IF(Table13[[#This Row],[template]]="","",HEX2DEC(Table13[[#This Row],[Addr_Hex]]))</f>
        <v>12611</v>
      </c>
    </row>
    <row r="203" spans="2:29" x14ac:dyDescent="0.3">
      <c r="B203" s="13" t="s">
        <v>502</v>
      </c>
      <c r="C203" s="4" t="s">
        <v>456</v>
      </c>
      <c r="D203" s="9" t="str">
        <f>UPPER(Table13[[#This Row],[SIGNAL]])</f>
        <v>EV_PDPCNTR_4</v>
      </c>
      <c r="E203" s="9" t="str">
        <f>IF(Table13[[#This Row],[template]]="","","0x"&amp;Table13[[#This Row],[IP_Index]]&amp;DEC2HEX(Table13[[#This Row],[Addr_Dec]]*4,7))</f>
        <v>0x1000C510</v>
      </c>
      <c r="F203" s="9" t="str">
        <f>IF(Table13[[#This Row],[template]]="","",VLOOKUP(Table13[[#This Row],[template]],Table2915[],2,FALSE))</f>
        <v>asynParamInt32</v>
      </c>
      <c r="G203" s="18" t="str">
        <f>IF(Table13[[#This Row],[template]]="","","1")</f>
        <v>1</v>
      </c>
      <c r="H203" s="10" t="s">
        <v>454</v>
      </c>
      <c r="I203" s="13" t="str">
        <f>IF(Table13[[#This Row],[template]]="","","0x"&amp;Table13[[#This Row],[D_Index]]&amp;"000")</f>
        <v>0x01000000</v>
      </c>
      <c r="J203" s="18"/>
      <c r="K203" s="10">
        <v>0</v>
      </c>
      <c r="L203" s="10"/>
      <c r="M203" s="11" t="str">
        <f>IF(Table13[[#This Row],[template]]="","",VLOOKUP(Table13[[#This Row],[template]],Table2915[],3,FALSE))</f>
        <v xml:space="preserve"> </v>
      </c>
      <c r="N203" s="10"/>
      <c r="O203" s="11"/>
      <c r="P203" s="9" t="str">
        <f>IF(Table13[[#This Row],[template]]="","",Table13[[#This Row],[IP]]&amp;"_"&amp;Table13[[#This Row],[PARAM_NAME]]&amp;IF(Table13[[#This Row],[SUB]]="","","_"&amp;Table13[[#This Row],[SUB]]))</f>
        <v>ev_pdpCntr_4</v>
      </c>
      <c r="Q203" s="1" t="s">
        <v>262</v>
      </c>
      <c r="R203" s="1" t="s">
        <v>482</v>
      </c>
      <c r="S203" s="6" t="s">
        <v>245</v>
      </c>
      <c r="T203" s="20" t="str">
        <f>DEC2HEX(HEX2DEC(Table13[[#This Row],[Index]])/4+Table13[[#This Row],[SUB]],4)</f>
        <v>3144</v>
      </c>
      <c r="U203" s="6" t="s">
        <v>363</v>
      </c>
      <c r="V203" s="1" t="s">
        <v>254</v>
      </c>
      <c r="W203" s="16">
        <v>0</v>
      </c>
      <c r="X203" s="6" t="s">
        <v>363</v>
      </c>
      <c r="AA203" s="11">
        <f>IF(Table13[[#This Row],[template]]="","",VLOOKUP(Table13[[#This Row],[IP]],Table51117[],2,FALSE))</f>
        <v>1</v>
      </c>
      <c r="AB203" s="13" t="str">
        <f>IF(Table13[[#This Row],[template]]="","",DEC2HEX(VLOOKUP(Table13[[#This Row],[D1-Type]],Table351218[],2,FALSE),1)&amp;DEC2HEX(VLOOKUP(Table13[[#This Row],[D2-Type]],Table31016[],2,FALSE),1)&amp; DEC2HEX(Table13[[#This Row],[D2-Offset]],2)&amp;DEC2HEX(VLOOKUP(Table13[[#This Row],[D3-Type]],Table371319[],2,FALSE),1))</f>
        <v>01000</v>
      </c>
      <c r="AC203" s="14">
        <f>IF(Table13[[#This Row],[template]]="","",HEX2DEC(Table13[[#This Row],[Addr_Hex]]))</f>
        <v>12612</v>
      </c>
    </row>
    <row r="204" spans="2:29" x14ac:dyDescent="0.3">
      <c r="B204" s="13" t="s">
        <v>502</v>
      </c>
      <c r="C204" s="4" t="s">
        <v>456</v>
      </c>
      <c r="D204" s="9" t="str">
        <f>UPPER(Table13[[#This Row],[SIGNAL]])</f>
        <v>EV_PDPCNTR_5</v>
      </c>
      <c r="E204" s="9" t="str">
        <f>IF(Table13[[#This Row],[template]]="","","0x"&amp;Table13[[#This Row],[IP_Index]]&amp;DEC2HEX(Table13[[#This Row],[Addr_Dec]]*4,7))</f>
        <v>0x1000C514</v>
      </c>
      <c r="F204" s="9" t="str">
        <f>IF(Table13[[#This Row],[template]]="","",VLOOKUP(Table13[[#This Row],[template]],Table2915[],2,FALSE))</f>
        <v>asynParamInt32</v>
      </c>
      <c r="G204" s="18" t="str">
        <f>IF(Table13[[#This Row],[template]]="","","1")</f>
        <v>1</v>
      </c>
      <c r="H204" s="10" t="s">
        <v>454</v>
      </c>
      <c r="I204" s="13" t="str">
        <f>IF(Table13[[#This Row],[template]]="","","0x"&amp;Table13[[#This Row],[D_Index]]&amp;"000")</f>
        <v>0x01000000</v>
      </c>
      <c r="J204" s="18"/>
      <c r="K204" s="10">
        <v>0</v>
      </c>
      <c r="L204" s="10"/>
      <c r="M204" s="11" t="str">
        <f>IF(Table13[[#This Row],[template]]="","",VLOOKUP(Table13[[#This Row],[template]],Table2915[],3,FALSE))</f>
        <v xml:space="preserve"> </v>
      </c>
      <c r="N204" s="10"/>
      <c r="O204" s="11"/>
      <c r="P204" s="9" t="str">
        <f>IF(Table13[[#This Row],[template]]="","",Table13[[#This Row],[IP]]&amp;"_"&amp;Table13[[#This Row],[PARAM_NAME]]&amp;IF(Table13[[#This Row],[SUB]]="","","_"&amp;Table13[[#This Row],[SUB]]))</f>
        <v>ev_pdpCntr_5</v>
      </c>
      <c r="Q204" s="1" t="s">
        <v>262</v>
      </c>
      <c r="R204" s="1" t="s">
        <v>482</v>
      </c>
      <c r="S204" s="6" t="s">
        <v>246</v>
      </c>
      <c r="T204" s="20" t="str">
        <f>DEC2HEX(HEX2DEC(Table13[[#This Row],[Index]])/4+Table13[[#This Row],[SUB]],4)</f>
        <v>3145</v>
      </c>
      <c r="U204" s="6" t="s">
        <v>363</v>
      </c>
      <c r="V204" s="1" t="s">
        <v>254</v>
      </c>
      <c r="W204" s="16">
        <v>0</v>
      </c>
      <c r="X204" s="6" t="s">
        <v>363</v>
      </c>
      <c r="AA204" s="11">
        <f>IF(Table13[[#This Row],[template]]="","",VLOOKUP(Table13[[#This Row],[IP]],Table51117[],2,FALSE))</f>
        <v>1</v>
      </c>
      <c r="AB204" s="13" t="str">
        <f>IF(Table13[[#This Row],[template]]="","",DEC2HEX(VLOOKUP(Table13[[#This Row],[D1-Type]],Table351218[],2,FALSE),1)&amp;DEC2HEX(VLOOKUP(Table13[[#This Row],[D2-Type]],Table31016[],2,FALSE),1)&amp; DEC2HEX(Table13[[#This Row],[D2-Offset]],2)&amp;DEC2HEX(VLOOKUP(Table13[[#This Row],[D3-Type]],Table371319[],2,FALSE),1))</f>
        <v>01000</v>
      </c>
      <c r="AC204" s="14">
        <f>IF(Table13[[#This Row],[template]]="","",HEX2DEC(Table13[[#This Row],[Addr_Hex]]))</f>
        <v>12613</v>
      </c>
    </row>
    <row r="205" spans="2:29" x14ac:dyDescent="0.3">
      <c r="B205" s="13" t="s">
        <v>502</v>
      </c>
      <c r="C205" s="4" t="s">
        <v>456</v>
      </c>
      <c r="D205" s="9" t="str">
        <f>UPPER(Table13[[#This Row],[SIGNAL]])</f>
        <v>EV_PDPCNTR_6</v>
      </c>
      <c r="E205" s="9" t="str">
        <f>IF(Table13[[#This Row],[template]]="","","0x"&amp;Table13[[#This Row],[IP_Index]]&amp;DEC2HEX(Table13[[#This Row],[Addr_Dec]]*4,7))</f>
        <v>0x1000C518</v>
      </c>
      <c r="F205" s="9" t="str">
        <f>IF(Table13[[#This Row],[template]]="","",VLOOKUP(Table13[[#This Row],[template]],Table2915[],2,FALSE))</f>
        <v>asynParamInt32</v>
      </c>
      <c r="G205" s="18" t="str">
        <f>IF(Table13[[#This Row],[template]]="","","1")</f>
        <v>1</v>
      </c>
      <c r="H205" s="10" t="s">
        <v>454</v>
      </c>
      <c r="I205" s="13" t="str">
        <f>IF(Table13[[#This Row],[template]]="","","0x"&amp;Table13[[#This Row],[D_Index]]&amp;"000")</f>
        <v>0x01000000</v>
      </c>
      <c r="J205" s="18"/>
      <c r="K205" s="10">
        <v>0</v>
      </c>
      <c r="L205" s="10"/>
      <c r="M205" s="11" t="str">
        <f>IF(Table13[[#This Row],[template]]="","",VLOOKUP(Table13[[#This Row],[template]],Table2915[],3,FALSE))</f>
        <v xml:space="preserve"> </v>
      </c>
      <c r="N205" s="10"/>
      <c r="O205" s="11"/>
      <c r="P205" s="9" t="str">
        <f>IF(Table13[[#This Row],[template]]="","",Table13[[#This Row],[IP]]&amp;"_"&amp;Table13[[#This Row],[PARAM_NAME]]&amp;IF(Table13[[#This Row],[SUB]]="","","_"&amp;Table13[[#This Row],[SUB]]))</f>
        <v>ev_pdpCntr_6</v>
      </c>
      <c r="Q205" s="1" t="s">
        <v>262</v>
      </c>
      <c r="R205" s="1" t="s">
        <v>482</v>
      </c>
      <c r="S205" s="6" t="s">
        <v>247</v>
      </c>
      <c r="T205" s="20" t="str">
        <f>DEC2HEX(HEX2DEC(Table13[[#This Row],[Index]])/4+Table13[[#This Row],[SUB]],4)</f>
        <v>3146</v>
      </c>
      <c r="U205" s="6" t="s">
        <v>363</v>
      </c>
      <c r="V205" s="1" t="s">
        <v>254</v>
      </c>
      <c r="W205" s="16">
        <v>0</v>
      </c>
      <c r="X205" s="6" t="s">
        <v>363</v>
      </c>
      <c r="AA205" s="11">
        <f>IF(Table13[[#This Row],[template]]="","",VLOOKUP(Table13[[#This Row],[IP]],Table51117[],2,FALSE))</f>
        <v>1</v>
      </c>
      <c r="AB205" s="13" t="str">
        <f>IF(Table13[[#This Row],[template]]="","",DEC2HEX(VLOOKUP(Table13[[#This Row],[D1-Type]],Table351218[],2,FALSE),1)&amp;DEC2HEX(VLOOKUP(Table13[[#This Row],[D2-Type]],Table31016[],2,FALSE),1)&amp; DEC2HEX(Table13[[#This Row],[D2-Offset]],2)&amp;DEC2HEX(VLOOKUP(Table13[[#This Row],[D3-Type]],Table371319[],2,FALSE),1))</f>
        <v>01000</v>
      </c>
      <c r="AC205" s="14">
        <f>IF(Table13[[#This Row],[template]]="","",HEX2DEC(Table13[[#This Row],[Addr_Hex]]))</f>
        <v>12614</v>
      </c>
    </row>
    <row r="206" spans="2:29" x14ac:dyDescent="0.3">
      <c r="B206" s="13" t="s">
        <v>502</v>
      </c>
      <c r="C206" s="4" t="s">
        <v>456</v>
      </c>
      <c r="D206" s="9" t="str">
        <f>UPPER(Table13[[#This Row],[SIGNAL]])</f>
        <v>EV_PDPCNTR_7</v>
      </c>
      <c r="E206" s="9" t="str">
        <f>IF(Table13[[#This Row],[template]]="","","0x"&amp;Table13[[#This Row],[IP_Index]]&amp;DEC2HEX(Table13[[#This Row],[Addr_Dec]]*4,7))</f>
        <v>0x1000C51C</v>
      </c>
      <c r="F206" s="9" t="str">
        <f>IF(Table13[[#This Row],[template]]="","",VLOOKUP(Table13[[#This Row],[template]],Table2915[],2,FALSE))</f>
        <v>asynParamInt32</v>
      </c>
      <c r="G206" s="18" t="str">
        <f>IF(Table13[[#This Row],[template]]="","","1")</f>
        <v>1</v>
      </c>
      <c r="H206" s="10" t="s">
        <v>454</v>
      </c>
      <c r="I206" s="13" t="str">
        <f>IF(Table13[[#This Row],[template]]="","","0x"&amp;Table13[[#This Row],[D_Index]]&amp;"000")</f>
        <v>0x01000000</v>
      </c>
      <c r="J206" s="18"/>
      <c r="K206" s="10">
        <v>0</v>
      </c>
      <c r="L206" s="10"/>
      <c r="M206" s="11" t="str">
        <f>IF(Table13[[#This Row],[template]]="","",VLOOKUP(Table13[[#This Row],[template]],Table2915[],3,FALSE))</f>
        <v xml:space="preserve"> </v>
      </c>
      <c r="N206" s="10"/>
      <c r="O206" s="11"/>
      <c r="P206" s="9" t="str">
        <f>IF(Table13[[#This Row],[template]]="","",Table13[[#This Row],[IP]]&amp;"_"&amp;Table13[[#This Row],[PARAM_NAME]]&amp;IF(Table13[[#This Row],[SUB]]="","","_"&amp;Table13[[#This Row],[SUB]]))</f>
        <v>ev_pdpCntr_7</v>
      </c>
      <c r="Q206" s="1" t="s">
        <v>262</v>
      </c>
      <c r="R206" s="1" t="s">
        <v>482</v>
      </c>
      <c r="S206" s="6" t="s">
        <v>248</v>
      </c>
      <c r="T206" s="20" t="str">
        <f>DEC2HEX(HEX2DEC(Table13[[#This Row],[Index]])/4+Table13[[#This Row],[SUB]],4)</f>
        <v>3147</v>
      </c>
      <c r="U206" s="6" t="s">
        <v>363</v>
      </c>
      <c r="V206" s="1" t="s">
        <v>254</v>
      </c>
      <c r="W206" s="16">
        <v>0</v>
      </c>
      <c r="X206" s="6" t="s">
        <v>363</v>
      </c>
      <c r="AA206" s="11">
        <f>IF(Table13[[#This Row],[template]]="","",VLOOKUP(Table13[[#This Row],[IP]],Table51117[],2,FALSE))</f>
        <v>1</v>
      </c>
      <c r="AB206" s="13" t="str">
        <f>IF(Table13[[#This Row],[template]]="","",DEC2HEX(VLOOKUP(Table13[[#This Row],[D1-Type]],Table351218[],2,FALSE),1)&amp;DEC2HEX(VLOOKUP(Table13[[#This Row],[D2-Type]],Table31016[],2,FALSE),1)&amp; DEC2HEX(Table13[[#This Row],[D2-Offset]],2)&amp;DEC2HEX(VLOOKUP(Table13[[#This Row],[D3-Type]],Table371319[],2,FALSE),1))</f>
        <v>01000</v>
      </c>
      <c r="AC206" s="14">
        <f>IF(Table13[[#This Row],[template]]="","",HEX2DEC(Table13[[#This Row],[Addr_Hex]]))</f>
        <v>12615</v>
      </c>
    </row>
    <row r="207" spans="2:29" x14ac:dyDescent="0.3">
      <c r="B207" s="13" t="s">
        <v>502</v>
      </c>
      <c r="C207" s="4" t="s">
        <v>456</v>
      </c>
      <c r="D207" s="9" t="str">
        <f>UPPER(Table13[[#This Row],[SIGNAL]])</f>
        <v>EV_PDPCNTR_8</v>
      </c>
      <c r="E207" s="9" t="str">
        <f>IF(Table13[[#This Row],[template]]="","","0x"&amp;Table13[[#This Row],[IP_Index]]&amp;DEC2HEX(Table13[[#This Row],[Addr_Dec]]*4,7))</f>
        <v>0x1000C520</v>
      </c>
      <c r="F207" s="9" t="str">
        <f>IF(Table13[[#This Row],[template]]="","",VLOOKUP(Table13[[#This Row],[template]],Table2915[],2,FALSE))</f>
        <v>asynParamInt32</v>
      </c>
      <c r="G207" s="18" t="str">
        <f>IF(Table13[[#This Row],[template]]="","","1")</f>
        <v>1</v>
      </c>
      <c r="H207" s="10" t="s">
        <v>454</v>
      </c>
      <c r="I207" s="13" t="str">
        <f>IF(Table13[[#This Row],[template]]="","","0x"&amp;Table13[[#This Row],[D_Index]]&amp;"000")</f>
        <v>0x01000000</v>
      </c>
      <c r="J207" s="18"/>
      <c r="K207" s="10">
        <v>0</v>
      </c>
      <c r="L207" s="10"/>
      <c r="M207" s="11" t="str">
        <f>IF(Table13[[#This Row],[template]]="","",VLOOKUP(Table13[[#This Row],[template]],Table2915[],3,FALSE))</f>
        <v xml:space="preserve"> </v>
      </c>
      <c r="N207" s="10"/>
      <c r="O207" s="11"/>
      <c r="P207" s="9" t="str">
        <f>IF(Table13[[#This Row],[template]]="","",Table13[[#This Row],[IP]]&amp;"_"&amp;Table13[[#This Row],[PARAM_NAME]]&amp;IF(Table13[[#This Row],[SUB]]="","","_"&amp;Table13[[#This Row],[SUB]]))</f>
        <v>ev_pdpCntr_8</v>
      </c>
      <c r="Q207" s="1" t="s">
        <v>262</v>
      </c>
      <c r="R207" s="1" t="s">
        <v>482</v>
      </c>
      <c r="S207" s="6" t="s">
        <v>249</v>
      </c>
      <c r="T207" s="20" t="str">
        <f>DEC2HEX(HEX2DEC(Table13[[#This Row],[Index]])/4+Table13[[#This Row],[SUB]],4)</f>
        <v>3148</v>
      </c>
      <c r="U207" s="6" t="s">
        <v>363</v>
      </c>
      <c r="V207" s="1" t="s">
        <v>254</v>
      </c>
      <c r="W207" s="16">
        <v>0</v>
      </c>
      <c r="X207" s="6" t="s">
        <v>363</v>
      </c>
      <c r="AA207" s="11">
        <f>IF(Table13[[#This Row],[template]]="","",VLOOKUP(Table13[[#This Row],[IP]],Table51117[],2,FALSE))</f>
        <v>1</v>
      </c>
      <c r="AB207" s="13" t="str">
        <f>IF(Table13[[#This Row],[template]]="","",DEC2HEX(VLOOKUP(Table13[[#This Row],[D1-Type]],Table351218[],2,FALSE),1)&amp;DEC2HEX(VLOOKUP(Table13[[#This Row],[D2-Type]],Table31016[],2,FALSE),1)&amp; DEC2HEX(Table13[[#This Row],[D2-Offset]],2)&amp;DEC2HEX(VLOOKUP(Table13[[#This Row],[D3-Type]],Table371319[],2,FALSE),1))</f>
        <v>01000</v>
      </c>
      <c r="AC207" s="14">
        <f>IF(Table13[[#This Row],[template]]="","",HEX2DEC(Table13[[#This Row],[Addr_Hex]]))</f>
        <v>12616</v>
      </c>
    </row>
    <row r="208" spans="2:29" x14ac:dyDescent="0.3">
      <c r="B208" s="13" t="s">
        <v>502</v>
      </c>
      <c r="C208" s="4" t="s">
        <v>456</v>
      </c>
      <c r="D208" s="9" t="str">
        <f>UPPER(Table13[[#This Row],[SIGNAL]])</f>
        <v>EV_PDPCNTR_9</v>
      </c>
      <c r="E208" s="9" t="str">
        <f>IF(Table13[[#This Row],[template]]="","","0x"&amp;Table13[[#This Row],[IP_Index]]&amp;DEC2HEX(Table13[[#This Row],[Addr_Dec]]*4,7))</f>
        <v>0x1000C524</v>
      </c>
      <c r="F208" s="9" t="str">
        <f>IF(Table13[[#This Row],[template]]="","",VLOOKUP(Table13[[#This Row],[template]],Table2915[],2,FALSE))</f>
        <v>asynParamInt32</v>
      </c>
      <c r="G208" s="18" t="str">
        <f>IF(Table13[[#This Row],[template]]="","","1")</f>
        <v>1</v>
      </c>
      <c r="H208" s="10" t="s">
        <v>454</v>
      </c>
      <c r="I208" s="13" t="str">
        <f>IF(Table13[[#This Row],[template]]="","","0x"&amp;Table13[[#This Row],[D_Index]]&amp;"000")</f>
        <v>0x01000000</v>
      </c>
      <c r="J208" s="18"/>
      <c r="K208" s="10">
        <v>0</v>
      </c>
      <c r="L208" s="10"/>
      <c r="M208" s="11" t="str">
        <f>IF(Table13[[#This Row],[template]]="","",VLOOKUP(Table13[[#This Row],[template]],Table2915[],3,FALSE))</f>
        <v xml:space="preserve"> </v>
      </c>
      <c r="N208" s="10"/>
      <c r="O208" s="11"/>
      <c r="P208" s="9" t="str">
        <f>IF(Table13[[#This Row],[template]]="","",Table13[[#This Row],[IP]]&amp;"_"&amp;Table13[[#This Row],[PARAM_NAME]]&amp;IF(Table13[[#This Row],[SUB]]="","","_"&amp;Table13[[#This Row],[SUB]]))</f>
        <v>ev_pdpCntr_9</v>
      </c>
      <c r="Q208" s="1" t="s">
        <v>262</v>
      </c>
      <c r="R208" s="1" t="s">
        <v>482</v>
      </c>
      <c r="S208" s="6" t="s">
        <v>250</v>
      </c>
      <c r="T208" s="20" t="str">
        <f>DEC2HEX(HEX2DEC(Table13[[#This Row],[Index]])/4+Table13[[#This Row],[SUB]],4)</f>
        <v>3149</v>
      </c>
      <c r="U208" s="6" t="s">
        <v>363</v>
      </c>
      <c r="V208" s="1" t="s">
        <v>254</v>
      </c>
      <c r="W208" s="16">
        <v>0</v>
      </c>
      <c r="X208" s="6" t="s">
        <v>363</v>
      </c>
      <c r="AA208" s="11">
        <f>IF(Table13[[#This Row],[template]]="","",VLOOKUP(Table13[[#This Row],[IP]],Table51117[],2,FALSE))</f>
        <v>1</v>
      </c>
      <c r="AB208" s="13" t="str">
        <f>IF(Table13[[#This Row],[template]]="","",DEC2HEX(VLOOKUP(Table13[[#This Row],[D1-Type]],Table351218[],2,FALSE),1)&amp;DEC2HEX(VLOOKUP(Table13[[#This Row],[D2-Type]],Table31016[],2,FALSE),1)&amp; DEC2HEX(Table13[[#This Row],[D2-Offset]],2)&amp;DEC2HEX(VLOOKUP(Table13[[#This Row],[D3-Type]],Table371319[],2,FALSE),1))</f>
        <v>01000</v>
      </c>
      <c r="AC208" s="14">
        <f>IF(Table13[[#This Row],[template]]="","",HEX2DEC(Table13[[#This Row],[Addr_Hex]]))</f>
        <v>12617</v>
      </c>
    </row>
    <row r="209" spans="2:29" x14ac:dyDescent="0.3">
      <c r="B209" s="13" t="s">
        <v>502</v>
      </c>
      <c r="C209" s="4" t="s">
        <v>456</v>
      </c>
      <c r="D209" s="9" t="str">
        <f>UPPER(Table13[[#This Row],[SIGNAL]])</f>
        <v>EV_PDPCNTR_10</v>
      </c>
      <c r="E209" s="9" t="str">
        <f>IF(Table13[[#This Row],[template]]="","","0x"&amp;Table13[[#This Row],[IP_Index]]&amp;DEC2HEX(Table13[[#This Row],[Addr_Dec]]*4,7))</f>
        <v>0x1000C528</v>
      </c>
      <c r="F209" s="9" t="str">
        <f>IF(Table13[[#This Row],[template]]="","",VLOOKUP(Table13[[#This Row],[template]],Table2915[],2,FALSE))</f>
        <v>asynParamInt32</v>
      </c>
      <c r="G209" s="18" t="str">
        <f>IF(Table13[[#This Row],[template]]="","","1")</f>
        <v>1</v>
      </c>
      <c r="H209" s="10" t="s">
        <v>454</v>
      </c>
      <c r="I209" s="13" t="str">
        <f>IF(Table13[[#This Row],[template]]="","","0x"&amp;Table13[[#This Row],[D_Index]]&amp;"000")</f>
        <v>0x01000000</v>
      </c>
      <c r="J209" s="18"/>
      <c r="K209" s="10">
        <v>0</v>
      </c>
      <c r="L209" s="10"/>
      <c r="M209" s="11" t="str">
        <f>IF(Table13[[#This Row],[template]]="","",VLOOKUP(Table13[[#This Row],[template]],Table2915[],3,FALSE))</f>
        <v xml:space="preserve"> </v>
      </c>
      <c r="N209" s="10"/>
      <c r="O209" s="11"/>
      <c r="P209" s="9" t="str">
        <f>IF(Table13[[#This Row],[template]]="","",Table13[[#This Row],[IP]]&amp;"_"&amp;Table13[[#This Row],[PARAM_NAME]]&amp;IF(Table13[[#This Row],[SUB]]="","","_"&amp;Table13[[#This Row],[SUB]]))</f>
        <v>ev_pdpCntr_10</v>
      </c>
      <c r="Q209" s="1" t="s">
        <v>262</v>
      </c>
      <c r="R209" s="1" t="s">
        <v>482</v>
      </c>
      <c r="S209" s="6" t="s">
        <v>273</v>
      </c>
      <c r="T209" s="20" t="str">
        <f>DEC2HEX(HEX2DEC(Table13[[#This Row],[Index]])/4+Table13[[#This Row],[SUB]],4)</f>
        <v>314A</v>
      </c>
      <c r="U209" s="6" t="s">
        <v>363</v>
      </c>
      <c r="V209" s="1" t="s">
        <v>254</v>
      </c>
      <c r="W209" s="16">
        <v>0</v>
      </c>
      <c r="X209" s="6" t="s">
        <v>363</v>
      </c>
      <c r="AA209" s="11">
        <f>IF(Table13[[#This Row],[template]]="","",VLOOKUP(Table13[[#This Row],[IP]],Table51117[],2,FALSE))</f>
        <v>1</v>
      </c>
      <c r="AB209" s="13" t="str">
        <f>IF(Table13[[#This Row],[template]]="","",DEC2HEX(VLOOKUP(Table13[[#This Row],[D1-Type]],Table351218[],2,FALSE),1)&amp;DEC2HEX(VLOOKUP(Table13[[#This Row],[D2-Type]],Table31016[],2,FALSE),1)&amp; DEC2HEX(Table13[[#This Row],[D2-Offset]],2)&amp;DEC2HEX(VLOOKUP(Table13[[#This Row],[D3-Type]],Table371319[],2,FALSE),1))</f>
        <v>01000</v>
      </c>
      <c r="AC209" s="14">
        <f>IF(Table13[[#This Row],[template]]="","",HEX2DEC(Table13[[#This Row],[Addr_Hex]]))</f>
        <v>12618</v>
      </c>
    </row>
    <row r="210" spans="2:29" x14ac:dyDescent="0.3">
      <c r="B210" s="13" t="s">
        <v>502</v>
      </c>
      <c r="C210" s="4" t="s">
        <v>456</v>
      </c>
      <c r="D210" s="9" t="str">
        <f>UPPER(Table13[[#This Row],[SIGNAL]])</f>
        <v>EV_PDPCNTR_11</v>
      </c>
      <c r="E210" s="9" t="str">
        <f>IF(Table13[[#This Row],[template]]="","","0x"&amp;Table13[[#This Row],[IP_Index]]&amp;DEC2HEX(Table13[[#This Row],[Addr_Dec]]*4,7))</f>
        <v>0x1000C52C</v>
      </c>
      <c r="F210" s="9" t="str">
        <f>IF(Table13[[#This Row],[template]]="","",VLOOKUP(Table13[[#This Row],[template]],Table2915[],2,FALSE))</f>
        <v>asynParamInt32</v>
      </c>
      <c r="G210" s="18" t="str">
        <f>IF(Table13[[#This Row],[template]]="","","1")</f>
        <v>1</v>
      </c>
      <c r="H210" s="10" t="s">
        <v>454</v>
      </c>
      <c r="I210" s="13" t="str">
        <f>IF(Table13[[#This Row],[template]]="","","0x"&amp;Table13[[#This Row],[D_Index]]&amp;"000")</f>
        <v>0x01000000</v>
      </c>
      <c r="J210" s="18"/>
      <c r="K210" s="10">
        <v>0</v>
      </c>
      <c r="L210" s="10"/>
      <c r="M210" s="11" t="str">
        <f>IF(Table13[[#This Row],[template]]="","",VLOOKUP(Table13[[#This Row],[template]],Table2915[],3,FALSE))</f>
        <v xml:space="preserve"> </v>
      </c>
      <c r="N210" s="10"/>
      <c r="O210" s="11"/>
      <c r="P210" s="9" t="str">
        <f>IF(Table13[[#This Row],[template]]="","",Table13[[#This Row],[IP]]&amp;"_"&amp;Table13[[#This Row],[PARAM_NAME]]&amp;IF(Table13[[#This Row],[SUB]]="","","_"&amp;Table13[[#This Row],[SUB]]))</f>
        <v>ev_pdpCntr_11</v>
      </c>
      <c r="Q210" s="1" t="s">
        <v>262</v>
      </c>
      <c r="R210" s="1" t="s">
        <v>482</v>
      </c>
      <c r="S210" s="6" t="s">
        <v>274</v>
      </c>
      <c r="T210" s="20" t="str">
        <f>DEC2HEX(HEX2DEC(Table13[[#This Row],[Index]])/4+Table13[[#This Row],[SUB]],4)</f>
        <v>314B</v>
      </c>
      <c r="U210" s="6" t="s">
        <v>363</v>
      </c>
      <c r="V210" s="1" t="s">
        <v>254</v>
      </c>
      <c r="W210" s="16">
        <v>0</v>
      </c>
      <c r="X210" s="6" t="s">
        <v>363</v>
      </c>
      <c r="AA210" s="11">
        <f>IF(Table13[[#This Row],[template]]="","",VLOOKUP(Table13[[#This Row],[IP]],Table51117[],2,FALSE))</f>
        <v>1</v>
      </c>
      <c r="AB210" s="13" t="str">
        <f>IF(Table13[[#This Row],[template]]="","",DEC2HEX(VLOOKUP(Table13[[#This Row],[D1-Type]],Table351218[],2,FALSE),1)&amp;DEC2HEX(VLOOKUP(Table13[[#This Row],[D2-Type]],Table31016[],2,FALSE),1)&amp; DEC2HEX(Table13[[#This Row],[D2-Offset]],2)&amp;DEC2HEX(VLOOKUP(Table13[[#This Row],[D3-Type]],Table371319[],2,FALSE),1))</f>
        <v>01000</v>
      </c>
      <c r="AC210" s="14">
        <f>IF(Table13[[#This Row],[template]]="","",HEX2DEC(Table13[[#This Row],[Addr_Hex]]))</f>
        <v>12619</v>
      </c>
    </row>
    <row r="211" spans="2:29" x14ac:dyDescent="0.3">
      <c r="B211" s="13" t="s">
        <v>502</v>
      </c>
      <c r="C211" s="4" t="s">
        <v>456</v>
      </c>
      <c r="D211" s="9" t="str">
        <f>UPPER(Table13[[#This Row],[SIGNAL]])</f>
        <v>EV_PDPCNTR_12</v>
      </c>
      <c r="E211" s="9" t="str">
        <f>IF(Table13[[#This Row],[template]]="","","0x"&amp;Table13[[#This Row],[IP_Index]]&amp;DEC2HEX(Table13[[#This Row],[Addr_Dec]]*4,7))</f>
        <v>0x1000C530</v>
      </c>
      <c r="F211" s="9" t="str">
        <f>IF(Table13[[#This Row],[template]]="","",VLOOKUP(Table13[[#This Row],[template]],Table2915[],2,FALSE))</f>
        <v>asynParamInt32</v>
      </c>
      <c r="G211" s="18" t="str">
        <f>IF(Table13[[#This Row],[template]]="","","1")</f>
        <v>1</v>
      </c>
      <c r="H211" s="10" t="s">
        <v>454</v>
      </c>
      <c r="I211" s="13" t="str">
        <f>IF(Table13[[#This Row],[template]]="","","0x"&amp;Table13[[#This Row],[D_Index]]&amp;"000")</f>
        <v>0x01000000</v>
      </c>
      <c r="J211" s="18"/>
      <c r="K211" s="10">
        <v>0</v>
      </c>
      <c r="L211" s="10"/>
      <c r="M211" s="11" t="str">
        <f>IF(Table13[[#This Row],[template]]="","",VLOOKUP(Table13[[#This Row],[template]],Table2915[],3,FALSE))</f>
        <v xml:space="preserve"> </v>
      </c>
      <c r="N211" s="10"/>
      <c r="O211" s="11"/>
      <c r="P211" s="9" t="str">
        <f>IF(Table13[[#This Row],[template]]="","",Table13[[#This Row],[IP]]&amp;"_"&amp;Table13[[#This Row],[PARAM_NAME]]&amp;IF(Table13[[#This Row],[SUB]]="","","_"&amp;Table13[[#This Row],[SUB]]))</f>
        <v>ev_pdpCntr_12</v>
      </c>
      <c r="Q211" s="1" t="s">
        <v>262</v>
      </c>
      <c r="R211" s="1" t="s">
        <v>482</v>
      </c>
      <c r="S211" s="6" t="s">
        <v>275</v>
      </c>
      <c r="T211" s="20" t="str">
        <f>DEC2HEX(HEX2DEC(Table13[[#This Row],[Index]])/4+Table13[[#This Row],[SUB]],4)</f>
        <v>314C</v>
      </c>
      <c r="U211" s="6" t="s">
        <v>363</v>
      </c>
      <c r="V211" s="1" t="s">
        <v>254</v>
      </c>
      <c r="W211" s="16">
        <v>0</v>
      </c>
      <c r="X211" s="6" t="s">
        <v>363</v>
      </c>
      <c r="AA211" s="11">
        <f>IF(Table13[[#This Row],[template]]="","",VLOOKUP(Table13[[#This Row],[IP]],Table51117[],2,FALSE))</f>
        <v>1</v>
      </c>
      <c r="AB211" s="13" t="str">
        <f>IF(Table13[[#This Row],[template]]="","",DEC2HEX(VLOOKUP(Table13[[#This Row],[D1-Type]],Table351218[],2,FALSE),1)&amp;DEC2HEX(VLOOKUP(Table13[[#This Row],[D2-Type]],Table31016[],2,FALSE),1)&amp; DEC2HEX(Table13[[#This Row],[D2-Offset]],2)&amp;DEC2HEX(VLOOKUP(Table13[[#This Row],[D3-Type]],Table371319[],2,FALSE),1))</f>
        <v>01000</v>
      </c>
      <c r="AC211" s="14">
        <f>IF(Table13[[#This Row],[template]]="","",HEX2DEC(Table13[[#This Row],[Addr_Hex]]))</f>
        <v>12620</v>
      </c>
    </row>
    <row r="212" spans="2:29" x14ac:dyDescent="0.3">
      <c r="B212" s="13" t="s">
        <v>502</v>
      </c>
      <c r="C212" s="4" t="s">
        <v>456</v>
      </c>
      <c r="D212" s="9" t="str">
        <f>UPPER(Table13[[#This Row],[SIGNAL]])</f>
        <v>EV_PDPCNTR_13</v>
      </c>
      <c r="E212" s="9" t="str">
        <f>IF(Table13[[#This Row],[template]]="","","0x"&amp;Table13[[#This Row],[IP_Index]]&amp;DEC2HEX(Table13[[#This Row],[Addr_Dec]]*4,7))</f>
        <v>0x1000C534</v>
      </c>
      <c r="F212" s="9" t="str">
        <f>IF(Table13[[#This Row],[template]]="","",VLOOKUP(Table13[[#This Row],[template]],Table2915[],2,FALSE))</f>
        <v>asynParamInt32</v>
      </c>
      <c r="G212" s="18" t="str">
        <f>IF(Table13[[#This Row],[template]]="","","1")</f>
        <v>1</v>
      </c>
      <c r="H212" s="10" t="s">
        <v>454</v>
      </c>
      <c r="I212" s="13" t="str">
        <f>IF(Table13[[#This Row],[template]]="","","0x"&amp;Table13[[#This Row],[D_Index]]&amp;"000")</f>
        <v>0x01000000</v>
      </c>
      <c r="J212" s="18"/>
      <c r="K212" s="10">
        <v>0</v>
      </c>
      <c r="L212" s="10"/>
      <c r="M212" s="11" t="str">
        <f>IF(Table13[[#This Row],[template]]="","",VLOOKUP(Table13[[#This Row],[template]],Table2915[],3,FALSE))</f>
        <v xml:space="preserve"> </v>
      </c>
      <c r="N212" s="10"/>
      <c r="O212" s="11"/>
      <c r="P212" s="9" t="str">
        <f>IF(Table13[[#This Row],[template]]="","",Table13[[#This Row],[IP]]&amp;"_"&amp;Table13[[#This Row],[PARAM_NAME]]&amp;IF(Table13[[#This Row],[SUB]]="","","_"&amp;Table13[[#This Row],[SUB]]))</f>
        <v>ev_pdpCntr_13</v>
      </c>
      <c r="Q212" s="1" t="s">
        <v>262</v>
      </c>
      <c r="R212" s="1" t="s">
        <v>482</v>
      </c>
      <c r="S212" s="6" t="s">
        <v>276</v>
      </c>
      <c r="T212" s="20" t="str">
        <f>DEC2HEX(HEX2DEC(Table13[[#This Row],[Index]])/4+Table13[[#This Row],[SUB]],4)</f>
        <v>314D</v>
      </c>
      <c r="U212" s="6" t="s">
        <v>363</v>
      </c>
      <c r="V212" s="1" t="s">
        <v>254</v>
      </c>
      <c r="W212" s="16">
        <v>0</v>
      </c>
      <c r="X212" s="6" t="s">
        <v>363</v>
      </c>
      <c r="AA212" s="11">
        <f>IF(Table13[[#This Row],[template]]="","",VLOOKUP(Table13[[#This Row],[IP]],Table51117[],2,FALSE))</f>
        <v>1</v>
      </c>
      <c r="AB212" s="13" t="str">
        <f>IF(Table13[[#This Row],[template]]="","",DEC2HEX(VLOOKUP(Table13[[#This Row],[D1-Type]],Table351218[],2,FALSE),1)&amp;DEC2HEX(VLOOKUP(Table13[[#This Row],[D2-Type]],Table31016[],2,FALSE),1)&amp; DEC2HEX(Table13[[#This Row],[D2-Offset]],2)&amp;DEC2HEX(VLOOKUP(Table13[[#This Row],[D3-Type]],Table371319[],2,FALSE),1))</f>
        <v>01000</v>
      </c>
      <c r="AC212" s="14">
        <f>IF(Table13[[#This Row],[template]]="","",HEX2DEC(Table13[[#This Row],[Addr_Hex]]))</f>
        <v>12621</v>
      </c>
    </row>
    <row r="213" spans="2:29" x14ac:dyDescent="0.3">
      <c r="B213" s="13" t="s">
        <v>502</v>
      </c>
      <c r="C213" s="4" t="s">
        <v>456</v>
      </c>
      <c r="D213" s="9" t="str">
        <f>UPPER(Table13[[#This Row],[SIGNAL]])</f>
        <v>EV_PDPCNTR_14</v>
      </c>
      <c r="E213" s="9" t="str">
        <f>IF(Table13[[#This Row],[template]]="","","0x"&amp;Table13[[#This Row],[IP_Index]]&amp;DEC2HEX(Table13[[#This Row],[Addr_Dec]]*4,7))</f>
        <v>0x1000C538</v>
      </c>
      <c r="F213" s="9" t="str">
        <f>IF(Table13[[#This Row],[template]]="","",VLOOKUP(Table13[[#This Row],[template]],Table2915[],2,FALSE))</f>
        <v>asynParamInt32</v>
      </c>
      <c r="G213" s="18" t="str">
        <f>IF(Table13[[#This Row],[template]]="","","1")</f>
        <v>1</v>
      </c>
      <c r="H213" s="10" t="s">
        <v>454</v>
      </c>
      <c r="I213" s="13" t="str">
        <f>IF(Table13[[#This Row],[template]]="","","0x"&amp;Table13[[#This Row],[D_Index]]&amp;"000")</f>
        <v>0x01000000</v>
      </c>
      <c r="J213" s="18"/>
      <c r="K213" s="10">
        <v>0</v>
      </c>
      <c r="L213" s="10"/>
      <c r="M213" s="11" t="str">
        <f>IF(Table13[[#This Row],[template]]="","",VLOOKUP(Table13[[#This Row],[template]],Table2915[],3,FALSE))</f>
        <v xml:space="preserve"> </v>
      </c>
      <c r="N213" s="10"/>
      <c r="O213" s="11"/>
      <c r="P213" s="9" t="str">
        <f>IF(Table13[[#This Row],[template]]="","",Table13[[#This Row],[IP]]&amp;"_"&amp;Table13[[#This Row],[PARAM_NAME]]&amp;IF(Table13[[#This Row],[SUB]]="","","_"&amp;Table13[[#This Row],[SUB]]))</f>
        <v>ev_pdpCntr_14</v>
      </c>
      <c r="Q213" s="1" t="s">
        <v>262</v>
      </c>
      <c r="R213" s="1" t="s">
        <v>482</v>
      </c>
      <c r="S213" s="6" t="s">
        <v>277</v>
      </c>
      <c r="T213" s="20" t="str">
        <f>DEC2HEX(HEX2DEC(Table13[[#This Row],[Index]])/4+Table13[[#This Row],[SUB]],4)</f>
        <v>314E</v>
      </c>
      <c r="U213" s="6" t="s">
        <v>363</v>
      </c>
      <c r="V213" s="1" t="s">
        <v>254</v>
      </c>
      <c r="W213" s="16">
        <v>0</v>
      </c>
      <c r="X213" s="6" t="s">
        <v>363</v>
      </c>
      <c r="AA213" s="11">
        <f>IF(Table13[[#This Row],[template]]="","",VLOOKUP(Table13[[#This Row],[IP]],Table51117[],2,FALSE))</f>
        <v>1</v>
      </c>
      <c r="AB213" s="13" t="str">
        <f>IF(Table13[[#This Row],[template]]="","",DEC2HEX(VLOOKUP(Table13[[#This Row],[D1-Type]],Table351218[],2,FALSE),1)&amp;DEC2HEX(VLOOKUP(Table13[[#This Row],[D2-Type]],Table31016[],2,FALSE),1)&amp; DEC2HEX(Table13[[#This Row],[D2-Offset]],2)&amp;DEC2HEX(VLOOKUP(Table13[[#This Row],[D3-Type]],Table371319[],2,FALSE),1))</f>
        <v>01000</v>
      </c>
      <c r="AC213" s="14">
        <f>IF(Table13[[#This Row],[template]]="","",HEX2DEC(Table13[[#This Row],[Addr_Hex]]))</f>
        <v>12622</v>
      </c>
    </row>
    <row r="214" spans="2:29" x14ac:dyDescent="0.3">
      <c r="B214" s="13" t="s">
        <v>502</v>
      </c>
      <c r="C214" s="4" t="s">
        <v>456</v>
      </c>
      <c r="D214" s="9" t="str">
        <f>UPPER(Table13[[#This Row],[SIGNAL]])</f>
        <v>EV_PDPCNTR_15</v>
      </c>
      <c r="E214" s="9" t="str">
        <f>IF(Table13[[#This Row],[template]]="","","0x"&amp;Table13[[#This Row],[IP_Index]]&amp;DEC2HEX(Table13[[#This Row],[Addr_Dec]]*4,7))</f>
        <v>0x1000C53C</v>
      </c>
      <c r="F214" s="9" t="str">
        <f>IF(Table13[[#This Row],[template]]="","",VLOOKUP(Table13[[#This Row],[template]],Table2915[],2,FALSE))</f>
        <v>asynParamInt32</v>
      </c>
      <c r="G214" s="18" t="str">
        <f>IF(Table13[[#This Row],[template]]="","","1")</f>
        <v>1</v>
      </c>
      <c r="H214" s="10" t="s">
        <v>454</v>
      </c>
      <c r="I214" s="13" t="str">
        <f>IF(Table13[[#This Row],[template]]="","","0x"&amp;Table13[[#This Row],[D_Index]]&amp;"000")</f>
        <v>0x01000000</v>
      </c>
      <c r="J214" s="18"/>
      <c r="K214" s="10">
        <v>0</v>
      </c>
      <c r="L214" s="10"/>
      <c r="M214" s="11" t="str">
        <f>IF(Table13[[#This Row],[template]]="","",VLOOKUP(Table13[[#This Row],[template]],Table2915[],3,FALSE))</f>
        <v xml:space="preserve"> </v>
      </c>
      <c r="N214" s="10"/>
      <c r="O214" s="11"/>
      <c r="P214" s="9" t="str">
        <f>IF(Table13[[#This Row],[template]]="","",Table13[[#This Row],[IP]]&amp;"_"&amp;Table13[[#This Row],[PARAM_NAME]]&amp;IF(Table13[[#This Row],[SUB]]="","","_"&amp;Table13[[#This Row],[SUB]]))</f>
        <v>ev_pdpCntr_15</v>
      </c>
      <c r="Q214" s="1" t="s">
        <v>262</v>
      </c>
      <c r="R214" s="1" t="s">
        <v>482</v>
      </c>
      <c r="S214" s="6" t="s">
        <v>278</v>
      </c>
      <c r="T214" s="20" t="str">
        <f>DEC2HEX(HEX2DEC(Table13[[#This Row],[Index]])/4+Table13[[#This Row],[SUB]],4)</f>
        <v>314F</v>
      </c>
      <c r="U214" s="6" t="s">
        <v>363</v>
      </c>
      <c r="V214" s="1" t="s">
        <v>254</v>
      </c>
      <c r="W214" s="16">
        <v>0</v>
      </c>
      <c r="X214" s="6" t="s">
        <v>363</v>
      </c>
      <c r="AA214" s="11">
        <f>IF(Table13[[#This Row],[template]]="","",VLOOKUP(Table13[[#This Row],[IP]],Table51117[],2,FALSE))</f>
        <v>1</v>
      </c>
      <c r="AB214" s="13" t="str">
        <f>IF(Table13[[#This Row],[template]]="","",DEC2HEX(VLOOKUP(Table13[[#This Row],[D1-Type]],Table351218[],2,FALSE),1)&amp;DEC2HEX(VLOOKUP(Table13[[#This Row],[D2-Type]],Table31016[],2,FALSE),1)&amp; DEC2HEX(Table13[[#This Row],[D2-Offset]],2)&amp;DEC2HEX(VLOOKUP(Table13[[#This Row],[D3-Type]],Table371319[],2,FALSE),1))</f>
        <v>01000</v>
      </c>
      <c r="AC214" s="14">
        <f>IF(Table13[[#This Row],[template]]="","",HEX2DEC(Table13[[#This Row],[Addr_Hex]]))</f>
        <v>12623</v>
      </c>
    </row>
    <row r="215" spans="2:29" x14ac:dyDescent="0.3">
      <c r="B215" s="13" t="s">
        <v>502</v>
      </c>
      <c r="C215" s="4" t="s">
        <v>456</v>
      </c>
      <c r="D215" s="9" t="str">
        <f>UPPER(Table13[[#This Row],[SIGNAL]])</f>
        <v>EV_PDPCNTR_16</v>
      </c>
      <c r="E215" s="9" t="str">
        <f>IF(Table13[[#This Row],[template]]="","","0x"&amp;Table13[[#This Row],[IP_Index]]&amp;DEC2HEX(Table13[[#This Row],[Addr_Dec]]*4,7))</f>
        <v>0x1000C540</v>
      </c>
      <c r="F215" s="9" t="str">
        <f>IF(Table13[[#This Row],[template]]="","",VLOOKUP(Table13[[#This Row],[template]],Table2915[],2,FALSE))</f>
        <v>asynParamInt32</v>
      </c>
      <c r="G215" s="18" t="str">
        <f>IF(Table13[[#This Row],[template]]="","","1")</f>
        <v>1</v>
      </c>
      <c r="H215" s="10" t="s">
        <v>454</v>
      </c>
      <c r="I215" s="13" t="str">
        <f>IF(Table13[[#This Row],[template]]="","","0x"&amp;Table13[[#This Row],[D_Index]]&amp;"000")</f>
        <v>0x01000000</v>
      </c>
      <c r="J215" s="18"/>
      <c r="K215" s="10">
        <v>0</v>
      </c>
      <c r="L215" s="10"/>
      <c r="M215" s="11" t="str">
        <f>IF(Table13[[#This Row],[template]]="","",VLOOKUP(Table13[[#This Row],[template]],Table2915[],3,FALSE))</f>
        <v xml:space="preserve"> </v>
      </c>
      <c r="N215" s="10"/>
      <c r="O215" s="11"/>
      <c r="P215" s="9" t="str">
        <f>IF(Table13[[#This Row],[template]]="","",Table13[[#This Row],[IP]]&amp;"_"&amp;Table13[[#This Row],[PARAM_NAME]]&amp;IF(Table13[[#This Row],[SUB]]="","","_"&amp;Table13[[#This Row],[SUB]]))</f>
        <v>ev_pdpCntr_16</v>
      </c>
      <c r="Q215" s="1" t="s">
        <v>262</v>
      </c>
      <c r="R215" s="1" t="s">
        <v>482</v>
      </c>
      <c r="S215" s="6" t="s">
        <v>279</v>
      </c>
      <c r="T215" s="20" t="str">
        <f>DEC2HEX(HEX2DEC(Table13[[#This Row],[Index]])/4+Table13[[#This Row],[SUB]],4)</f>
        <v>3150</v>
      </c>
      <c r="U215" s="6" t="s">
        <v>363</v>
      </c>
      <c r="V215" s="1" t="s">
        <v>254</v>
      </c>
      <c r="W215" s="16">
        <v>0</v>
      </c>
      <c r="X215" s="6" t="s">
        <v>363</v>
      </c>
      <c r="AA215" s="11">
        <f>IF(Table13[[#This Row],[template]]="","",VLOOKUP(Table13[[#This Row],[IP]],Table51117[],2,FALSE))</f>
        <v>1</v>
      </c>
      <c r="AB215" s="13" t="str">
        <f>IF(Table13[[#This Row],[template]]="","",DEC2HEX(VLOOKUP(Table13[[#This Row],[D1-Type]],Table351218[],2,FALSE),1)&amp;DEC2HEX(VLOOKUP(Table13[[#This Row],[D2-Type]],Table31016[],2,FALSE),1)&amp; DEC2HEX(Table13[[#This Row],[D2-Offset]],2)&amp;DEC2HEX(VLOOKUP(Table13[[#This Row],[D3-Type]],Table371319[],2,FALSE),1))</f>
        <v>01000</v>
      </c>
      <c r="AC215" s="14">
        <f>IF(Table13[[#This Row],[template]]="","",HEX2DEC(Table13[[#This Row],[Addr_Hex]]))</f>
        <v>12624</v>
      </c>
    </row>
    <row r="216" spans="2:29" x14ac:dyDescent="0.3">
      <c r="B216" s="13" t="s">
        <v>502</v>
      </c>
      <c r="C216" s="4" t="s">
        <v>456</v>
      </c>
      <c r="D216" s="9" t="str">
        <f>UPPER(Table13[[#This Row],[SIGNAL]])</f>
        <v>EV_PDPCNTR_17</v>
      </c>
      <c r="E216" s="9" t="str">
        <f>IF(Table13[[#This Row],[template]]="","","0x"&amp;Table13[[#This Row],[IP_Index]]&amp;DEC2HEX(Table13[[#This Row],[Addr_Dec]]*4,7))</f>
        <v>0x1000C544</v>
      </c>
      <c r="F216" s="9" t="str">
        <f>IF(Table13[[#This Row],[template]]="","",VLOOKUP(Table13[[#This Row],[template]],Table2915[],2,FALSE))</f>
        <v>asynParamInt32</v>
      </c>
      <c r="G216" s="18" t="str">
        <f>IF(Table13[[#This Row],[template]]="","","1")</f>
        <v>1</v>
      </c>
      <c r="H216" s="10" t="s">
        <v>454</v>
      </c>
      <c r="I216" s="13" t="str">
        <f>IF(Table13[[#This Row],[template]]="","","0x"&amp;Table13[[#This Row],[D_Index]]&amp;"000")</f>
        <v>0x01000000</v>
      </c>
      <c r="J216" s="18"/>
      <c r="K216" s="10">
        <v>0</v>
      </c>
      <c r="L216" s="10"/>
      <c r="M216" s="11" t="str">
        <f>IF(Table13[[#This Row],[template]]="","",VLOOKUP(Table13[[#This Row],[template]],Table2915[],3,FALSE))</f>
        <v xml:space="preserve"> </v>
      </c>
      <c r="N216" s="10"/>
      <c r="O216" s="11"/>
      <c r="P216" s="9" t="str">
        <f>IF(Table13[[#This Row],[template]]="","",Table13[[#This Row],[IP]]&amp;"_"&amp;Table13[[#This Row],[PARAM_NAME]]&amp;IF(Table13[[#This Row],[SUB]]="","","_"&amp;Table13[[#This Row],[SUB]]))</f>
        <v>ev_pdpCntr_17</v>
      </c>
      <c r="Q216" s="1" t="s">
        <v>262</v>
      </c>
      <c r="R216" s="1" t="s">
        <v>482</v>
      </c>
      <c r="S216" s="6" t="s">
        <v>280</v>
      </c>
      <c r="T216" s="20" t="str">
        <f>DEC2HEX(HEX2DEC(Table13[[#This Row],[Index]])/4+Table13[[#This Row],[SUB]],4)</f>
        <v>3151</v>
      </c>
      <c r="U216" s="6" t="s">
        <v>363</v>
      </c>
      <c r="V216" s="1" t="s">
        <v>254</v>
      </c>
      <c r="W216" s="16">
        <v>0</v>
      </c>
      <c r="X216" s="6" t="s">
        <v>363</v>
      </c>
      <c r="AA216" s="11">
        <f>IF(Table13[[#This Row],[template]]="","",VLOOKUP(Table13[[#This Row],[IP]],Table51117[],2,FALSE))</f>
        <v>1</v>
      </c>
      <c r="AB216" s="13" t="str">
        <f>IF(Table13[[#This Row],[template]]="","",DEC2HEX(VLOOKUP(Table13[[#This Row],[D1-Type]],Table351218[],2,FALSE),1)&amp;DEC2HEX(VLOOKUP(Table13[[#This Row],[D2-Type]],Table31016[],2,FALSE),1)&amp; DEC2HEX(Table13[[#This Row],[D2-Offset]],2)&amp;DEC2HEX(VLOOKUP(Table13[[#This Row],[D3-Type]],Table371319[],2,FALSE),1))</f>
        <v>01000</v>
      </c>
      <c r="AC216" s="14">
        <f>IF(Table13[[#This Row],[template]]="","",HEX2DEC(Table13[[#This Row],[Addr_Hex]]))</f>
        <v>12625</v>
      </c>
    </row>
    <row r="217" spans="2:29" x14ac:dyDescent="0.3">
      <c r="B217" s="13" t="s">
        <v>502</v>
      </c>
      <c r="C217" s="4" t="s">
        <v>456</v>
      </c>
      <c r="D217" s="9" t="str">
        <f>UPPER(Table13[[#This Row],[SIGNAL]])</f>
        <v>EV_PDPCNTR_18</v>
      </c>
      <c r="E217" s="9" t="str">
        <f>IF(Table13[[#This Row],[template]]="","","0x"&amp;Table13[[#This Row],[IP_Index]]&amp;DEC2HEX(Table13[[#This Row],[Addr_Dec]]*4,7))</f>
        <v>0x1000C548</v>
      </c>
      <c r="F217" s="9" t="str">
        <f>IF(Table13[[#This Row],[template]]="","",VLOOKUP(Table13[[#This Row],[template]],Table2915[],2,FALSE))</f>
        <v>asynParamInt32</v>
      </c>
      <c r="G217" s="18" t="str">
        <f>IF(Table13[[#This Row],[template]]="","","1")</f>
        <v>1</v>
      </c>
      <c r="H217" s="10" t="s">
        <v>454</v>
      </c>
      <c r="I217" s="13" t="str">
        <f>IF(Table13[[#This Row],[template]]="","","0x"&amp;Table13[[#This Row],[D_Index]]&amp;"000")</f>
        <v>0x01000000</v>
      </c>
      <c r="J217" s="18"/>
      <c r="K217" s="10">
        <v>0</v>
      </c>
      <c r="L217" s="10"/>
      <c r="M217" s="11" t="str">
        <f>IF(Table13[[#This Row],[template]]="","",VLOOKUP(Table13[[#This Row],[template]],Table2915[],3,FALSE))</f>
        <v xml:space="preserve"> </v>
      </c>
      <c r="N217" s="10"/>
      <c r="O217" s="11"/>
      <c r="P217" s="9" t="str">
        <f>IF(Table13[[#This Row],[template]]="","",Table13[[#This Row],[IP]]&amp;"_"&amp;Table13[[#This Row],[PARAM_NAME]]&amp;IF(Table13[[#This Row],[SUB]]="","","_"&amp;Table13[[#This Row],[SUB]]))</f>
        <v>ev_pdpCntr_18</v>
      </c>
      <c r="Q217" s="1" t="s">
        <v>262</v>
      </c>
      <c r="R217" s="1" t="s">
        <v>482</v>
      </c>
      <c r="S217" s="6" t="s">
        <v>281</v>
      </c>
      <c r="T217" s="20" t="str">
        <f>DEC2HEX(HEX2DEC(Table13[[#This Row],[Index]])/4+Table13[[#This Row],[SUB]],4)</f>
        <v>3152</v>
      </c>
      <c r="U217" s="6" t="s">
        <v>363</v>
      </c>
      <c r="V217" s="1" t="s">
        <v>254</v>
      </c>
      <c r="W217" s="16">
        <v>0</v>
      </c>
      <c r="X217" s="6" t="s">
        <v>363</v>
      </c>
      <c r="AA217" s="11">
        <f>IF(Table13[[#This Row],[template]]="","",VLOOKUP(Table13[[#This Row],[IP]],Table51117[],2,FALSE))</f>
        <v>1</v>
      </c>
      <c r="AB217" s="13" t="str">
        <f>IF(Table13[[#This Row],[template]]="","",DEC2HEX(VLOOKUP(Table13[[#This Row],[D1-Type]],Table351218[],2,FALSE),1)&amp;DEC2HEX(VLOOKUP(Table13[[#This Row],[D2-Type]],Table31016[],2,FALSE),1)&amp; DEC2HEX(Table13[[#This Row],[D2-Offset]],2)&amp;DEC2HEX(VLOOKUP(Table13[[#This Row],[D3-Type]],Table371319[],2,FALSE),1))</f>
        <v>01000</v>
      </c>
      <c r="AC217" s="14">
        <f>IF(Table13[[#This Row],[template]]="","",HEX2DEC(Table13[[#This Row],[Addr_Hex]]))</f>
        <v>12626</v>
      </c>
    </row>
    <row r="218" spans="2:29" x14ac:dyDescent="0.3">
      <c r="B218" s="13" t="s">
        <v>502</v>
      </c>
      <c r="C218" s="4" t="s">
        <v>456</v>
      </c>
      <c r="D218" s="9" t="str">
        <f>UPPER(Table13[[#This Row],[SIGNAL]])</f>
        <v>EV_PDPCNTR_19</v>
      </c>
      <c r="E218" s="9" t="str">
        <f>IF(Table13[[#This Row],[template]]="","","0x"&amp;Table13[[#This Row],[IP_Index]]&amp;DEC2HEX(Table13[[#This Row],[Addr_Dec]]*4,7))</f>
        <v>0x1000C54C</v>
      </c>
      <c r="F218" s="9" t="str">
        <f>IF(Table13[[#This Row],[template]]="","",VLOOKUP(Table13[[#This Row],[template]],Table2915[],2,FALSE))</f>
        <v>asynParamInt32</v>
      </c>
      <c r="G218" s="18" t="str">
        <f>IF(Table13[[#This Row],[template]]="","","1")</f>
        <v>1</v>
      </c>
      <c r="H218" s="10" t="s">
        <v>454</v>
      </c>
      <c r="I218" s="13" t="str">
        <f>IF(Table13[[#This Row],[template]]="","","0x"&amp;Table13[[#This Row],[D_Index]]&amp;"000")</f>
        <v>0x01000000</v>
      </c>
      <c r="J218" s="18"/>
      <c r="K218" s="10">
        <v>0</v>
      </c>
      <c r="L218" s="10"/>
      <c r="M218" s="11" t="str">
        <f>IF(Table13[[#This Row],[template]]="","",VLOOKUP(Table13[[#This Row],[template]],Table2915[],3,FALSE))</f>
        <v xml:space="preserve"> </v>
      </c>
      <c r="N218" s="10"/>
      <c r="O218" s="11"/>
      <c r="P218" s="9" t="str">
        <f>IF(Table13[[#This Row],[template]]="","",Table13[[#This Row],[IP]]&amp;"_"&amp;Table13[[#This Row],[PARAM_NAME]]&amp;IF(Table13[[#This Row],[SUB]]="","","_"&amp;Table13[[#This Row],[SUB]]))</f>
        <v>ev_pdpCntr_19</v>
      </c>
      <c r="Q218" s="1" t="s">
        <v>262</v>
      </c>
      <c r="R218" s="1" t="s">
        <v>482</v>
      </c>
      <c r="S218" s="6" t="s">
        <v>282</v>
      </c>
      <c r="T218" s="20" t="str">
        <f>DEC2HEX(HEX2DEC(Table13[[#This Row],[Index]])/4+Table13[[#This Row],[SUB]],4)</f>
        <v>3153</v>
      </c>
      <c r="U218" s="6" t="s">
        <v>363</v>
      </c>
      <c r="V218" s="1" t="s">
        <v>254</v>
      </c>
      <c r="W218" s="16">
        <v>0</v>
      </c>
      <c r="X218" s="6" t="s">
        <v>363</v>
      </c>
      <c r="AA218" s="11">
        <f>IF(Table13[[#This Row],[template]]="","",VLOOKUP(Table13[[#This Row],[IP]],Table51117[],2,FALSE))</f>
        <v>1</v>
      </c>
      <c r="AB218" s="13" t="str">
        <f>IF(Table13[[#This Row],[template]]="","",DEC2HEX(VLOOKUP(Table13[[#This Row],[D1-Type]],Table351218[],2,FALSE),1)&amp;DEC2HEX(VLOOKUP(Table13[[#This Row],[D2-Type]],Table31016[],2,FALSE),1)&amp; DEC2HEX(Table13[[#This Row],[D2-Offset]],2)&amp;DEC2HEX(VLOOKUP(Table13[[#This Row],[D3-Type]],Table371319[],2,FALSE),1))</f>
        <v>01000</v>
      </c>
      <c r="AC218" s="14">
        <f>IF(Table13[[#This Row],[template]]="","",HEX2DEC(Table13[[#This Row],[Addr_Hex]]))</f>
        <v>12627</v>
      </c>
    </row>
    <row r="219" spans="2:29" x14ac:dyDescent="0.3">
      <c r="B219" s="13" t="s">
        <v>502</v>
      </c>
      <c r="C219" s="4" t="s">
        <v>456</v>
      </c>
      <c r="D219" s="9" t="str">
        <f>UPPER(Table13[[#This Row],[SIGNAL]])</f>
        <v>EV_PDPCNTR_20</v>
      </c>
      <c r="E219" s="9" t="str">
        <f>IF(Table13[[#This Row],[template]]="","","0x"&amp;Table13[[#This Row],[IP_Index]]&amp;DEC2HEX(Table13[[#This Row],[Addr_Dec]]*4,7))</f>
        <v>0x1000C550</v>
      </c>
      <c r="F219" s="9" t="str">
        <f>IF(Table13[[#This Row],[template]]="","",VLOOKUP(Table13[[#This Row],[template]],Table2915[],2,FALSE))</f>
        <v>asynParamInt32</v>
      </c>
      <c r="G219" s="18" t="str">
        <f>IF(Table13[[#This Row],[template]]="","","1")</f>
        <v>1</v>
      </c>
      <c r="H219" s="10" t="s">
        <v>454</v>
      </c>
      <c r="I219" s="13" t="str">
        <f>IF(Table13[[#This Row],[template]]="","","0x"&amp;Table13[[#This Row],[D_Index]]&amp;"000")</f>
        <v>0x01000000</v>
      </c>
      <c r="J219" s="18"/>
      <c r="K219" s="10">
        <v>0</v>
      </c>
      <c r="L219" s="10"/>
      <c r="M219" s="11" t="str">
        <f>IF(Table13[[#This Row],[template]]="","",VLOOKUP(Table13[[#This Row],[template]],Table2915[],3,FALSE))</f>
        <v xml:space="preserve"> </v>
      </c>
      <c r="N219" s="10"/>
      <c r="O219" s="11"/>
      <c r="P219" s="9" t="str">
        <f>IF(Table13[[#This Row],[template]]="","",Table13[[#This Row],[IP]]&amp;"_"&amp;Table13[[#This Row],[PARAM_NAME]]&amp;IF(Table13[[#This Row],[SUB]]="","","_"&amp;Table13[[#This Row],[SUB]]))</f>
        <v>ev_pdpCntr_20</v>
      </c>
      <c r="Q219" s="1" t="s">
        <v>262</v>
      </c>
      <c r="R219" s="1" t="s">
        <v>482</v>
      </c>
      <c r="S219" s="6" t="s">
        <v>283</v>
      </c>
      <c r="T219" s="20" t="str">
        <f>DEC2HEX(HEX2DEC(Table13[[#This Row],[Index]])/4+Table13[[#This Row],[SUB]],4)</f>
        <v>3154</v>
      </c>
      <c r="U219" s="6" t="s">
        <v>363</v>
      </c>
      <c r="V219" s="1" t="s">
        <v>254</v>
      </c>
      <c r="W219" s="16">
        <v>0</v>
      </c>
      <c r="X219" s="6" t="s">
        <v>363</v>
      </c>
      <c r="AA219" s="11">
        <f>IF(Table13[[#This Row],[template]]="","",VLOOKUP(Table13[[#This Row],[IP]],Table51117[],2,FALSE))</f>
        <v>1</v>
      </c>
      <c r="AB219" s="13" t="str">
        <f>IF(Table13[[#This Row],[template]]="","",DEC2HEX(VLOOKUP(Table13[[#This Row],[D1-Type]],Table351218[],2,FALSE),1)&amp;DEC2HEX(VLOOKUP(Table13[[#This Row],[D2-Type]],Table31016[],2,FALSE),1)&amp; DEC2HEX(Table13[[#This Row],[D2-Offset]],2)&amp;DEC2HEX(VLOOKUP(Table13[[#This Row],[D3-Type]],Table371319[],2,FALSE),1))</f>
        <v>01000</v>
      </c>
      <c r="AC219" s="14">
        <f>IF(Table13[[#This Row],[template]]="","",HEX2DEC(Table13[[#This Row],[Addr_Hex]]))</f>
        <v>12628</v>
      </c>
    </row>
    <row r="220" spans="2:29" x14ac:dyDescent="0.3">
      <c r="B220" s="13" t="s">
        <v>502</v>
      </c>
      <c r="C220" s="4" t="s">
        <v>456</v>
      </c>
      <c r="D220" s="9" t="str">
        <f>UPPER(Table13[[#This Row],[SIGNAL]])</f>
        <v>EV_PDPCNTR_21</v>
      </c>
      <c r="E220" s="9" t="str">
        <f>IF(Table13[[#This Row],[template]]="","","0x"&amp;Table13[[#This Row],[IP_Index]]&amp;DEC2HEX(Table13[[#This Row],[Addr_Dec]]*4,7))</f>
        <v>0x1000C554</v>
      </c>
      <c r="F220" s="9" t="str">
        <f>IF(Table13[[#This Row],[template]]="","",VLOOKUP(Table13[[#This Row],[template]],Table2915[],2,FALSE))</f>
        <v>asynParamInt32</v>
      </c>
      <c r="G220" s="18" t="str">
        <f>IF(Table13[[#This Row],[template]]="","","1")</f>
        <v>1</v>
      </c>
      <c r="H220" s="10" t="s">
        <v>454</v>
      </c>
      <c r="I220" s="13" t="str">
        <f>IF(Table13[[#This Row],[template]]="","","0x"&amp;Table13[[#This Row],[D_Index]]&amp;"000")</f>
        <v>0x01000000</v>
      </c>
      <c r="J220" s="18"/>
      <c r="K220" s="10">
        <v>0</v>
      </c>
      <c r="L220" s="10"/>
      <c r="M220" s="11" t="str">
        <f>IF(Table13[[#This Row],[template]]="","",VLOOKUP(Table13[[#This Row],[template]],Table2915[],3,FALSE))</f>
        <v xml:space="preserve"> </v>
      </c>
      <c r="N220" s="10"/>
      <c r="O220" s="11"/>
      <c r="P220" s="9" t="str">
        <f>IF(Table13[[#This Row],[template]]="","",Table13[[#This Row],[IP]]&amp;"_"&amp;Table13[[#This Row],[PARAM_NAME]]&amp;IF(Table13[[#This Row],[SUB]]="","","_"&amp;Table13[[#This Row],[SUB]]))</f>
        <v>ev_pdpCntr_21</v>
      </c>
      <c r="Q220" s="1" t="s">
        <v>262</v>
      </c>
      <c r="R220" s="1" t="s">
        <v>482</v>
      </c>
      <c r="S220" s="6" t="s">
        <v>284</v>
      </c>
      <c r="T220" s="20" t="str">
        <f>DEC2HEX(HEX2DEC(Table13[[#This Row],[Index]])/4+Table13[[#This Row],[SUB]],4)</f>
        <v>3155</v>
      </c>
      <c r="U220" s="6" t="s">
        <v>363</v>
      </c>
      <c r="V220" s="1" t="s">
        <v>254</v>
      </c>
      <c r="W220" s="16">
        <v>0</v>
      </c>
      <c r="X220" s="6" t="s">
        <v>363</v>
      </c>
      <c r="AA220" s="11">
        <f>IF(Table13[[#This Row],[template]]="","",VLOOKUP(Table13[[#This Row],[IP]],Table51117[],2,FALSE))</f>
        <v>1</v>
      </c>
      <c r="AB220" s="13" t="str">
        <f>IF(Table13[[#This Row],[template]]="","",DEC2HEX(VLOOKUP(Table13[[#This Row],[D1-Type]],Table351218[],2,FALSE),1)&amp;DEC2HEX(VLOOKUP(Table13[[#This Row],[D2-Type]],Table31016[],2,FALSE),1)&amp; DEC2HEX(Table13[[#This Row],[D2-Offset]],2)&amp;DEC2HEX(VLOOKUP(Table13[[#This Row],[D3-Type]],Table371319[],2,FALSE),1))</f>
        <v>01000</v>
      </c>
      <c r="AC220" s="14">
        <f>IF(Table13[[#This Row],[template]]="","",HEX2DEC(Table13[[#This Row],[Addr_Hex]]))</f>
        <v>12629</v>
      </c>
    </row>
    <row r="221" spans="2:29" x14ac:dyDescent="0.3">
      <c r="B221" s="13" t="s">
        <v>502</v>
      </c>
      <c r="C221" s="4" t="s">
        <v>456</v>
      </c>
      <c r="D221" s="9" t="str">
        <f>UPPER(Table13[[#This Row],[SIGNAL]])</f>
        <v>EV_PDPCNTR_22</v>
      </c>
      <c r="E221" s="9" t="str">
        <f>IF(Table13[[#This Row],[template]]="","","0x"&amp;Table13[[#This Row],[IP_Index]]&amp;DEC2HEX(Table13[[#This Row],[Addr_Dec]]*4,7))</f>
        <v>0x1000C558</v>
      </c>
      <c r="F221" s="9" t="str">
        <f>IF(Table13[[#This Row],[template]]="","",VLOOKUP(Table13[[#This Row],[template]],Table2915[],2,FALSE))</f>
        <v>asynParamInt32</v>
      </c>
      <c r="G221" s="18" t="str">
        <f>IF(Table13[[#This Row],[template]]="","","1")</f>
        <v>1</v>
      </c>
      <c r="H221" s="10" t="s">
        <v>454</v>
      </c>
      <c r="I221" s="13" t="str">
        <f>IF(Table13[[#This Row],[template]]="","","0x"&amp;Table13[[#This Row],[D_Index]]&amp;"000")</f>
        <v>0x01000000</v>
      </c>
      <c r="J221" s="18"/>
      <c r="K221" s="10">
        <v>0</v>
      </c>
      <c r="L221" s="10"/>
      <c r="M221" s="11" t="str">
        <f>IF(Table13[[#This Row],[template]]="","",VLOOKUP(Table13[[#This Row],[template]],Table2915[],3,FALSE))</f>
        <v xml:space="preserve"> </v>
      </c>
      <c r="N221" s="10"/>
      <c r="O221" s="11"/>
      <c r="P221" s="9" t="str">
        <f>IF(Table13[[#This Row],[template]]="","",Table13[[#This Row],[IP]]&amp;"_"&amp;Table13[[#This Row],[PARAM_NAME]]&amp;IF(Table13[[#This Row],[SUB]]="","","_"&amp;Table13[[#This Row],[SUB]]))</f>
        <v>ev_pdpCntr_22</v>
      </c>
      <c r="Q221" s="1" t="s">
        <v>262</v>
      </c>
      <c r="R221" s="1" t="s">
        <v>482</v>
      </c>
      <c r="S221" s="6" t="s">
        <v>285</v>
      </c>
      <c r="T221" s="20" t="str">
        <f>DEC2HEX(HEX2DEC(Table13[[#This Row],[Index]])/4+Table13[[#This Row],[SUB]],4)</f>
        <v>3156</v>
      </c>
      <c r="U221" s="6" t="s">
        <v>363</v>
      </c>
      <c r="V221" s="1" t="s">
        <v>254</v>
      </c>
      <c r="W221" s="16">
        <v>0</v>
      </c>
      <c r="X221" s="6" t="s">
        <v>363</v>
      </c>
      <c r="AA221" s="11">
        <f>IF(Table13[[#This Row],[template]]="","",VLOOKUP(Table13[[#This Row],[IP]],Table51117[],2,FALSE))</f>
        <v>1</v>
      </c>
      <c r="AB221" s="13" t="str">
        <f>IF(Table13[[#This Row],[template]]="","",DEC2HEX(VLOOKUP(Table13[[#This Row],[D1-Type]],Table351218[],2,FALSE),1)&amp;DEC2HEX(VLOOKUP(Table13[[#This Row],[D2-Type]],Table31016[],2,FALSE),1)&amp; DEC2HEX(Table13[[#This Row],[D2-Offset]],2)&amp;DEC2HEX(VLOOKUP(Table13[[#This Row],[D3-Type]],Table371319[],2,FALSE),1))</f>
        <v>01000</v>
      </c>
      <c r="AC221" s="14">
        <f>IF(Table13[[#This Row],[template]]="","",HEX2DEC(Table13[[#This Row],[Addr_Hex]]))</f>
        <v>12630</v>
      </c>
    </row>
    <row r="222" spans="2:29" x14ac:dyDescent="0.3">
      <c r="B222" s="13" t="s">
        <v>502</v>
      </c>
      <c r="C222" s="4" t="s">
        <v>456</v>
      </c>
      <c r="D222" s="9" t="str">
        <f>UPPER(Table13[[#This Row],[SIGNAL]])</f>
        <v>EV_PDPCNTR_23</v>
      </c>
      <c r="E222" s="9" t="str">
        <f>IF(Table13[[#This Row],[template]]="","","0x"&amp;Table13[[#This Row],[IP_Index]]&amp;DEC2HEX(Table13[[#This Row],[Addr_Dec]]*4,7))</f>
        <v>0x1000C55C</v>
      </c>
      <c r="F222" s="9" t="str">
        <f>IF(Table13[[#This Row],[template]]="","",VLOOKUP(Table13[[#This Row],[template]],Table2915[],2,FALSE))</f>
        <v>asynParamInt32</v>
      </c>
      <c r="G222" s="18" t="str">
        <f>IF(Table13[[#This Row],[template]]="","","1")</f>
        <v>1</v>
      </c>
      <c r="H222" s="10" t="s">
        <v>454</v>
      </c>
      <c r="I222" s="13" t="str">
        <f>IF(Table13[[#This Row],[template]]="","","0x"&amp;Table13[[#This Row],[D_Index]]&amp;"000")</f>
        <v>0x01000000</v>
      </c>
      <c r="J222" s="18"/>
      <c r="K222" s="10">
        <v>0</v>
      </c>
      <c r="L222" s="10"/>
      <c r="M222" s="11" t="str">
        <f>IF(Table13[[#This Row],[template]]="","",VLOOKUP(Table13[[#This Row],[template]],Table2915[],3,FALSE))</f>
        <v xml:space="preserve"> </v>
      </c>
      <c r="N222" s="10"/>
      <c r="O222" s="11"/>
      <c r="P222" s="9" t="str">
        <f>IF(Table13[[#This Row],[template]]="","",Table13[[#This Row],[IP]]&amp;"_"&amp;Table13[[#This Row],[PARAM_NAME]]&amp;IF(Table13[[#This Row],[SUB]]="","","_"&amp;Table13[[#This Row],[SUB]]))</f>
        <v>ev_pdpCntr_23</v>
      </c>
      <c r="Q222" s="1" t="s">
        <v>262</v>
      </c>
      <c r="R222" s="1" t="s">
        <v>482</v>
      </c>
      <c r="S222" s="6" t="s">
        <v>286</v>
      </c>
      <c r="T222" s="20" t="str">
        <f>DEC2HEX(HEX2DEC(Table13[[#This Row],[Index]])/4+Table13[[#This Row],[SUB]],4)</f>
        <v>3157</v>
      </c>
      <c r="U222" s="6" t="s">
        <v>363</v>
      </c>
      <c r="V222" s="1" t="s">
        <v>254</v>
      </c>
      <c r="W222" s="16">
        <v>0</v>
      </c>
      <c r="X222" s="6" t="s">
        <v>363</v>
      </c>
      <c r="AA222" s="11">
        <f>IF(Table13[[#This Row],[template]]="","",VLOOKUP(Table13[[#This Row],[IP]],Table51117[],2,FALSE))</f>
        <v>1</v>
      </c>
      <c r="AB222" s="13" t="str">
        <f>IF(Table13[[#This Row],[template]]="","",DEC2HEX(VLOOKUP(Table13[[#This Row],[D1-Type]],Table351218[],2,FALSE),1)&amp;DEC2HEX(VLOOKUP(Table13[[#This Row],[D2-Type]],Table31016[],2,FALSE),1)&amp; DEC2HEX(Table13[[#This Row],[D2-Offset]],2)&amp;DEC2HEX(VLOOKUP(Table13[[#This Row],[D3-Type]],Table371319[],2,FALSE),1))</f>
        <v>01000</v>
      </c>
      <c r="AC222" s="14">
        <f>IF(Table13[[#This Row],[template]]="","",HEX2DEC(Table13[[#This Row],[Addr_Hex]]))</f>
        <v>12631</v>
      </c>
    </row>
    <row r="223" spans="2:29" x14ac:dyDescent="0.3">
      <c r="B223" s="13" t="s">
        <v>502</v>
      </c>
      <c r="C223" s="4" t="s">
        <v>456</v>
      </c>
      <c r="D223" s="9" t="str">
        <f>UPPER(Table13[[#This Row],[SIGNAL]])</f>
        <v>EV_PDPCNTR_24</v>
      </c>
      <c r="E223" s="9" t="str">
        <f>IF(Table13[[#This Row],[template]]="","","0x"&amp;Table13[[#This Row],[IP_Index]]&amp;DEC2HEX(Table13[[#This Row],[Addr_Dec]]*4,7))</f>
        <v>0x1000C560</v>
      </c>
      <c r="F223" s="9" t="str">
        <f>IF(Table13[[#This Row],[template]]="","",VLOOKUP(Table13[[#This Row],[template]],Table2915[],2,FALSE))</f>
        <v>asynParamInt32</v>
      </c>
      <c r="G223" s="18" t="str">
        <f>IF(Table13[[#This Row],[template]]="","","1")</f>
        <v>1</v>
      </c>
      <c r="H223" s="10" t="s">
        <v>454</v>
      </c>
      <c r="I223" s="13" t="str">
        <f>IF(Table13[[#This Row],[template]]="","","0x"&amp;Table13[[#This Row],[D_Index]]&amp;"000")</f>
        <v>0x01000000</v>
      </c>
      <c r="J223" s="18"/>
      <c r="K223" s="10">
        <v>0</v>
      </c>
      <c r="L223" s="10"/>
      <c r="M223" s="11" t="str">
        <f>IF(Table13[[#This Row],[template]]="","",VLOOKUP(Table13[[#This Row],[template]],Table2915[],3,FALSE))</f>
        <v xml:space="preserve"> </v>
      </c>
      <c r="N223" s="10"/>
      <c r="O223" s="11"/>
      <c r="P223" s="9" t="str">
        <f>IF(Table13[[#This Row],[template]]="","",Table13[[#This Row],[IP]]&amp;"_"&amp;Table13[[#This Row],[PARAM_NAME]]&amp;IF(Table13[[#This Row],[SUB]]="","","_"&amp;Table13[[#This Row],[SUB]]))</f>
        <v>ev_pdpCntr_24</v>
      </c>
      <c r="Q223" s="1" t="s">
        <v>262</v>
      </c>
      <c r="R223" s="1" t="s">
        <v>482</v>
      </c>
      <c r="S223" s="6" t="s">
        <v>287</v>
      </c>
      <c r="T223" s="20" t="str">
        <f>DEC2HEX(HEX2DEC(Table13[[#This Row],[Index]])/4+Table13[[#This Row],[SUB]],4)</f>
        <v>3158</v>
      </c>
      <c r="U223" s="6" t="s">
        <v>363</v>
      </c>
      <c r="V223" s="1" t="s">
        <v>254</v>
      </c>
      <c r="W223" s="16">
        <v>0</v>
      </c>
      <c r="X223" s="6" t="s">
        <v>363</v>
      </c>
      <c r="AA223" s="11">
        <f>IF(Table13[[#This Row],[template]]="","",VLOOKUP(Table13[[#This Row],[IP]],Table51117[],2,FALSE))</f>
        <v>1</v>
      </c>
      <c r="AB223" s="13" t="str">
        <f>IF(Table13[[#This Row],[template]]="","",DEC2HEX(VLOOKUP(Table13[[#This Row],[D1-Type]],Table351218[],2,FALSE),1)&amp;DEC2HEX(VLOOKUP(Table13[[#This Row],[D2-Type]],Table31016[],2,FALSE),1)&amp; DEC2HEX(Table13[[#This Row],[D2-Offset]],2)&amp;DEC2HEX(VLOOKUP(Table13[[#This Row],[D3-Type]],Table371319[],2,FALSE),1))</f>
        <v>01000</v>
      </c>
      <c r="AC223" s="14">
        <f>IF(Table13[[#This Row],[template]]="","",HEX2DEC(Table13[[#This Row],[Addr_Hex]]))</f>
        <v>12632</v>
      </c>
    </row>
    <row r="224" spans="2:29" x14ac:dyDescent="0.3">
      <c r="B224" s="13" t="s">
        <v>502</v>
      </c>
      <c r="C224" s="4" t="s">
        <v>456</v>
      </c>
      <c r="D224" s="9" t="str">
        <f>UPPER(Table13[[#This Row],[SIGNAL]])</f>
        <v>EV_PDPCNTR_25</v>
      </c>
      <c r="E224" s="9" t="str">
        <f>IF(Table13[[#This Row],[template]]="","","0x"&amp;Table13[[#This Row],[IP_Index]]&amp;DEC2HEX(Table13[[#This Row],[Addr_Dec]]*4,7))</f>
        <v>0x1000C564</v>
      </c>
      <c r="F224" s="9" t="str">
        <f>IF(Table13[[#This Row],[template]]="","",VLOOKUP(Table13[[#This Row],[template]],Table2915[],2,FALSE))</f>
        <v>asynParamInt32</v>
      </c>
      <c r="G224" s="18" t="str">
        <f>IF(Table13[[#This Row],[template]]="","","1")</f>
        <v>1</v>
      </c>
      <c r="H224" s="10" t="s">
        <v>454</v>
      </c>
      <c r="I224" s="13" t="str">
        <f>IF(Table13[[#This Row],[template]]="","","0x"&amp;Table13[[#This Row],[D_Index]]&amp;"000")</f>
        <v>0x01000000</v>
      </c>
      <c r="J224" s="18"/>
      <c r="K224" s="10">
        <v>0</v>
      </c>
      <c r="L224" s="10"/>
      <c r="M224" s="11" t="str">
        <f>IF(Table13[[#This Row],[template]]="","",VLOOKUP(Table13[[#This Row],[template]],Table2915[],3,FALSE))</f>
        <v xml:space="preserve"> </v>
      </c>
      <c r="N224" s="10"/>
      <c r="O224" s="11"/>
      <c r="P224" s="9" t="str">
        <f>IF(Table13[[#This Row],[template]]="","",Table13[[#This Row],[IP]]&amp;"_"&amp;Table13[[#This Row],[PARAM_NAME]]&amp;IF(Table13[[#This Row],[SUB]]="","","_"&amp;Table13[[#This Row],[SUB]]))</f>
        <v>ev_pdpCntr_25</v>
      </c>
      <c r="Q224" s="1" t="s">
        <v>262</v>
      </c>
      <c r="R224" s="1" t="s">
        <v>482</v>
      </c>
      <c r="S224" s="6" t="s">
        <v>288</v>
      </c>
      <c r="T224" s="20" t="str">
        <f>DEC2HEX(HEX2DEC(Table13[[#This Row],[Index]])/4+Table13[[#This Row],[SUB]],4)</f>
        <v>3159</v>
      </c>
      <c r="U224" s="6" t="s">
        <v>363</v>
      </c>
      <c r="V224" s="1" t="s">
        <v>254</v>
      </c>
      <c r="W224" s="16">
        <v>0</v>
      </c>
      <c r="X224" s="6" t="s">
        <v>363</v>
      </c>
      <c r="AA224" s="11">
        <f>IF(Table13[[#This Row],[template]]="","",VLOOKUP(Table13[[#This Row],[IP]],Table51117[],2,FALSE))</f>
        <v>1</v>
      </c>
      <c r="AB224" s="13" t="str">
        <f>IF(Table13[[#This Row],[template]]="","",DEC2HEX(VLOOKUP(Table13[[#This Row],[D1-Type]],Table351218[],2,FALSE),1)&amp;DEC2HEX(VLOOKUP(Table13[[#This Row],[D2-Type]],Table31016[],2,FALSE),1)&amp; DEC2HEX(Table13[[#This Row],[D2-Offset]],2)&amp;DEC2HEX(VLOOKUP(Table13[[#This Row],[D3-Type]],Table371319[],2,FALSE),1))</f>
        <v>01000</v>
      </c>
      <c r="AC224" s="14">
        <f>IF(Table13[[#This Row],[template]]="","",HEX2DEC(Table13[[#This Row],[Addr_Hex]]))</f>
        <v>12633</v>
      </c>
    </row>
    <row r="225" spans="2:29" x14ac:dyDescent="0.3">
      <c r="B225" s="13" t="s">
        <v>502</v>
      </c>
      <c r="C225" s="4" t="s">
        <v>456</v>
      </c>
      <c r="D225" s="9" t="str">
        <f>UPPER(Table13[[#This Row],[SIGNAL]])</f>
        <v>EV_PDPCNTR_26</v>
      </c>
      <c r="E225" s="9" t="str">
        <f>IF(Table13[[#This Row],[template]]="","","0x"&amp;Table13[[#This Row],[IP_Index]]&amp;DEC2HEX(Table13[[#This Row],[Addr_Dec]]*4,7))</f>
        <v>0x1000C568</v>
      </c>
      <c r="F225" s="9" t="str">
        <f>IF(Table13[[#This Row],[template]]="","",VLOOKUP(Table13[[#This Row],[template]],Table2915[],2,FALSE))</f>
        <v>asynParamInt32</v>
      </c>
      <c r="G225" s="18" t="str">
        <f>IF(Table13[[#This Row],[template]]="","","1")</f>
        <v>1</v>
      </c>
      <c r="H225" s="10" t="s">
        <v>454</v>
      </c>
      <c r="I225" s="13" t="str">
        <f>IF(Table13[[#This Row],[template]]="","","0x"&amp;Table13[[#This Row],[D_Index]]&amp;"000")</f>
        <v>0x01000000</v>
      </c>
      <c r="J225" s="18"/>
      <c r="K225" s="10">
        <v>0</v>
      </c>
      <c r="L225" s="10"/>
      <c r="M225" s="11" t="str">
        <f>IF(Table13[[#This Row],[template]]="","",VLOOKUP(Table13[[#This Row],[template]],Table2915[],3,FALSE))</f>
        <v xml:space="preserve"> </v>
      </c>
      <c r="N225" s="10"/>
      <c r="O225" s="11"/>
      <c r="P225" s="9" t="str">
        <f>IF(Table13[[#This Row],[template]]="","",Table13[[#This Row],[IP]]&amp;"_"&amp;Table13[[#This Row],[PARAM_NAME]]&amp;IF(Table13[[#This Row],[SUB]]="","","_"&amp;Table13[[#This Row],[SUB]]))</f>
        <v>ev_pdpCntr_26</v>
      </c>
      <c r="Q225" s="1" t="s">
        <v>262</v>
      </c>
      <c r="R225" s="1" t="s">
        <v>482</v>
      </c>
      <c r="S225" s="6" t="s">
        <v>289</v>
      </c>
      <c r="T225" s="20" t="str">
        <f>DEC2HEX(HEX2DEC(Table13[[#This Row],[Index]])/4+Table13[[#This Row],[SUB]],4)</f>
        <v>315A</v>
      </c>
      <c r="U225" s="6" t="s">
        <v>363</v>
      </c>
      <c r="V225" s="1" t="s">
        <v>254</v>
      </c>
      <c r="W225" s="16">
        <v>0</v>
      </c>
      <c r="X225" s="6" t="s">
        <v>363</v>
      </c>
      <c r="AA225" s="11">
        <f>IF(Table13[[#This Row],[template]]="","",VLOOKUP(Table13[[#This Row],[IP]],Table51117[],2,FALSE))</f>
        <v>1</v>
      </c>
      <c r="AB225" s="13" t="str">
        <f>IF(Table13[[#This Row],[template]]="","",DEC2HEX(VLOOKUP(Table13[[#This Row],[D1-Type]],Table351218[],2,FALSE),1)&amp;DEC2HEX(VLOOKUP(Table13[[#This Row],[D2-Type]],Table31016[],2,FALSE),1)&amp; DEC2HEX(Table13[[#This Row],[D2-Offset]],2)&amp;DEC2HEX(VLOOKUP(Table13[[#This Row],[D3-Type]],Table371319[],2,FALSE),1))</f>
        <v>01000</v>
      </c>
      <c r="AC225" s="14">
        <f>IF(Table13[[#This Row],[template]]="","",HEX2DEC(Table13[[#This Row],[Addr_Hex]]))</f>
        <v>12634</v>
      </c>
    </row>
    <row r="226" spans="2:29" x14ac:dyDescent="0.3">
      <c r="B226" s="13" t="s">
        <v>502</v>
      </c>
      <c r="C226" s="4" t="s">
        <v>456</v>
      </c>
      <c r="D226" s="9" t="str">
        <f>UPPER(Table13[[#This Row],[SIGNAL]])</f>
        <v>EV_PDPCNTR_27</v>
      </c>
      <c r="E226" s="9" t="str">
        <f>IF(Table13[[#This Row],[template]]="","","0x"&amp;Table13[[#This Row],[IP_Index]]&amp;DEC2HEX(Table13[[#This Row],[Addr_Dec]]*4,7))</f>
        <v>0x1000C56C</v>
      </c>
      <c r="F226" s="9" t="str">
        <f>IF(Table13[[#This Row],[template]]="","",VLOOKUP(Table13[[#This Row],[template]],Table2915[],2,FALSE))</f>
        <v>asynParamInt32</v>
      </c>
      <c r="G226" s="18" t="str">
        <f>IF(Table13[[#This Row],[template]]="","","1")</f>
        <v>1</v>
      </c>
      <c r="H226" s="10" t="s">
        <v>454</v>
      </c>
      <c r="I226" s="13" t="str">
        <f>IF(Table13[[#This Row],[template]]="","","0x"&amp;Table13[[#This Row],[D_Index]]&amp;"000")</f>
        <v>0x01000000</v>
      </c>
      <c r="J226" s="18"/>
      <c r="K226" s="10">
        <v>0</v>
      </c>
      <c r="L226" s="10"/>
      <c r="M226" s="11" t="str">
        <f>IF(Table13[[#This Row],[template]]="","",VLOOKUP(Table13[[#This Row],[template]],Table2915[],3,FALSE))</f>
        <v xml:space="preserve"> </v>
      </c>
      <c r="N226" s="10"/>
      <c r="O226" s="11"/>
      <c r="P226" s="9" t="str">
        <f>IF(Table13[[#This Row],[template]]="","",Table13[[#This Row],[IP]]&amp;"_"&amp;Table13[[#This Row],[PARAM_NAME]]&amp;IF(Table13[[#This Row],[SUB]]="","","_"&amp;Table13[[#This Row],[SUB]]))</f>
        <v>ev_pdpCntr_27</v>
      </c>
      <c r="Q226" s="1" t="s">
        <v>262</v>
      </c>
      <c r="R226" s="1" t="s">
        <v>482</v>
      </c>
      <c r="S226" s="6" t="s">
        <v>290</v>
      </c>
      <c r="T226" s="20" t="str">
        <f>DEC2HEX(HEX2DEC(Table13[[#This Row],[Index]])/4+Table13[[#This Row],[SUB]],4)</f>
        <v>315B</v>
      </c>
      <c r="U226" s="6" t="s">
        <v>363</v>
      </c>
      <c r="V226" s="1" t="s">
        <v>254</v>
      </c>
      <c r="W226" s="16">
        <v>0</v>
      </c>
      <c r="X226" s="6" t="s">
        <v>363</v>
      </c>
      <c r="AA226" s="11">
        <f>IF(Table13[[#This Row],[template]]="","",VLOOKUP(Table13[[#This Row],[IP]],Table51117[],2,FALSE))</f>
        <v>1</v>
      </c>
      <c r="AB226" s="13" t="str">
        <f>IF(Table13[[#This Row],[template]]="","",DEC2HEX(VLOOKUP(Table13[[#This Row],[D1-Type]],Table351218[],2,FALSE),1)&amp;DEC2HEX(VLOOKUP(Table13[[#This Row],[D2-Type]],Table31016[],2,FALSE),1)&amp; DEC2HEX(Table13[[#This Row],[D2-Offset]],2)&amp;DEC2HEX(VLOOKUP(Table13[[#This Row],[D3-Type]],Table371319[],2,FALSE),1))</f>
        <v>01000</v>
      </c>
      <c r="AC226" s="14">
        <f>IF(Table13[[#This Row],[template]]="","",HEX2DEC(Table13[[#This Row],[Addr_Hex]]))</f>
        <v>12635</v>
      </c>
    </row>
    <row r="227" spans="2:29" x14ac:dyDescent="0.3">
      <c r="B227" s="13" t="s">
        <v>502</v>
      </c>
      <c r="C227" s="4" t="s">
        <v>456</v>
      </c>
      <c r="D227" s="9" t="str">
        <f>UPPER(Table13[[#This Row],[SIGNAL]])</f>
        <v>EV_PDPCNTR_28</v>
      </c>
      <c r="E227" s="9" t="str">
        <f>IF(Table13[[#This Row],[template]]="","","0x"&amp;Table13[[#This Row],[IP_Index]]&amp;DEC2HEX(Table13[[#This Row],[Addr_Dec]]*4,7))</f>
        <v>0x1000C570</v>
      </c>
      <c r="F227" s="9" t="str">
        <f>IF(Table13[[#This Row],[template]]="","",VLOOKUP(Table13[[#This Row],[template]],Table2915[],2,FALSE))</f>
        <v>asynParamInt32</v>
      </c>
      <c r="G227" s="18" t="str">
        <f>IF(Table13[[#This Row],[template]]="","","1")</f>
        <v>1</v>
      </c>
      <c r="H227" s="10" t="s">
        <v>454</v>
      </c>
      <c r="I227" s="13" t="str">
        <f>IF(Table13[[#This Row],[template]]="","","0x"&amp;Table13[[#This Row],[D_Index]]&amp;"000")</f>
        <v>0x01000000</v>
      </c>
      <c r="J227" s="18"/>
      <c r="K227" s="10">
        <v>0</v>
      </c>
      <c r="L227" s="10"/>
      <c r="M227" s="11" t="str">
        <f>IF(Table13[[#This Row],[template]]="","",VLOOKUP(Table13[[#This Row],[template]],Table2915[],3,FALSE))</f>
        <v xml:space="preserve"> </v>
      </c>
      <c r="N227" s="10"/>
      <c r="O227" s="11"/>
      <c r="P227" s="9" t="str">
        <f>IF(Table13[[#This Row],[template]]="","",Table13[[#This Row],[IP]]&amp;"_"&amp;Table13[[#This Row],[PARAM_NAME]]&amp;IF(Table13[[#This Row],[SUB]]="","","_"&amp;Table13[[#This Row],[SUB]]))</f>
        <v>ev_pdpCntr_28</v>
      </c>
      <c r="Q227" s="1" t="s">
        <v>262</v>
      </c>
      <c r="R227" s="1" t="s">
        <v>482</v>
      </c>
      <c r="S227" s="6" t="s">
        <v>291</v>
      </c>
      <c r="T227" s="20" t="str">
        <f>DEC2HEX(HEX2DEC(Table13[[#This Row],[Index]])/4+Table13[[#This Row],[SUB]],4)</f>
        <v>315C</v>
      </c>
      <c r="U227" s="6" t="s">
        <v>363</v>
      </c>
      <c r="V227" s="1" t="s">
        <v>254</v>
      </c>
      <c r="W227" s="16">
        <v>0</v>
      </c>
      <c r="X227" s="6" t="s">
        <v>363</v>
      </c>
      <c r="AA227" s="11">
        <f>IF(Table13[[#This Row],[template]]="","",VLOOKUP(Table13[[#This Row],[IP]],Table51117[],2,FALSE))</f>
        <v>1</v>
      </c>
      <c r="AB227" s="13" t="str">
        <f>IF(Table13[[#This Row],[template]]="","",DEC2HEX(VLOOKUP(Table13[[#This Row],[D1-Type]],Table351218[],2,FALSE),1)&amp;DEC2HEX(VLOOKUP(Table13[[#This Row],[D2-Type]],Table31016[],2,FALSE),1)&amp; DEC2HEX(Table13[[#This Row],[D2-Offset]],2)&amp;DEC2HEX(VLOOKUP(Table13[[#This Row],[D3-Type]],Table371319[],2,FALSE),1))</f>
        <v>01000</v>
      </c>
      <c r="AC227" s="14">
        <f>IF(Table13[[#This Row],[template]]="","",HEX2DEC(Table13[[#This Row],[Addr_Hex]]))</f>
        <v>12636</v>
      </c>
    </row>
    <row r="228" spans="2:29" x14ac:dyDescent="0.3">
      <c r="B228" s="13" t="s">
        <v>502</v>
      </c>
      <c r="C228" s="4" t="s">
        <v>456</v>
      </c>
      <c r="D228" s="9" t="str">
        <f>UPPER(Table13[[#This Row],[SIGNAL]])</f>
        <v>EV_PDPCNTR_29</v>
      </c>
      <c r="E228" s="9" t="str">
        <f>IF(Table13[[#This Row],[template]]="","","0x"&amp;Table13[[#This Row],[IP_Index]]&amp;DEC2HEX(Table13[[#This Row],[Addr_Dec]]*4,7))</f>
        <v>0x1000C574</v>
      </c>
      <c r="F228" s="9" t="str">
        <f>IF(Table13[[#This Row],[template]]="","",VLOOKUP(Table13[[#This Row],[template]],Table2915[],2,FALSE))</f>
        <v>asynParamInt32</v>
      </c>
      <c r="G228" s="18" t="str">
        <f>IF(Table13[[#This Row],[template]]="","","1")</f>
        <v>1</v>
      </c>
      <c r="H228" s="10" t="s">
        <v>454</v>
      </c>
      <c r="I228" s="13" t="str">
        <f>IF(Table13[[#This Row],[template]]="","","0x"&amp;Table13[[#This Row],[D_Index]]&amp;"000")</f>
        <v>0x01000000</v>
      </c>
      <c r="J228" s="18"/>
      <c r="K228" s="10">
        <v>0</v>
      </c>
      <c r="L228" s="10"/>
      <c r="M228" s="11" t="str">
        <f>IF(Table13[[#This Row],[template]]="","",VLOOKUP(Table13[[#This Row],[template]],Table2915[],3,FALSE))</f>
        <v xml:space="preserve"> </v>
      </c>
      <c r="N228" s="10"/>
      <c r="O228" s="11"/>
      <c r="P228" s="9" t="str">
        <f>IF(Table13[[#This Row],[template]]="","",Table13[[#This Row],[IP]]&amp;"_"&amp;Table13[[#This Row],[PARAM_NAME]]&amp;IF(Table13[[#This Row],[SUB]]="","","_"&amp;Table13[[#This Row],[SUB]]))</f>
        <v>ev_pdpCntr_29</v>
      </c>
      <c r="Q228" s="1" t="s">
        <v>262</v>
      </c>
      <c r="R228" s="1" t="s">
        <v>482</v>
      </c>
      <c r="S228" s="6" t="s">
        <v>292</v>
      </c>
      <c r="T228" s="20" t="str">
        <f>DEC2HEX(HEX2DEC(Table13[[#This Row],[Index]])/4+Table13[[#This Row],[SUB]],4)</f>
        <v>315D</v>
      </c>
      <c r="U228" s="6" t="s">
        <v>363</v>
      </c>
      <c r="V228" s="1" t="s">
        <v>254</v>
      </c>
      <c r="W228" s="16">
        <v>0</v>
      </c>
      <c r="X228" s="6" t="s">
        <v>363</v>
      </c>
      <c r="AA228" s="11">
        <f>IF(Table13[[#This Row],[template]]="","",VLOOKUP(Table13[[#This Row],[IP]],Table51117[],2,FALSE))</f>
        <v>1</v>
      </c>
      <c r="AB228" s="13" t="str">
        <f>IF(Table13[[#This Row],[template]]="","",DEC2HEX(VLOOKUP(Table13[[#This Row],[D1-Type]],Table351218[],2,FALSE),1)&amp;DEC2HEX(VLOOKUP(Table13[[#This Row],[D2-Type]],Table31016[],2,FALSE),1)&amp; DEC2HEX(Table13[[#This Row],[D2-Offset]],2)&amp;DEC2HEX(VLOOKUP(Table13[[#This Row],[D3-Type]],Table371319[],2,FALSE),1))</f>
        <v>01000</v>
      </c>
      <c r="AC228" s="14">
        <f>IF(Table13[[#This Row],[template]]="","",HEX2DEC(Table13[[#This Row],[Addr_Hex]]))</f>
        <v>12637</v>
      </c>
    </row>
    <row r="229" spans="2:29" x14ac:dyDescent="0.3">
      <c r="B229" s="13" t="s">
        <v>502</v>
      </c>
      <c r="C229" s="4" t="s">
        <v>456</v>
      </c>
      <c r="D229" s="9" t="str">
        <f>UPPER(Table13[[#This Row],[SIGNAL]])</f>
        <v>EV_PDPCNTR_30</v>
      </c>
      <c r="E229" s="9" t="str">
        <f>IF(Table13[[#This Row],[template]]="","","0x"&amp;Table13[[#This Row],[IP_Index]]&amp;DEC2HEX(Table13[[#This Row],[Addr_Dec]]*4,7))</f>
        <v>0x1000C578</v>
      </c>
      <c r="F229" s="9" t="str">
        <f>IF(Table13[[#This Row],[template]]="","",VLOOKUP(Table13[[#This Row],[template]],Table2915[],2,FALSE))</f>
        <v>asynParamInt32</v>
      </c>
      <c r="G229" s="18" t="str">
        <f>IF(Table13[[#This Row],[template]]="","","1")</f>
        <v>1</v>
      </c>
      <c r="H229" s="10" t="s">
        <v>454</v>
      </c>
      <c r="I229" s="13" t="str">
        <f>IF(Table13[[#This Row],[template]]="","","0x"&amp;Table13[[#This Row],[D_Index]]&amp;"000")</f>
        <v>0x01000000</v>
      </c>
      <c r="J229" s="18"/>
      <c r="K229" s="10">
        <v>0</v>
      </c>
      <c r="L229" s="10"/>
      <c r="M229" s="11" t="str">
        <f>IF(Table13[[#This Row],[template]]="","",VLOOKUP(Table13[[#This Row],[template]],Table2915[],3,FALSE))</f>
        <v xml:space="preserve"> </v>
      </c>
      <c r="N229" s="10"/>
      <c r="O229" s="11"/>
      <c r="P229" s="9" t="str">
        <f>IF(Table13[[#This Row],[template]]="","",Table13[[#This Row],[IP]]&amp;"_"&amp;Table13[[#This Row],[PARAM_NAME]]&amp;IF(Table13[[#This Row],[SUB]]="","","_"&amp;Table13[[#This Row],[SUB]]))</f>
        <v>ev_pdpCntr_30</v>
      </c>
      <c r="Q229" s="1" t="s">
        <v>262</v>
      </c>
      <c r="R229" s="1" t="s">
        <v>482</v>
      </c>
      <c r="S229" s="6" t="s">
        <v>293</v>
      </c>
      <c r="T229" s="20" t="str">
        <f>DEC2HEX(HEX2DEC(Table13[[#This Row],[Index]])/4+Table13[[#This Row],[SUB]],4)</f>
        <v>315E</v>
      </c>
      <c r="U229" s="6" t="s">
        <v>363</v>
      </c>
      <c r="V229" s="1" t="s">
        <v>254</v>
      </c>
      <c r="W229" s="16">
        <v>0</v>
      </c>
      <c r="X229" s="6" t="s">
        <v>363</v>
      </c>
      <c r="AA229" s="11">
        <f>IF(Table13[[#This Row],[template]]="","",VLOOKUP(Table13[[#This Row],[IP]],Table51117[],2,FALSE))</f>
        <v>1</v>
      </c>
      <c r="AB229" s="13" t="str">
        <f>IF(Table13[[#This Row],[template]]="","",DEC2HEX(VLOOKUP(Table13[[#This Row],[D1-Type]],Table351218[],2,FALSE),1)&amp;DEC2HEX(VLOOKUP(Table13[[#This Row],[D2-Type]],Table31016[],2,FALSE),1)&amp; DEC2HEX(Table13[[#This Row],[D2-Offset]],2)&amp;DEC2HEX(VLOOKUP(Table13[[#This Row],[D3-Type]],Table371319[],2,FALSE),1))</f>
        <v>01000</v>
      </c>
      <c r="AC229" s="14">
        <f>IF(Table13[[#This Row],[template]]="","",HEX2DEC(Table13[[#This Row],[Addr_Hex]]))</f>
        <v>12638</v>
      </c>
    </row>
    <row r="230" spans="2:29" x14ac:dyDescent="0.3">
      <c r="B230" s="13" t="s">
        <v>502</v>
      </c>
      <c r="C230" s="4" t="s">
        <v>456</v>
      </c>
      <c r="D230" s="9" t="str">
        <f>UPPER(Table13[[#This Row],[SIGNAL]])</f>
        <v>EV_PDPCNTR_31</v>
      </c>
      <c r="E230" s="9" t="str">
        <f>IF(Table13[[#This Row],[template]]="","","0x"&amp;Table13[[#This Row],[IP_Index]]&amp;DEC2HEX(Table13[[#This Row],[Addr_Dec]]*4,7))</f>
        <v>0x1000C57C</v>
      </c>
      <c r="F230" s="9" t="str">
        <f>IF(Table13[[#This Row],[template]]="","",VLOOKUP(Table13[[#This Row],[template]],Table2915[],2,FALSE))</f>
        <v>asynParamInt32</v>
      </c>
      <c r="G230" s="18" t="str">
        <f>IF(Table13[[#This Row],[template]]="","","1")</f>
        <v>1</v>
      </c>
      <c r="H230" s="10" t="s">
        <v>454</v>
      </c>
      <c r="I230" s="13" t="str">
        <f>IF(Table13[[#This Row],[template]]="","","0x"&amp;Table13[[#This Row],[D_Index]]&amp;"000")</f>
        <v>0x01000000</v>
      </c>
      <c r="J230" s="18"/>
      <c r="K230" s="10">
        <v>0</v>
      </c>
      <c r="L230" s="10"/>
      <c r="M230" s="11" t="str">
        <f>IF(Table13[[#This Row],[template]]="","",VLOOKUP(Table13[[#This Row],[template]],Table2915[],3,FALSE))</f>
        <v xml:space="preserve"> </v>
      </c>
      <c r="N230" s="10"/>
      <c r="O230" s="11"/>
      <c r="P230" s="9" t="str">
        <f>IF(Table13[[#This Row],[template]]="","",Table13[[#This Row],[IP]]&amp;"_"&amp;Table13[[#This Row],[PARAM_NAME]]&amp;IF(Table13[[#This Row],[SUB]]="","","_"&amp;Table13[[#This Row],[SUB]]))</f>
        <v>ev_pdpCntr_31</v>
      </c>
      <c r="Q230" s="1" t="s">
        <v>262</v>
      </c>
      <c r="R230" s="1" t="s">
        <v>482</v>
      </c>
      <c r="S230" s="6" t="s">
        <v>294</v>
      </c>
      <c r="T230" s="20" t="str">
        <f>DEC2HEX(HEX2DEC(Table13[[#This Row],[Index]])/4+Table13[[#This Row],[SUB]],4)</f>
        <v>315F</v>
      </c>
      <c r="U230" s="6" t="s">
        <v>363</v>
      </c>
      <c r="V230" s="1" t="s">
        <v>254</v>
      </c>
      <c r="W230" s="16">
        <v>0</v>
      </c>
      <c r="X230" s="6" t="s">
        <v>363</v>
      </c>
      <c r="AA230" s="11">
        <f>IF(Table13[[#This Row],[template]]="","",VLOOKUP(Table13[[#This Row],[IP]],Table51117[],2,FALSE))</f>
        <v>1</v>
      </c>
      <c r="AB230" s="13" t="str">
        <f>IF(Table13[[#This Row],[template]]="","",DEC2HEX(VLOOKUP(Table13[[#This Row],[D1-Type]],Table351218[],2,FALSE),1)&amp;DEC2HEX(VLOOKUP(Table13[[#This Row],[D2-Type]],Table31016[],2,FALSE),1)&amp; DEC2HEX(Table13[[#This Row],[D2-Offset]],2)&amp;DEC2HEX(VLOOKUP(Table13[[#This Row],[D3-Type]],Table371319[],2,FALSE),1))</f>
        <v>01000</v>
      </c>
      <c r="AC230" s="14">
        <f>IF(Table13[[#This Row],[template]]="","",HEX2DEC(Table13[[#This Row],[Addr_Hex]]))</f>
        <v>12639</v>
      </c>
    </row>
    <row r="231" spans="2:29" x14ac:dyDescent="0.3">
      <c r="B231" s="4">
        <v>287</v>
      </c>
      <c r="C231" s="4"/>
      <c r="D231" s="9" t="str">
        <f>UPPER(Table13[[#This Row],[SIGNAL]])</f>
        <v/>
      </c>
      <c r="E231" s="9" t="str">
        <f>IF(Table13[[#This Row],[template]]="","","0x"&amp;Table13[[#This Row],[IP_Index]]&amp;DEC2HEX(Table13[[#This Row],[Addr_Dec]]*4,7))</f>
        <v/>
      </c>
      <c r="F231" s="9" t="str">
        <f>IF(Table13[[#This Row],[template]]="","",VLOOKUP(Table13[[#This Row],[template]],Table2915[],2,FALSE))</f>
        <v/>
      </c>
      <c r="G231" s="18" t="str">
        <f>IF(Table13[[#This Row],[template]]="","","1")</f>
        <v/>
      </c>
      <c r="H231" s="10"/>
      <c r="I231" s="13" t="str">
        <f>IF(Table13[[#This Row],[template]]="","","0x"&amp;Table13[[#This Row],[D_Index]]&amp;"000")</f>
        <v/>
      </c>
      <c r="J231" s="18"/>
      <c r="K231" s="10"/>
      <c r="L231" s="10"/>
      <c r="M231" s="11" t="str">
        <f>IF(Table13[[#This Row],[template]]="","",VLOOKUP(Table13[[#This Row],[template]],Table2915[],3,FALSE))</f>
        <v/>
      </c>
      <c r="N231" s="10"/>
      <c r="O231" s="11"/>
      <c r="P231" s="9" t="str">
        <f>IF(Table13[[#This Row],[template]]="","",Table13[[#This Row],[IP]]&amp;"_"&amp;Table13[[#This Row],[PARAM_NAME]]&amp;IF(Table13[[#This Row],[SUB]]="","","_"&amp;Table13[[#This Row],[SUB]]))</f>
        <v/>
      </c>
      <c r="S231" s="6"/>
      <c r="T231" s="4"/>
      <c r="U231" s="6"/>
      <c r="W231" s="16"/>
      <c r="X231" s="6"/>
      <c r="AA231" s="11" t="str">
        <f>IF(Table13[[#This Row],[template]]="","",VLOOKUP(Table13[[#This Row],[IP]],Table51117[],2,FALSE))</f>
        <v/>
      </c>
      <c r="AB231" s="13" t="str">
        <f>IF(Table13[[#This Row],[template]]="","",DEC2HEX(VLOOKUP(Table13[[#This Row],[D1-Type]],Table351218[],2,FALSE),1)&amp;DEC2HEX(VLOOKUP(Table13[[#This Row],[D2-Type]],Table31016[],2,FALSE),1)&amp; DEC2HEX(Table13[[#This Row],[D2-Offset]],2)&amp;DEC2HEX(VLOOKUP(Table13[[#This Row],[D3-Type]],Table371319[],2,FALSE),1))</f>
        <v/>
      </c>
      <c r="AC231" s="14" t="str">
        <f>IF(Table13[[#This Row],[template]]="","",HEX2DEC(Table13[[#This Row],[Addr_Hex]]))</f>
        <v/>
      </c>
    </row>
    <row r="232" spans="2:29" x14ac:dyDescent="0.3">
      <c r="B232" s="4">
        <v>353</v>
      </c>
      <c r="C232" s="4"/>
      <c r="D232" s="9" t="str">
        <f>UPPER(Table13[[#This Row],[SIGNAL]])</f>
        <v/>
      </c>
      <c r="E232" s="9" t="str">
        <f>IF(Table13[[#This Row],[template]]="","","0x"&amp;Table13[[#This Row],[IP_Index]]&amp;DEC2HEX(Table13[[#This Row],[Addr_Dec]]*4,7))</f>
        <v/>
      </c>
      <c r="F232" s="9" t="str">
        <f>IF(Table13[[#This Row],[template]]="","",VLOOKUP(Table13[[#This Row],[template]],Table2915[],2,FALSE))</f>
        <v/>
      </c>
      <c r="G232" s="18" t="str">
        <f>IF(Table13[[#This Row],[template]]="","","1")</f>
        <v/>
      </c>
      <c r="H232" s="10"/>
      <c r="I232" s="13" t="str">
        <f>IF(Table13[[#This Row],[template]]="","","0x"&amp;Table13[[#This Row],[D_Index]]&amp;"000")</f>
        <v/>
      </c>
      <c r="J232" s="18"/>
      <c r="K232" s="10">
        <v>0</v>
      </c>
      <c r="L232" s="10"/>
      <c r="M232" s="11" t="str">
        <f>IF(Table13[[#This Row],[template]]="","",VLOOKUP(Table13[[#This Row],[template]],Table2915[],3,FALSE))</f>
        <v/>
      </c>
      <c r="N232" s="10"/>
      <c r="O232" s="11"/>
      <c r="P232" s="9" t="str">
        <f>IF(Table13[[#This Row],[template]]="","",Table13[[#This Row],[IP]]&amp;"_"&amp;Table13[[#This Row],[PARAM_NAME]]&amp;IF(Table13[[#This Row],[SUB]]="","","_"&amp;Table13[[#This Row],[SUB]]))</f>
        <v/>
      </c>
      <c r="S232" s="6"/>
      <c r="T232" s="4"/>
      <c r="U232" s="6"/>
      <c r="W232" s="16"/>
      <c r="X232" s="6"/>
      <c r="AA232" s="11" t="str">
        <f>IF(Table13[[#This Row],[template]]="","",VLOOKUP(Table13[[#This Row],[IP]],Table51117[],2,FALSE))</f>
        <v/>
      </c>
      <c r="AB232" s="13" t="str">
        <f>IF(Table13[[#This Row],[template]]="","",DEC2HEX(VLOOKUP(Table13[[#This Row],[D1-Type]],Table351218[],2,FALSE),1)&amp;DEC2HEX(VLOOKUP(Table13[[#This Row],[D2-Type]],Table31016[],2,FALSE),1)&amp; DEC2HEX(Table13[[#This Row],[D2-Offset]],2)&amp;DEC2HEX(VLOOKUP(Table13[[#This Row],[D3-Type]],Table371319[],2,FALSE),1))</f>
        <v/>
      </c>
      <c r="AC232" s="14" t="str">
        <f>IF(Table13[[#This Row],[template]]="","",HEX2DEC(Table13[[#This Row],[Addr_Hex]]))</f>
        <v/>
      </c>
    </row>
    <row r="233" spans="2:29" x14ac:dyDescent="0.3">
      <c r="B233" s="13">
        <v>1000</v>
      </c>
      <c r="C233" s="4" t="s">
        <v>233</v>
      </c>
      <c r="D233" s="9" t="str">
        <f>UPPER(Table13[[#This Row],[SIGNAL]])</f>
        <v>EV_MEVCODEA_1</v>
      </c>
      <c r="E233" s="9" t="str">
        <f>IF(Table13[[#This Row],[template]]="","","0x"&amp;Table13[[#This Row],[IP_Index]]&amp;DEC2HEX(Table13[[#This Row],[Addr_Dec]]*4,7))</f>
        <v>0x10001004</v>
      </c>
      <c r="F233" s="9" t="str">
        <f>IF(Table13[[#This Row],[template]]="","",VLOOKUP(Table13[[#This Row],[template]],Table2915[],2,FALSE))</f>
        <v>asynParamInt32</v>
      </c>
      <c r="G233" s="18" t="str">
        <f>IF(Table13[[#This Row],[template]]="","","1")</f>
        <v>1</v>
      </c>
      <c r="H233" s="10"/>
      <c r="I233" s="13" t="str">
        <f>IF(Table13[[#This Row],[template]]="","","0x"&amp;Table13[[#This Row],[D_Index]]&amp;"000")</f>
        <v>0x01000000</v>
      </c>
      <c r="J233" s="18"/>
      <c r="K233" s="10">
        <v>0</v>
      </c>
      <c r="L233" s="10"/>
      <c r="M233" s="11" t="str">
        <f>IF(Table13[[#This Row],[template]]="","",VLOOKUP(Table13[[#This Row],[template]],Table2915[],3,FALSE))</f>
        <v xml:space="preserve"> </v>
      </c>
      <c r="N233" s="10"/>
      <c r="O233" s="11"/>
      <c r="P233" s="9" t="str">
        <f>IF(Table13[[#This Row],[template]]="","",Table13[[#This Row],[IP]]&amp;"_"&amp;Table13[[#This Row],[PARAM_NAME]]&amp;IF(Table13[[#This Row],[SUB]]="","","_"&amp;Table13[[#This Row],[SUB]]))</f>
        <v>ev_mevCodeA_1</v>
      </c>
      <c r="Q233" s="1" t="s">
        <v>262</v>
      </c>
      <c r="R233" s="1" t="s">
        <v>452</v>
      </c>
      <c r="S233" s="6" t="s">
        <v>271</v>
      </c>
      <c r="T233" s="20" t="str">
        <f>DEC2HEX(HEX2DEC(Table13[[#This Row],[Index]])/4+Table13[[#This Row],[SUB]],4)</f>
        <v>0401</v>
      </c>
      <c r="U233" s="6" t="s">
        <v>363</v>
      </c>
      <c r="V233" s="1" t="s">
        <v>254</v>
      </c>
      <c r="W233" s="16">
        <v>0</v>
      </c>
      <c r="X233" s="6" t="s">
        <v>363</v>
      </c>
      <c r="AA233" s="11">
        <f>IF(Table13[[#This Row],[template]]="","",VLOOKUP(Table13[[#This Row],[IP]],Table51117[],2,FALSE))</f>
        <v>1</v>
      </c>
      <c r="AB233" s="13" t="str">
        <f>IF(Table13[[#This Row],[template]]="","",DEC2HEX(VLOOKUP(Table13[[#This Row],[D1-Type]],Table351218[],2,FALSE),1)&amp;DEC2HEX(VLOOKUP(Table13[[#This Row],[D2-Type]],Table31016[],2,FALSE),1)&amp; DEC2HEX(Table13[[#This Row],[D2-Offset]],2)&amp;DEC2HEX(VLOOKUP(Table13[[#This Row],[D3-Type]],Table371319[],2,FALSE),1))</f>
        <v>01000</v>
      </c>
      <c r="AC233" s="14">
        <f>IF(Table13[[#This Row],[template]]="","",HEX2DEC(Table13[[#This Row],[Addr_Hex]]))</f>
        <v>1025</v>
      </c>
    </row>
    <row r="234" spans="2:29" x14ac:dyDescent="0.3">
      <c r="B234" s="13">
        <v>1000</v>
      </c>
      <c r="C234" s="4" t="s">
        <v>233</v>
      </c>
      <c r="D234" s="9" t="str">
        <f>UPPER(Table13[[#This Row],[SIGNAL]])</f>
        <v>EV_MEVCODEA_2</v>
      </c>
      <c r="E234" s="9" t="str">
        <f>IF(Table13[[#This Row],[template]]="","","0x"&amp;Table13[[#This Row],[IP_Index]]&amp;DEC2HEX(Table13[[#This Row],[Addr_Dec]]*4,7))</f>
        <v>0x10001008</v>
      </c>
      <c r="F234" s="9" t="str">
        <f>IF(Table13[[#This Row],[template]]="","",VLOOKUP(Table13[[#This Row],[template]],Table2915[],2,FALSE))</f>
        <v>asynParamInt32</v>
      </c>
      <c r="G234" s="18" t="str">
        <f>IF(Table13[[#This Row],[template]]="","","1")</f>
        <v>1</v>
      </c>
      <c r="H234" s="10"/>
      <c r="I234" s="13" t="str">
        <f>IF(Table13[[#This Row],[template]]="","","0x"&amp;Table13[[#This Row],[D_Index]]&amp;"000")</f>
        <v>0x01000000</v>
      </c>
      <c r="J234" s="18"/>
      <c r="K234" s="10">
        <v>0</v>
      </c>
      <c r="L234" s="10"/>
      <c r="M234" s="11" t="str">
        <f>IF(Table13[[#This Row],[template]]="","",VLOOKUP(Table13[[#This Row],[template]],Table2915[],3,FALSE))</f>
        <v xml:space="preserve"> </v>
      </c>
      <c r="N234" s="10"/>
      <c r="O234" s="11"/>
      <c r="P234" s="9" t="str">
        <f>IF(Table13[[#This Row],[template]]="","",Table13[[#This Row],[IP]]&amp;"_"&amp;Table13[[#This Row],[PARAM_NAME]]&amp;IF(Table13[[#This Row],[SUB]]="","","_"&amp;Table13[[#This Row],[SUB]]))</f>
        <v>ev_mevCodeA_2</v>
      </c>
      <c r="Q234" s="1" t="s">
        <v>262</v>
      </c>
      <c r="R234" s="1" t="s">
        <v>452</v>
      </c>
      <c r="S234" s="6" t="s">
        <v>243</v>
      </c>
      <c r="T234" s="20" t="str">
        <f>DEC2HEX(HEX2DEC(Table13[[#This Row],[Index]])/4+Table13[[#This Row],[SUB]],4)</f>
        <v>0402</v>
      </c>
      <c r="U234" s="6" t="s">
        <v>363</v>
      </c>
      <c r="V234" s="1" t="s">
        <v>254</v>
      </c>
      <c r="W234" s="16">
        <v>0</v>
      </c>
      <c r="X234" s="6" t="s">
        <v>363</v>
      </c>
      <c r="AA234" s="11">
        <f>IF(Table13[[#This Row],[template]]="","",VLOOKUP(Table13[[#This Row],[IP]],Table51117[],2,FALSE))</f>
        <v>1</v>
      </c>
      <c r="AB234" s="13" t="str">
        <f>IF(Table13[[#This Row],[template]]="","",DEC2HEX(VLOOKUP(Table13[[#This Row],[D1-Type]],Table351218[],2,FALSE),1)&amp;DEC2HEX(VLOOKUP(Table13[[#This Row],[D2-Type]],Table31016[],2,FALSE),1)&amp; DEC2HEX(Table13[[#This Row],[D2-Offset]],2)&amp;DEC2HEX(VLOOKUP(Table13[[#This Row],[D3-Type]],Table371319[],2,FALSE),1))</f>
        <v>01000</v>
      </c>
      <c r="AC234" s="14">
        <f>IF(Table13[[#This Row],[template]]="","",HEX2DEC(Table13[[#This Row],[Addr_Hex]]))</f>
        <v>1026</v>
      </c>
    </row>
    <row r="235" spans="2:29" x14ac:dyDescent="0.3">
      <c r="B235" s="13">
        <v>1000</v>
      </c>
      <c r="C235" s="4" t="s">
        <v>233</v>
      </c>
      <c r="D235" s="9" t="str">
        <f>UPPER(Table13[[#This Row],[SIGNAL]])</f>
        <v>EV_MEVCODEA_3</v>
      </c>
      <c r="E235" s="9" t="str">
        <f>IF(Table13[[#This Row],[template]]="","","0x"&amp;Table13[[#This Row],[IP_Index]]&amp;DEC2HEX(Table13[[#This Row],[Addr_Dec]]*4,7))</f>
        <v>0x1000100C</v>
      </c>
      <c r="F235" s="9" t="str">
        <f>IF(Table13[[#This Row],[template]]="","",VLOOKUP(Table13[[#This Row],[template]],Table2915[],2,FALSE))</f>
        <v>asynParamInt32</v>
      </c>
      <c r="G235" s="18" t="str">
        <f>IF(Table13[[#This Row],[template]]="","","1")</f>
        <v>1</v>
      </c>
      <c r="H235" s="10"/>
      <c r="I235" s="13" t="str">
        <f>IF(Table13[[#This Row],[template]]="","","0x"&amp;Table13[[#This Row],[D_Index]]&amp;"000")</f>
        <v>0x01000000</v>
      </c>
      <c r="J235" s="18"/>
      <c r="K235" s="10">
        <v>0</v>
      </c>
      <c r="L235" s="10"/>
      <c r="M235" s="11" t="str">
        <f>IF(Table13[[#This Row],[template]]="","",VLOOKUP(Table13[[#This Row],[template]],Table2915[],3,FALSE))</f>
        <v xml:space="preserve"> </v>
      </c>
      <c r="N235" s="10"/>
      <c r="O235" s="11"/>
      <c r="P235" s="9" t="str">
        <f>IF(Table13[[#This Row],[template]]="","",Table13[[#This Row],[IP]]&amp;"_"&amp;Table13[[#This Row],[PARAM_NAME]]&amp;IF(Table13[[#This Row],[SUB]]="","","_"&amp;Table13[[#This Row],[SUB]]))</f>
        <v>ev_mevCodeA_3</v>
      </c>
      <c r="Q235" s="1" t="s">
        <v>262</v>
      </c>
      <c r="R235" s="1" t="s">
        <v>452</v>
      </c>
      <c r="S235" s="6" t="s">
        <v>244</v>
      </c>
      <c r="T235" s="20" t="str">
        <f>DEC2HEX(HEX2DEC(Table13[[#This Row],[Index]])/4+Table13[[#This Row],[SUB]],4)</f>
        <v>0403</v>
      </c>
      <c r="U235" s="6" t="s">
        <v>363</v>
      </c>
      <c r="V235" s="1" t="s">
        <v>254</v>
      </c>
      <c r="W235" s="16">
        <v>0</v>
      </c>
      <c r="X235" s="6" t="s">
        <v>363</v>
      </c>
      <c r="AA235" s="11">
        <f>IF(Table13[[#This Row],[template]]="","",VLOOKUP(Table13[[#This Row],[IP]],Table51117[],2,FALSE))</f>
        <v>1</v>
      </c>
      <c r="AB235" s="13" t="str">
        <f>IF(Table13[[#This Row],[template]]="","",DEC2HEX(VLOOKUP(Table13[[#This Row],[D1-Type]],Table351218[],2,FALSE),1)&amp;DEC2HEX(VLOOKUP(Table13[[#This Row],[D2-Type]],Table31016[],2,FALSE),1)&amp; DEC2HEX(Table13[[#This Row],[D2-Offset]],2)&amp;DEC2HEX(VLOOKUP(Table13[[#This Row],[D3-Type]],Table371319[],2,FALSE),1))</f>
        <v>01000</v>
      </c>
      <c r="AC235" s="14">
        <f>IF(Table13[[#This Row],[template]]="","",HEX2DEC(Table13[[#This Row],[Addr_Hex]]))</f>
        <v>1027</v>
      </c>
    </row>
    <row r="236" spans="2:29" x14ac:dyDescent="0.3">
      <c r="B236" s="13">
        <v>1000</v>
      </c>
      <c r="C236" s="4" t="s">
        <v>233</v>
      </c>
      <c r="D236" s="9" t="str">
        <f>UPPER(Table13[[#This Row],[SIGNAL]])</f>
        <v>EV_MEVCODEA_4</v>
      </c>
      <c r="E236" s="9" t="str">
        <f>IF(Table13[[#This Row],[template]]="","","0x"&amp;Table13[[#This Row],[IP_Index]]&amp;DEC2HEX(Table13[[#This Row],[Addr_Dec]]*4,7))</f>
        <v>0x10001010</v>
      </c>
      <c r="F236" s="9" t="str">
        <f>IF(Table13[[#This Row],[template]]="","",VLOOKUP(Table13[[#This Row],[template]],Table2915[],2,FALSE))</f>
        <v>asynParamInt32</v>
      </c>
      <c r="G236" s="18" t="str">
        <f>IF(Table13[[#This Row],[template]]="","","1")</f>
        <v>1</v>
      </c>
      <c r="H236" s="10"/>
      <c r="I236" s="13" t="str">
        <f>IF(Table13[[#This Row],[template]]="","","0x"&amp;Table13[[#This Row],[D_Index]]&amp;"000")</f>
        <v>0x01000000</v>
      </c>
      <c r="J236" s="18"/>
      <c r="K236" s="10">
        <v>0</v>
      </c>
      <c r="L236" s="10"/>
      <c r="M236" s="11" t="str">
        <f>IF(Table13[[#This Row],[template]]="","",VLOOKUP(Table13[[#This Row],[template]],Table2915[],3,FALSE))</f>
        <v xml:space="preserve"> </v>
      </c>
      <c r="N236" s="10"/>
      <c r="O236" s="11"/>
      <c r="P236" s="9" t="str">
        <f>IF(Table13[[#This Row],[template]]="","",Table13[[#This Row],[IP]]&amp;"_"&amp;Table13[[#This Row],[PARAM_NAME]]&amp;IF(Table13[[#This Row],[SUB]]="","","_"&amp;Table13[[#This Row],[SUB]]))</f>
        <v>ev_mevCodeA_4</v>
      </c>
      <c r="Q236" s="1" t="s">
        <v>262</v>
      </c>
      <c r="R236" s="1" t="s">
        <v>452</v>
      </c>
      <c r="S236" s="6" t="s">
        <v>245</v>
      </c>
      <c r="T236" s="20" t="str">
        <f>DEC2HEX(HEX2DEC(Table13[[#This Row],[Index]])/4+Table13[[#This Row],[SUB]],4)</f>
        <v>0404</v>
      </c>
      <c r="U236" s="6" t="s">
        <v>363</v>
      </c>
      <c r="V236" s="1" t="s">
        <v>254</v>
      </c>
      <c r="W236" s="16">
        <v>0</v>
      </c>
      <c r="X236" s="6" t="s">
        <v>363</v>
      </c>
      <c r="AA236" s="11">
        <f>IF(Table13[[#This Row],[template]]="","",VLOOKUP(Table13[[#This Row],[IP]],Table51117[],2,FALSE))</f>
        <v>1</v>
      </c>
      <c r="AB236" s="13" t="str">
        <f>IF(Table13[[#This Row],[template]]="","",DEC2HEX(VLOOKUP(Table13[[#This Row],[D1-Type]],Table351218[],2,FALSE),1)&amp;DEC2HEX(VLOOKUP(Table13[[#This Row],[D2-Type]],Table31016[],2,FALSE),1)&amp; DEC2HEX(Table13[[#This Row],[D2-Offset]],2)&amp;DEC2HEX(VLOOKUP(Table13[[#This Row],[D3-Type]],Table371319[],2,FALSE),1))</f>
        <v>01000</v>
      </c>
      <c r="AC236" s="14">
        <f>IF(Table13[[#This Row],[template]]="","",HEX2DEC(Table13[[#This Row],[Addr_Hex]]))</f>
        <v>1028</v>
      </c>
    </row>
    <row r="237" spans="2:29" x14ac:dyDescent="0.3">
      <c r="B237" s="13">
        <v>1000</v>
      </c>
      <c r="C237" s="4" t="s">
        <v>233</v>
      </c>
      <c r="D237" s="9" t="str">
        <f>UPPER(Table13[[#This Row],[SIGNAL]])</f>
        <v>EV_MEVCODEA_5</v>
      </c>
      <c r="E237" s="9" t="str">
        <f>IF(Table13[[#This Row],[template]]="","","0x"&amp;Table13[[#This Row],[IP_Index]]&amp;DEC2HEX(Table13[[#This Row],[Addr_Dec]]*4,7))</f>
        <v>0x10001014</v>
      </c>
      <c r="F237" s="9" t="str">
        <f>IF(Table13[[#This Row],[template]]="","",VLOOKUP(Table13[[#This Row],[template]],Table2915[],2,FALSE))</f>
        <v>asynParamInt32</v>
      </c>
      <c r="G237" s="18" t="str">
        <f>IF(Table13[[#This Row],[template]]="","","1")</f>
        <v>1</v>
      </c>
      <c r="H237" s="10"/>
      <c r="I237" s="13" t="str">
        <f>IF(Table13[[#This Row],[template]]="","","0x"&amp;Table13[[#This Row],[D_Index]]&amp;"000")</f>
        <v>0x01000000</v>
      </c>
      <c r="J237" s="18"/>
      <c r="K237" s="10">
        <v>0</v>
      </c>
      <c r="L237" s="10"/>
      <c r="M237" s="11" t="str">
        <f>IF(Table13[[#This Row],[template]]="","",VLOOKUP(Table13[[#This Row],[template]],Table2915[],3,FALSE))</f>
        <v xml:space="preserve"> </v>
      </c>
      <c r="N237" s="10"/>
      <c r="O237" s="11"/>
      <c r="P237" s="9" t="str">
        <f>IF(Table13[[#This Row],[template]]="","",Table13[[#This Row],[IP]]&amp;"_"&amp;Table13[[#This Row],[PARAM_NAME]]&amp;IF(Table13[[#This Row],[SUB]]="","","_"&amp;Table13[[#This Row],[SUB]]))</f>
        <v>ev_mevCodeA_5</v>
      </c>
      <c r="Q237" s="1" t="s">
        <v>262</v>
      </c>
      <c r="R237" s="1" t="s">
        <v>452</v>
      </c>
      <c r="S237" s="6" t="s">
        <v>246</v>
      </c>
      <c r="T237" s="20" t="str">
        <f>DEC2HEX(HEX2DEC(Table13[[#This Row],[Index]])/4+Table13[[#This Row],[SUB]],4)</f>
        <v>0405</v>
      </c>
      <c r="U237" s="6" t="s">
        <v>363</v>
      </c>
      <c r="V237" s="1" t="s">
        <v>254</v>
      </c>
      <c r="W237" s="16">
        <v>0</v>
      </c>
      <c r="X237" s="6" t="s">
        <v>363</v>
      </c>
      <c r="AA237" s="11">
        <f>IF(Table13[[#This Row],[template]]="","",VLOOKUP(Table13[[#This Row],[IP]],Table51117[],2,FALSE))</f>
        <v>1</v>
      </c>
      <c r="AB237" s="13" t="str">
        <f>IF(Table13[[#This Row],[template]]="","",DEC2HEX(VLOOKUP(Table13[[#This Row],[D1-Type]],Table351218[],2,FALSE),1)&amp;DEC2HEX(VLOOKUP(Table13[[#This Row],[D2-Type]],Table31016[],2,FALSE),1)&amp; DEC2HEX(Table13[[#This Row],[D2-Offset]],2)&amp;DEC2HEX(VLOOKUP(Table13[[#This Row],[D3-Type]],Table371319[],2,FALSE),1))</f>
        <v>01000</v>
      </c>
      <c r="AC237" s="14">
        <f>IF(Table13[[#This Row],[template]]="","",HEX2DEC(Table13[[#This Row],[Addr_Hex]]))</f>
        <v>1029</v>
      </c>
    </row>
    <row r="238" spans="2:29" x14ac:dyDescent="0.3">
      <c r="B238" s="13">
        <v>1000</v>
      </c>
      <c r="C238" s="4" t="s">
        <v>233</v>
      </c>
      <c r="D238" s="9" t="str">
        <f>UPPER(Table13[[#This Row],[SIGNAL]])</f>
        <v>EV_MEVCODEA_6</v>
      </c>
      <c r="E238" s="9" t="str">
        <f>IF(Table13[[#This Row],[template]]="","","0x"&amp;Table13[[#This Row],[IP_Index]]&amp;DEC2HEX(Table13[[#This Row],[Addr_Dec]]*4,7))</f>
        <v>0x10001018</v>
      </c>
      <c r="F238" s="9" t="str">
        <f>IF(Table13[[#This Row],[template]]="","",VLOOKUP(Table13[[#This Row],[template]],Table2915[],2,FALSE))</f>
        <v>asynParamInt32</v>
      </c>
      <c r="G238" s="18" t="str">
        <f>IF(Table13[[#This Row],[template]]="","","1")</f>
        <v>1</v>
      </c>
      <c r="H238" s="10"/>
      <c r="I238" s="13" t="str">
        <f>IF(Table13[[#This Row],[template]]="","","0x"&amp;Table13[[#This Row],[D_Index]]&amp;"000")</f>
        <v>0x01000000</v>
      </c>
      <c r="J238" s="18"/>
      <c r="K238" s="10">
        <v>0</v>
      </c>
      <c r="L238" s="10"/>
      <c r="M238" s="11" t="str">
        <f>IF(Table13[[#This Row],[template]]="","",VLOOKUP(Table13[[#This Row],[template]],Table2915[],3,FALSE))</f>
        <v xml:space="preserve"> </v>
      </c>
      <c r="N238" s="10"/>
      <c r="O238" s="11"/>
      <c r="P238" s="9" t="str">
        <f>IF(Table13[[#This Row],[template]]="","",Table13[[#This Row],[IP]]&amp;"_"&amp;Table13[[#This Row],[PARAM_NAME]]&amp;IF(Table13[[#This Row],[SUB]]="","","_"&amp;Table13[[#This Row],[SUB]]))</f>
        <v>ev_mevCodeA_6</v>
      </c>
      <c r="Q238" s="1" t="s">
        <v>262</v>
      </c>
      <c r="R238" s="1" t="s">
        <v>452</v>
      </c>
      <c r="S238" s="6" t="s">
        <v>247</v>
      </c>
      <c r="T238" s="20" t="str">
        <f>DEC2HEX(HEX2DEC(Table13[[#This Row],[Index]])/4+Table13[[#This Row],[SUB]],4)</f>
        <v>0406</v>
      </c>
      <c r="U238" s="6" t="s">
        <v>363</v>
      </c>
      <c r="V238" s="1" t="s">
        <v>254</v>
      </c>
      <c r="W238" s="16">
        <v>0</v>
      </c>
      <c r="X238" s="6" t="s">
        <v>363</v>
      </c>
      <c r="AA238" s="11">
        <f>IF(Table13[[#This Row],[template]]="","",VLOOKUP(Table13[[#This Row],[IP]],Table51117[],2,FALSE))</f>
        <v>1</v>
      </c>
      <c r="AB238" s="13" t="str">
        <f>IF(Table13[[#This Row],[template]]="","",DEC2HEX(VLOOKUP(Table13[[#This Row],[D1-Type]],Table351218[],2,FALSE),1)&amp;DEC2HEX(VLOOKUP(Table13[[#This Row],[D2-Type]],Table31016[],2,FALSE),1)&amp; DEC2HEX(Table13[[#This Row],[D2-Offset]],2)&amp;DEC2HEX(VLOOKUP(Table13[[#This Row],[D3-Type]],Table371319[],2,FALSE),1))</f>
        <v>01000</v>
      </c>
      <c r="AC238" s="14">
        <f>IF(Table13[[#This Row],[template]]="","",HEX2DEC(Table13[[#This Row],[Addr_Hex]]))</f>
        <v>1030</v>
      </c>
    </row>
    <row r="239" spans="2:29" x14ac:dyDescent="0.3">
      <c r="B239" s="13">
        <v>1000</v>
      </c>
      <c r="C239" s="4" t="s">
        <v>233</v>
      </c>
      <c r="D239" s="9" t="str">
        <f>UPPER(Table13[[#This Row],[SIGNAL]])</f>
        <v>EV_MEVCODEA_7</v>
      </c>
      <c r="E239" s="9" t="str">
        <f>IF(Table13[[#This Row],[template]]="","","0x"&amp;Table13[[#This Row],[IP_Index]]&amp;DEC2HEX(Table13[[#This Row],[Addr_Dec]]*4,7))</f>
        <v>0x1000101C</v>
      </c>
      <c r="F239" s="9" t="str">
        <f>IF(Table13[[#This Row],[template]]="","",VLOOKUP(Table13[[#This Row],[template]],Table2915[],2,FALSE))</f>
        <v>asynParamInt32</v>
      </c>
      <c r="G239" s="18" t="str">
        <f>IF(Table13[[#This Row],[template]]="","","1")</f>
        <v>1</v>
      </c>
      <c r="H239" s="10"/>
      <c r="I239" s="13" t="str">
        <f>IF(Table13[[#This Row],[template]]="","","0x"&amp;Table13[[#This Row],[D_Index]]&amp;"000")</f>
        <v>0x01000000</v>
      </c>
      <c r="J239" s="18"/>
      <c r="K239" s="10">
        <v>0</v>
      </c>
      <c r="L239" s="10"/>
      <c r="M239" s="11" t="str">
        <f>IF(Table13[[#This Row],[template]]="","",VLOOKUP(Table13[[#This Row],[template]],Table2915[],3,FALSE))</f>
        <v xml:space="preserve"> </v>
      </c>
      <c r="N239" s="10"/>
      <c r="O239" s="11"/>
      <c r="P239" s="9" t="str">
        <f>IF(Table13[[#This Row],[template]]="","",Table13[[#This Row],[IP]]&amp;"_"&amp;Table13[[#This Row],[PARAM_NAME]]&amp;IF(Table13[[#This Row],[SUB]]="","","_"&amp;Table13[[#This Row],[SUB]]))</f>
        <v>ev_mevCodeA_7</v>
      </c>
      <c r="Q239" s="1" t="s">
        <v>262</v>
      </c>
      <c r="R239" s="1" t="s">
        <v>452</v>
      </c>
      <c r="S239" s="6" t="s">
        <v>248</v>
      </c>
      <c r="T239" s="20" t="str">
        <f>DEC2HEX(HEX2DEC(Table13[[#This Row],[Index]])/4+Table13[[#This Row],[SUB]],4)</f>
        <v>0407</v>
      </c>
      <c r="U239" s="6" t="s">
        <v>363</v>
      </c>
      <c r="V239" s="1" t="s">
        <v>254</v>
      </c>
      <c r="W239" s="16">
        <v>0</v>
      </c>
      <c r="X239" s="6" t="s">
        <v>363</v>
      </c>
      <c r="AA239" s="11">
        <f>IF(Table13[[#This Row],[template]]="","",VLOOKUP(Table13[[#This Row],[IP]],Table51117[],2,FALSE))</f>
        <v>1</v>
      </c>
      <c r="AB239" s="13" t="str">
        <f>IF(Table13[[#This Row],[template]]="","",DEC2HEX(VLOOKUP(Table13[[#This Row],[D1-Type]],Table351218[],2,FALSE),1)&amp;DEC2HEX(VLOOKUP(Table13[[#This Row],[D2-Type]],Table31016[],2,FALSE),1)&amp; DEC2HEX(Table13[[#This Row],[D2-Offset]],2)&amp;DEC2HEX(VLOOKUP(Table13[[#This Row],[D3-Type]],Table371319[],2,FALSE),1))</f>
        <v>01000</v>
      </c>
      <c r="AC239" s="14">
        <f>IF(Table13[[#This Row],[template]]="","",HEX2DEC(Table13[[#This Row],[Addr_Hex]]))</f>
        <v>1031</v>
      </c>
    </row>
    <row r="240" spans="2:29" x14ac:dyDescent="0.3">
      <c r="B240" s="13">
        <v>1000</v>
      </c>
      <c r="C240" s="4" t="s">
        <v>233</v>
      </c>
      <c r="D240" s="9" t="str">
        <f>UPPER(Table13[[#This Row],[SIGNAL]])</f>
        <v>EV_MEVCODEA_8</v>
      </c>
      <c r="E240" s="9" t="str">
        <f>IF(Table13[[#This Row],[template]]="","","0x"&amp;Table13[[#This Row],[IP_Index]]&amp;DEC2HEX(Table13[[#This Row],[Addr_Dec]]*4,7))</f>
        <v>0x10001020</v>
      </c>
      <c r="F240" s="9" t="str">
        <f>IF(Table13[[#This Row],[template]]="","",VLOOKUP(Table13[[#This Row],[template]],Table2915[],2,FALSE))</f>
        <v>asynParamInt32</v>
      </c>
      <c r="G240" s="18" t="str">
        <f>IF(Table13[[#This Row],[template]]="","","1")</f>
        <v>1</v>
      </c>
      <c r="H240" s="10"/>
      <c r="I240" s="13" t="str">
        <f>IF(Table13[[#This Row],[template]]="","","0x"&amp;Table13[[#This Row],[D_Index]]&amp;"000")</f>
        <v>0x01000000</v>
      </c>
      <c r="J240" s="18"/>
      <c r="K240" s="10">
        <v>0</v>
      </c>
      <c r="L240" s="10"/>
      <c r="M240" s="11" t="str">
        <f>IF(Table13[[#This Row],[template]]="","",VLOOKUP(Table13[[#This Row],[template]],Table2915[],3,FALSE))</f>
        <v xml:space="preserve"> </v>
      </c>
      <c r="N240" s="10"/>
      <c r="O240" s="11"/>
      <c r="P240" s="9" t="str">
        <f>IF(Table13[[#This Row],[template]]="","",Table13[[#This Row],[IP]]&amp;"_"&amp;Table13[[#This Row],[PARAM_NAME]]&amp;IF(Table13[[#This Row],[SUB]]="","","_"&amp;Table13[[#This Row],[SUB]]))</f>
        <v>ev_mevCodeA_8</v>
      </c>
      <c r="Q240" s="1" t="s">
        <v>262</v>
      </c>
      <c r="R240" s="1" t="s">
        <v>452</v>
      </c>
      <c r="S240" s="6" t="s">
        <v>249</v>
      </c>
      <c r="T240" s="20" t="str">
        <f>DEC2HEX(HEX2DEC(Table13[[#This Row],[Index]])/4+Table13[[#This Row],[SUB]],4)</f>
        <v>0408</v>
      </c>
      <c r="U240" s="6" t="s">
        <v>363</v>
      </c>
      <c r="V240" s="1" t="s">
        <v>254</v>
      </c>
      <c r="W240" s="16">
        <v>0</v>
      </c>
      <c r="X240" s="6" t="s">
        <v>363</v>
      </c>
      <c r="AA240" s="11">
        <f>IF(Table13[[#This Row],[template]]="","",VLOOKUP(Table13[[#This Row],[IP]],Table51117[],2,FALSE))</f>
        <v>1</v>
      </c>
      <c r="AB240" s="13" t="str">
        <f>IF(Table13[[#This Row],[template]]="","",DEC2HEX(VLOOKUP(Table13[[#This Row],[D1-Type]],Table351218[],2,FALSE),1)&amp;DEC2HEX(VLOOKUP(Table13[[#This Row],[D2-Type]],Table31016[],2,FALSE),1)&amp; DEC2HEX(Table13[[#This Row],[D2-Offset]],2)&amp;DEC2HEX(VLOOKUP(Table13[[#This Row],[D3-Type]],Table371319[],2,FALSE),1))</f>
        <v>01000</v>
      </c>
      <c r="AC240" s="14">
        <f>IF(Table13[[#This Row],[template]]="","",HEX2DEC(Table13[[#This Row],[Addr_Hex]]))</f>
        <v>1032</v>
      </c>
    </row>
    <row r="241" spans="2:29" x14ac:dyDescent="0.3">
      <c r="B241" s="13">
        <v>1000</v>
      </c>
      <c r="C241" s="4" t="s">
        <v>233</v>
      </c>
      <c r="D241" s="9" t="str">
        <f>UPPER(Table13[[#This Row],[SIGNAL]])</f>
        <v>EV_MEVCODEA_9</v>
      </c>
      <c r="E241" s="9" t="str">
        <f>IF(Table13[[#This Row],[template]]="","","0x"&amp;Table13[[#This Row],[IP_Index]]&amp;DEC2HEX(Table13[[#This Row],[Addr_Dec]]*4,7))</f>
        <v>0x10001024</v>
      </c>
      <c r="F241" s="9" t="str">
        <f>IF(Table13[[#This Row],[template]]="","",VLOOKUP(Table13[[#This Row],[template]],Table2915[],2,FALSE))</f>
        <v>asynParamInt32</v>
      </c>
      <c r="G241" s="18" t="str">
        <f>IF(Table13[[#This Row],[template]]="","","1")</f>
        <v>1</v>
      </c>
      <c r="H241" s="10"/>
      <c r="I241" s="13" t="str">
        <f>IF(Table13[[#This Row],[template]]="","","0x"&amp;Table13[[#This Row],[D_Index]]&amp;"000")</f>
        <v>0x01000000</v>
      </c>
      <c r="J241" s="18"/>
      <c r="K241" s="10">
        <v>0</v>
      </c>
      <c r="L241" s="10"/>
      <c r="M241" s="11" t="str">
        <f>IF(Table13[[#This Row],[template]]="","",VLOOKUP(Table13[[#This Row],[template]],Table2915[],3,FALSE))</f>
        <v xml:space="preserve"> </v>
      </c>
      <c r="N241" s="10"/>
      <c r="O241" s="11"/>
      <c r="P241" s="9" t="str">
        <f>IF(Table13[[#This Row],[template]]="","",Table13[[#This Row],[IP]]&amp;"_"&amp;Table13[[#This Row],[PARAM_NAME]]&amp;IF(Table13[[#This Row],[SUB]]="","","_"&amp;Table13[[#This Row],[SUB]]))</f>
        <v>ev_mevCodeA_9</v>
      </c>
      <c r="Q241" s="1" t="s">
        <v>262</v>
      </c>
      <c r="R241" s="1" t="s">
        <v>452</v>
      </c>
      <c r="S241" s="6" t="s">
        <v>250</v>
      </c>
      <c r="T241" s="20" t="str">
        <f>DEC2HEX(HEX2DEC(Table13[[#This Row],[Index]])/4+Table13[[#This Row],[SUB]],4)</f>
        <v>0409</v>
      </c>
      <c r="U241" s="6" t="s">
        <v>363</v>
      </c>
      <c r="V241" s="1" t="s">
        <v>254</v>
      </c>
      <c r="W241" s="16">
        <v>0</v>
      </c>
      <c r="X241" s="6" t="s">
        <v>363</v>
      </c>
      <c r="AA241" s="11">
        <f>IF(Table13[[#This Row],[template]]="","",VLOOKUP(Table13[[#This Row],[IP]],Table51117[],2,FALSE))</f>
        <v>1</v>
      </c>
      <c r="AB241" s="13" t="str">
        <f>IF(Table13[[#This Row],[template]]="","",DEC2HEX(VLOOKUP(Table13[[#This Row],[D1-Type]],Table351218[],2,FALSE),1)&amp;DEC2HEX(VLOOKUP(Table13[[#This Row],[D2-Type]],Table31016[],2,FALSE),1)&amp; DEC2HEX(Table13[[#This Row],[D2-Offset]],2)&amp;DEC2HEX(VLOOKUP(Table13[[#This Row],[D3-Type]],Table371319[],2,FALSE),1))</f>
        <v>01000</v>
      </c>
      <c r="AC241" s="14">
        <f>IF(Table13[[#This Row],[template]]="","",HEX2DEC(Table13[[#This Row],[Addr_Hex]]))</f>
        <v>1033</v>
      </c>
    </row>
    <row r="242" spans="2:29" x14ac:dyDescent="0.3">
      <c r="B242" s="13">
        <v>1000</v>
      </c>
      <c r="C242" s="4" t="s">
        <v>233</v>
      </c>
      <c r="D242" s="9" t="str">
        <f>UPPER(Table13[[#This Row],[SIGNAL]])</f>
        <v>EV_MEVCODEA_10</v>
      </c>
      <c r="E242" s="9" t="str">
        <f>IF(Table13[[#This Row],[template]]="","","0x"&amp;Table13[[#This Row],[IP_Index]]&amp;DEC2HEX(Table13[[#This Row],[Addr_Dec]]*4,7))</f>
        <v>0x10001028</v>
      </c>
      <c r="F242" s="9" t="str">
        <f>IF(Table13[[#This Row],[template]]="","",VLOOKUP(Table13[[#This Row],[template]],Table2915[],2,FALSE))</f>
        <v>asynParamInt32</v>
      </c>
      <c r="G242" s="18" t="str">
        <f>IF(Table13[[#This Row],[template]]="","","1")</f>
        <v>1</v>
      </c>
      <c r="H242" s="10"/>
      <c r="I242" s="13" t="str">
        <f>IF(Table13[[#This Row],[template]]="","","0x"&amp;Table13[[#This Row],[D_Index]]&amp;"000")</f>
        <v>0x01000000</v>
      </c>
      <c r="J242" s="18"/>
      <c r="K242" s="10">
        <v>0</v>
      </c>
      <c r="L242" s="10"/>
      <c r="M242" s="11" t="str">
        <f>IF(Table13[[#This Row],[template]]="","",VLOOKUP(Table13[[#This Row],[template]],Table2915[],3,FALSE))</f>
        <v xml:space="preserve"> </v>
      </c>
      <c r="N242" s="10"/>
      <c r="O242" s="11"/>
      <c r="P242" s="9" t="str">
        <f>IF(Table13[[#This Row],[template]]="","",Table13[[#This Row],[IP]]&amp;"_"&amp;Table13[[#This Row],[PARAM_NAME]]&amp;IF(Table13[[#This Row],[SUB]]="","","_"&amp;Table13[[#This Row],[SUB]]))</f>
        <v>ev_mevCodeA_10</v>
      </c>
      <c r="Q242" s="1" t="s">
        <v>262</v>
      </c>
      <c r="R242" s="1" t="s">
        <v>452</v>
      </c>
      <c r="S242" s="6" t="s">
        <v>273</v>
      </c>
      <c r="T242" s="20" t="str">
        <f>DEC2HEX(HEX2DEC(Table13[[#This Row],[Index]])/4+Table13[[#This Row],[SUB]],4)</f>
        <v>040A</v>
      </c>
      <c r="U242" s="6" t="s">
        <v>363</v>
      </c>
      <c r="V242" s="1" t="s">
        <v>254</v>
      </c>
      <c r="W242" s="16">
        <v>0</v>
      </c>
      <c r="X242" s="6" t="s">
        <v>363</v>
      </c>
      <c r="AA242" s="11">
        <f>IF(Table13[[#This Row],[template]]="","",VLOOKUP(Table13[[#This Row],[IP]],Table51117[],2,FALSE))</f>
        <v>1</v>
      </c>
      <c r="AB242" s="13" t="str">
        <f>IF(Table13[[#This Row],[template]]="","",DEC2HEX(VLOOKUP(Table13[[#This Row],[D1-Type]],Table351218[],2,FALSE),1)&amp;DEC2HEX(VLOOKUP(Table13[[#This Row],[D2-Type]],Table31016[],2,FALSE),1)&amp; DEC2HEX(Table13[[#This Row],[D2-Offset]],2)&amp;DEC2HEX(VLOOKUP(Table13[[#This Row],[D3-Type]],Table371319[],2,FALSE),1))</f>
        <v>01000</v>
      </c>
      <c r="AC242" s="14">
        <f>IF(Table13[[#This Row],[template]]="","",HEX2DEC(Table13[[#This Row],[Addr_Hex]]))</f>
        <v>1034</v>
      </c>
    </row>
    <row r="243" spans="2:29" x14ac:dyDescent="0.3">
      <c r="B243" s="13">
        <v>1000</v>
      </c>
      <c r="C243" s="4" t="s">
        <v>233</v>
      </c>
      <c r="D243" s="9" t="str">
        <f>UPPER(Table13[[#This Row],[SIGNAL]])</f>
        <v>EV_MEVCODEA_11</v>
      </c>
      <c r="E243" s="9" t="str">
        <f>IF(Table13[[#This Row],[template]]="","","0x"&amp;Table13[[#This Row],[IP_Index]]&amp;DEC2HEX(Table13[[#This Row],[Addr_Dec]]*4,7))</f>
        <v>0x1000102C</v>
      </c>
      <c r="F243" s="9" t="str">
        <f>IF(Table13[[#This Row],[template]]="","",VLOOKUP(Table13[[#This Row],[template]],Table2915[],2,FALSE))</f>
        <v>asynParamInt32</v>
      </c>
      <c r="G243" s="18" t="str">
        <f>IF(Table13[[#This Row],[template]]="","","1")</f>
        <v>1</v>
      </c>
      <c r="H243" s="10"/>
      <c r="I243" s="13" t="str">
        <f>IF(Table13[[#This Row],[template]]="","","0x"&amp;Table13[[#This Row],[D_Index]]&amp;"000")</f>
        <v>0x01000000</v>
      </c>
      <c r="J243" s="18"/>
      <c r="K243" s="10">
        <v>0</v>
      </c>
      <c r="L243" s="10"/>
      <c r="M243" s="11" t="str">
        <f>IF(Table13[[#This Row],[template]]="","",VLOOKUP(Table13[[#This Row],[template]],Table2915[],3,FALSE))</f>
        <v xml:space="preserve"> </v>
      </c>
      <c r="N243" s="10"/>
      <c r="O243" s="11"/>
      <c r="P243" s="9" t="str">
        <f>IF(Table13[[#This Row],[template]]="","",Table13[[#This Row],[IP]]&amp;"_"&amp;Table13[[#This Row],[PARAM_NAME]]&amp;IF(Table13[[#This Row],[SUB]]="","","_"&amp;Table13[[#This Row],[SUB]]))</f>
        <v>ev_mevCodeA_11</v>
      </c>
      <c r="Q243" s="1" t="s">
        <v>262</v>
      </c>
      <c r="R243" s="1" t="s">
        <v>452</v>
      </c>
      <c r="S243" s="6" t="s">
        <v>274</v>
      </c>
      <c r="T243" s="20" t="str">
        <f>DEC2HEX(HEX2DEC(Table13[[#This Row],[Index]])/4+Table13[[#This Row],[SUB]],4)</f>
        <v>040B</v>
      </c>
      <c r="U243" s="6" t="s">
        <v>363</v>
      </c>
      <c r="V243" s="1" t="s">
        <v>254</v>
      </c>
      <c r="W243" s="16">
        <v>0</v>
      </c>
      <c r="X243" s="6" t="s">
        <v>363</v>
      </c>
      <c r="AA243" s="11">
        <f>IF(Table13[[#This Row],[template]]="","",VLOOKUP(Table13[[#This Row],[IP]],Table51117[],2,FALSE))</f>
        <v>1</v>
      </c>
      <c r="AB243" s="13" t="str">
        <f>IF(Table13[[#This Row],[template]]="","",DEC2HEX(VLOOKUP(Table13[[#This Row],[D1-Type]],Table351218[],2,FALSE),1)&amp;DEC2HEX(VLOOKUP(Table13[[#This Row],[D2-Type]],Table31016[],2,FALSE),1)&amp; DEC2HEX(Table13[[#This Row],[D2-Offset]],2)&amp;DEC2HEX(VLOOKUP(Table13[[#This Row],[D3-Type]],Table371319[],2,FALSE),1))</f>
        <v>01000</v>
      </c>
      <c r="AC243" s="14">
        <f>IF(Table13[[#This Row],[template]]="","",HEX2DEC(Table13[[#This Row],[Addr_Hex]]))</f>
        <v>1035</v>
      </c>
    </row>
    <row r="244" spans="2:29" x14ac:dyDescent="0.3">
      <c r="B244" s="13">
        <v>1000</v>
      </c>
      <c r="C244" s="4" t="s">
        <v>233</v>
      </c>
      <c r="D244" s="9" t="str">
        <f>UPPER(Table13[[#This Row],[SIGNAL]])</f>
        <v>EV_MEVCODEA_12</v>
      </c>
      <c r="E244" s="9" t="str">
        <f>IF(Table13[[#This Row],[template]]="","","0x"&amp;Table13[[#This Row],[IP_Index]]&amp;DEC2HEX(Table13[[#This Row],[Addr_Dec]]*4,7))</f>
        <v>0x10001030</v>
      </c>
      <c r="F244" s="9" t="str">
        <f>IF(Table13[[#This Row],[template]]="","",VLOOKUP(Table13[[#This Row],[template]],Table2915[],2,FALSE))</f>
        <v>asynParamInt32</v>
      </c>
      <c r="G244" s="18" t="str">
        <f>IF(Table13[[#This Row],[template]]="","","1")</f>
        <v>1</v>
      </c>
      <c r="H244" s="10"/>
      <c r="I244" s="13" t="str">
        <f>IF(Table13[[#This Row],[template]]="","","0x"&amp;Table13[[#This Row],[D_Index]]&amp;"000")</f>
        <v>0x01000000</v>
      </c>
      <c r="J244" s="18"/>
      <c r="K244" s="10">
        <v>0</v>
      </c>
      <c r="L244" s="10"/>
      <c r="M244" s="11" t="str">
        <f>IF(Table13[[#This Row],[template]]="","",VLOOKUP(Table13[[#This Row],[template]],Table2915[],3,FALSE))</f>
        <v xml:space="preserve"> </v>
      </c>
      <c r="N244" s="10"/>
      <c r="O244" s="11"/>
      <c r="P244" s="9" t="str">
        <f>IF(Table13[[#This Row],[template]]="","",Table13[[#This Row],[IP]]&amp;"_"&amp;Table13[[#This Row],[PARAM_NAME]]&amp;IF(Table13[[#This Row],[SUB]]="","","_"&amp;Table13[[#This Row],[SUB]]))</f>
        <v>ev_mevCodeA_12</v>
      </c>
      <c r="Q244" s="1" t="s">
        <v>262</v>
      </c>
      <c r="R244" s="1" t="s">
        <v>452</v>
      </c>
      <c r="S244" s="6" t="s">
        <v>275</v>
      </c>
      <c r="T244" s="20" t="str">
        <f>DEC2HEX(HEX2DEC(Table13[[#This Row],[Index]])/4+Table13[[#This Row],[SUB]],4)</f>
        <v>040C</v>
      </c>
      <c r="U244" s="6" t="s">
        <v>363</v>
      </c>
      <c r="V244" s="1" t="s">
        <v>254</v>
      </c>
      <c r="W244" s="16">
        <v>0</v>
      </c>
      <c r="X244" s="6" t="s">
        <v>363</v>
      </c>
      <c r="AA244" s="11">
        <f>IF(Table13[[#This Row],[template]]="","",VLOOKUP(Table13[[#This Row],[IP]],Table51117[],2,FALSE))</f>
        <v>1</v>
      </c>
      <c r="AB244" s="13" t="str">
        <f>IF(Table13[[#This Row],[template]]="","",DEC2HEX(VLOOKUP(Table13[[#This Row],[D1-Type]],Table351218[],2,FALSE),1)&amp;DEC2HEX(VLOOKUP(Table13[[#This Row],[D2-Type]],Table31016[],2,FALSE),1)&amp; DEC2HEX(Table13[[#This Row],[D2-Offset]],2)&amp;DEC2HEX(VLOOKUP(Table13[[#This Row],[D3-Type]],Table371319[],2,FALSE),1))</f>
        <v>01000</v>
      </c>
      <c r="AC244" s="14">
        <f>IF(Table13[[#This Row],[template]]="","",HEX2DEC(Table13[[#This Row],[Addr_Hex]]))</f>
        <v>1036</v>
      </c>
    </row>
    <row r="245" spans="2:29" x14ac:dyDescent="0.3">
      <c r="B245" s="13">
        <v>1000</v>
      </c>
      <c r="C245" s="4" t="s">
        <v>233</v>
      </c>
      <c r="D245" s="9" t="str">
        <f>UPPER(Table13[[#This Row],[SIGNAL]])</f>
        <v>EV_MEVCODEA_13</v>
      </c>
      <c r="E245" s="9" t="str">
        <f>IF(Table13[[#This Row],[template]]="","","0x"&amp;Table13[[#This Row],[IP_Index]]&amp;DEC2HEX(Table13[[#This Row],[Addr_Dec]]*4,7))</f>
        <v>0x10001034</v>
      </c>
      <c r="F245" s="9" t="str">
        <f>IF(Table13[[#This Row],[template]]="","",VLOOKUP(Table13[[#This Row],[template]],Table2915[],2,FALSE))</f>
        <v>asynParamInt32</v>
      </c>
      <c r="G245" s="18" t="str">
        <f>IF(Table13[[#This Row],[template]]="","","1")</f>
        <v>1</v>
      </c>
      <c r="H245" s="10"/>
      <c r="I245" s="13" t="str">
        <f>IF(Table13[[#This Row],[template]]="","","0x"&amp;Table13[[#This Row],[D_Index]]&amp;"000")</f>
        <v>0x01000000</v>
      </c>
      <c r="J245" s="18"/>
      <c r="K245" s="10">
        <v>0</v>
      </c>
      <c r="L245" s="10"/>
      <c r="M245" s="11" t="str">
        <f>IF(Table13[[#This Row],[template]]="","",VLOOKUP(Table13[[#This Row],[template]],Table2915[],3,FALSE))</f>
        <v xml:space="preserve"> </v>
      </c>
      <c r="N245" s="10"/>
      <c r="O245" s="11"/>
      <c r="P245" s="9" t="str">
        <f>IF(Table13[[#This Row],[template]]="","",Table13[[#This Row],[IP]]&amp;"_"&amp;Table13[[#This Row],[PARAM_NAME]]&amp;IF(Table13[[#This Row],[SUB]]="","","_"&amp;Table13[[#This Row],[SUB]]))</f>
        <v>ev_mevCodeA_13</v>
      </c>
      <c r="Q245" s="1" t="s">
        <v>262</v>
      </c>
      <c r="R245" s="1" t="s">
        <v>452</v>
      </c>
      <c r="S245" s="6" t="s">
        <v>276</v>
      </c>
      <c r="T245" s="20" t="str">
        <f>DEC2HEX(HEX2DEC(Table13[[#This Row],[Index]])/4+Table13[[#This Row],[SUB]],4)</f>
        <v>040D</v>
      </c>
      <c r="U245" s="6" t="s">
        <v>363</v>
      </c>
      <c r="V245" s="1" t="s">
        <v>254</v>
      </c>
      <c r="W245" s="16">
        <v>0</v>
      </c>
      <c r="X245" s="6" t="s">
        <v>363</v>
      </c>
      <c r="AA245" s="11">
        <f>IF(Table13[[#This Row],[template]]="","",VLOOKUP(Table13[[#This Row],[IP]],Table51117[],2,FALSE))</f>
        <v>1</v>
      </c>
      <c r="AB245" s="13" t="str">
        <f>IF(Table13[[#This Row],[template]]="","",DEC2HEX(VLOOKUP(Table13[[#This Row],[D1-Type]],Table351218[],2,FALSE),1)&amp;DEC2HEX(VLOOKUP(Table13[[#This Row],[D2-Type]],Table31016[],2,FALSE),1)&amp; DEC2HEX(Table13[[#This Row],[D2-Offset]],2)&amp;DEC2HEX(VLOOKUP(Table13[[#This Row],[D3-Type]],Table371319[],2,FALSE),1))</f>
        <v>01000</v>
      </c>
      <c r="AC245" s="14">
        <f>IF(Table13[[#This Row],[template]]="","",HEX2DEC(Table13[[#This Row],[Addr_Hex]]))</f>
        <v>1037</v>
      </c>
    </row>
    <row r="246" spans="2:29" x14ac:dyDescent="0.3">
      <c r="B246" s="13">
        <v>1000</v>
      </c>
      <c r="C246" s="4" t="s">
        <v>233</v>
      </c>
      <c r="D246" s="9" t="str">
        <f>UPPER(Table13[[#This Row],[SIGNAL]])</f>
        <v>EV_MEVCODEA_14</v>
      </c>
      <c r="E246" s="9" t="str">
        <f>IF(Table13[[#This Row],[template]]="","","0x"&amp;Table13[[#This Row],[IP_Index]]&amp;DEC2HEX(Table13[[#This Row],[Addr_Dec]]*4,7))</f>
        <v>0x10001038</v>
      </c>
      <c r="F246" s="9" t="str">
        <f>IF(Table13[[#This Row],[template]]="","",VLOOKUP(Table13[[#This Row],[template]],Table2915[],2,FALSE))</f>
        <v>asynParamInt32</v>
      </c>
      <c r="G246" s="18" t="str">
        <f>IF(Table13[[#This Row],[template]]="","","1")</f>
        <v>1</v>
      </c>
      <c r="H246" s="10"/>
      <c r="I246" s="13" t="str">
        <f>IF(Table13[[#This Row],[template]]="","","0x"&amp;Table13[[#This Row],[D_Index]]&amp;"000")</f>
        <v>0x01000000</v>
      </c>
      <c r="J246" s="18"/>
      <c r="K246" s="10">
        <v>0</v>
      </c>
      <c r="L246" s="10"/>
      <c r="M246" s="11" t="str">
        <f>IF(Table13[[#This Row],[template]]="","",VLOOKUP(Table13[[#This Row],[template]],Table2915[],3,FALSE))</f>
        <v xml:space="preserve"> </v>
      </c>
      <c r="N246" s="10"/>
      <c r="O246" s="11"/>
      <c r="P246" s="9" t="str">
        <f>IF(Table13[[#This Row],[template]]="","",Table13[[#This Row],[IP]]&amp;"_"&amp;Table13[[#This Row],[PARAM_NAME]]&amp;IF(Table13[[#This Row],[SUB]]="","","_"&amp;Table13[[#This Row],[SUB]]))</f>
        <v>ev_mevCodeA_14</v>
      </c>
      <c r="Q246" s="1" t="s">
        <v>262</v>
      </c>
      <c r="R246" s="1" t="s">
        <v>452</v>
      </c>
      <c r="S246" s="6" t="s">
        <v>277</v>
      </c>
      <c r="T246" s="20" t="str">
        <f>DEC2HEX(HEX2DEC(Table13[[#This Row],[Index]])/4+Table13[[#This Row],[SUB]],4)</f>
        <v>040E</v>
      </c>
      <c r="U246" s="6" t="s">
        <v>363</v>
      </c>
      <c r="V246" s="1" t="s">
        <v>254</v>
      </c>
      <c r="W246" s="16">
        <v>0</v>
      </c>
      <c r="X246" s="6" t="s">
        <v>363</v>
      </c>
      <c r="AA246" s="11">
        <f>IF(Table13[[#This Row],[template]]="","",VLOOKUP(Table13[[#This Row],[IP]],Table51117[],2,FALSE))</f>
        <v>1</v>
      </c>
      <c r="AB246" s="13" t="str">
        <f>IF(Table13[[#This Row],[template]]="","",DEC2HEX(VLOOKUP(Table13[[#This Row],[D1-Type]],Table351218[],2,FALSE),1)&amp;DEC2HEX(VLOOKUP(Table13[[#This Row],[D2-Type]],Table31016[],2,FALSE),1)&amp; DEC2HEX(Table13[[#This Row],[D2-Offset]],2)&amp;DEC2HEX(VLOOKUP(Table13[[#This Row],[D3-Type]],Table371319[],2,FALSE),1))</f>
        <v>01000</v>
      </c>
      <c r="AC246" s="14">
        <f>IF(Table13[[#This Row],[template]]="","",HEX2DEC(Table13[[#This Row],[Addr_Hex]]))</f>
        <v>1038</v>
      </c>
    </row>
    <row r="247" spans="2:29" x14ac:dyDescent="0.3">
      <c r="B247" s="13">
        <v>1000</v>
      </c>
      <c r="C247" s="4" t="s">
        <v>233</v>
      </c>
      <c r="D247" s="9" t="str">
        <f>UPPER(Table13[[#This Row],[SIGNAL]])</f>
        <v>EV_MEVCODEA_15</v>
      </c>
      <c r="E247" s="9" t="str">
        <f>IF(Table13[[#This Row],[template]]="","","0x"&amp;Table13[[#This Row],[IP_Index]]&amp;DEC2HEX(Table13[[#This Row],[Addr_Dec]]*4,7))</f>
        <v>0x1000103C</v>
      </c>
      <c r="F247" s="9" t="str">
        <f>IF(Table13[[#This Row],[template]]="","",VLOOKUP(Table13[[#This Row],[template]],Table2915[],2,FALSE))</f>
        <v>asynParamInt32</v>
      </c>
      <c r="G247" s="18" t="str">
        <f>IF(Table13[[#This Row],[template]]="","","1")</f>
        <v>1</v>
      </c>
      <c r="H247" s="10"/>
      <c r="I247" s="13" t="str">
        <f>IF(Table13[[#This Row],[template]]="","","0x"&amp;Table13[[#This Row],[D_Index]]&amp;"000")</f>
        <v>0x01000000</v>
      </c>
      <c r="J247" s="18"/>
      <c r="K247" s="10">
        <v>0</v>
      </c>
      <c r="L247" s="10"/>
      <c r="M247" s="11" t="str">
        <f>IF(Table13[[#This Row],[template]]="","",VLOOKUP(Table13[[#This Row],[template]],Table2915[],3,FALSE))</f>
        <v xml:space="preserve"> </v>
      </c>
      <c r="N247" s="10"/>
      <c r="O247" s="11"/>
      <c r="P247" s="9" t="str">
        <f>IF(Table13[[#This Row],[template]]="","",Table13[[#This Row],[IP]]&amp;"_"&amp;Table13[[#This Row],[PARAM_NAME]]&amp;IF(Table13[[#This Row],[SUB]]="","","_"&amp;Table13[[#This Row],[SUB]]))</f>
        <v>ev_mevCodeA_15</v>
      </c>
      <c r="Q247" s="1" t="s">
        <v>262</v>
      </c>
      <c r="R247" s="1" t="s">
        <v>452</v>
      </c>
      <c r="S247" s="6" t="s">
        <v>278</v>
      </c>
      <c r="T247" s="20" t="str">
        <f>DEC2HEX(HEX2DEC(Table13[[#This Row],[Index]])/4+Table13[[#This Row],[SUB]],4)</f>
        <v>040F</v>
      </c>
      <c r="U247" s="6" t="s">
        <v>363</v>
      </c>
      <c r="V247" s="1" t="s">
        <v>254</v>
      </c>
      <c r="W247" s="16">
        <v>0</v>
      </c>
      <c r="X247" s="6" t="s">
        <v>363</v>
      </c>
      <c r="AA247" s="11">
        <f>IF(Table13[[#This Row],[template]]="","",VLOOKUP(Table13[[#This Row],[IP]],Table51117[],2,FALSE))</f>
        <v>1</v>
      </c>
      <c r="AB247" s="13" t="str">
        <f>IF(Table13[[#This Row],[template]]="","",DEC2HEX(VLOOKUP(Table13[[#This Row],[D1-Type]],Table351218[],2,FALSE),1)&amp;DEC2HEX(VLOOKUP(Table13[[#This Row],[D2-Type]],Table31016[],2,FALSE),1)&amp; DEC2HEX(Table13[[#This Row],[D2-Offset]],2)&amp;DEC2HEX(VLOOKUP(Table13[[#This Row],[D3-Type]],Table371319[],2,FALSE),1))</f>
        <v>01000</v>
      </c>
      <c r="AC247" s="14">
        <f>IF(Table13[[#This Row],[template]]="","",HEX2DEC(Table13[[#This Row],[Addr_Hex]]))</f>
        <v>1039</v>
      </c>
    </row>
    <row r="248" spans="2:29" x14ac:dyDescent="0.3">
      <c r="B248" s="13">
        <v>1000</v>
      </c>
      <c r="C248" s="4" t="s">
        <v>233</v>
      </c>
      <c r="D248" s="9" t="str">
        <f>UPPER(Table13[[#This Row],[SIGNAL]])</f>
        <v>EV_MEVCODEA_16</v>
      </c>
      <c r="E248" s="9" t="str">
        <f>IF(Table13[[#This Row],[template]]="","","0x"&amp;Table13[[#This Row],[IP_Index]]&amp;DEC2HEX(Table13[[#This Row],[Addr_Dec]]*4,7))</f>
        <v>0x10001040</v>
      </c>
      <c r="F248" s="9" t="str">
        <f>IF(Table13[[#This Row],[template]]="","",VLOOKUP(Table13[[#This Row],[template]],Table2915[],2,FALSE))</f>
        <v>asynParamInt32</v>
      </c>
      <c r="G248" s="18" t="str">
        <f>IF(Table13[[#This Row],[template]]="","","1")</f>
        <v>1</v>
      </c>
      <c r="H248" s="10"/>
      <c r="I248" s="13" t="str">
        <f>IF(Table13[[#This Row],[template]]="","","0x"&amp;Table13[[#This Row],[D_Index]]&amp;"000")</f>
        <v>0x01000000</v>
      </c>
      <c r="J248" s="18"/>
      <c r="K248" s="10">
        <v>0</v>
      </c>
      <c r="L248" s="10"/>
      <c r="M248" s="11" t="str">
        <f>IF(Table13[[#This Row],[template]]="","",VLOOKUP(Table13[[#This Row],[template]],Table2915[],3,FALSE))</f>
        <v xml:space="preserve"> </v>
      </c>
      <c r="N248" s="10"/>
      <c r="O248" s="11"/>
      <c r="P248" s="9" t="str">
        <f>IF(Table13[[#This Row],[template]]="","",Table13[[#This Row],[IP]]&amp;"_"&amp;Table13[[#This Row],[PARAM_NAME]]&amp;IF(Table13[[#This Row],[SUB]]="","","_"&amp;Table13[[#This Row],[SUB]]))</f>
        <v>ev_mevCodeA_16</v>
      </c>
      <c r="Q248" s="1" t="s">
        <v>262</v>
      </c>
      <c r="R248" s="1" t="s">
        <v>452</v>
      </c>
      <c r="S248" s="6" t="s">
        <v>279</v>
      </c>
      <c r="T248" s="20" t="str">
        <f>DEC2HEX(HEX2DEC(Table13[[#This Row],[Index]])/4+Table13[[#This Row],[SUB]],4)</f>
        <v>0410</v>
      </c>
      <c r="U248" s="6" t="s">
        <v>363</v>
      </c>
      <c r="V248" s="1" t="s">
        <v>254</v>
      </c>
      <c r="W248" s="16">
        <v>0</v>
      </c>
      <c r="X248" s="6" t="s">
        <v>363</v>
      </c>
      <c r="AA248" s="11">
        <f>IF(Table13[[#This Row],[template]]="","",VLOOKUP(Table13[[#This Row],[IP]],Table51117[],2,FALSE))</f>
        <v>1</v>
      </c>
      <c r="AB248" s="13" t="str">
        <f>IF(Table13[[#This Row],[template]]="","",DEC2HEX(VLOOKUP(Table13[[#This Row],[D1-Type]],Table351218[],2,FALSE),1)&amp;DEC2HEX(VLOOKUP(Table13[[#This Row],[D2-Type]],Table31016[],2,FALSE),1)&amp; DEC2HEX(Table13[[#This Row],[D2-Offset]],2)&amp;DEC2HEX(VLOOKUP(Table13[[#This Row],[D3-Type]],Table371319[],2,FALSE),1))</f>
        <v>01000</v>
      </c>
      <c r="AC248" s="14">
        <f>IF(Table13[[#This Row],[template]]="","",HEX2DEC(Table13[[#This Row],[Addr_Hex]]))</f>
        <v>1040</v>
      </c>
    </row>
    <row r="249" spans="2:29" x14ac:dyDescent="0.3">
      <c r="B249" s="13">
        <v>1000</v>
      </c>
      <c r="C249" s="4" t="s">
        <v>233</v>
      </c>
      <c r="D249" s="9" t="str">
        <f>UPPER(Table13[[#This Row],[SIGNAL]])</f>
        <v>EV_MEVCODEA_17</v>
      </c>
      <c r="E249" s="9" t="str">
        <f>IF(Table13[[#This Row],[template]]="","","0x"&amp;Table13[[#This Row],[IP_Index]]&amp;DEC2HEX(Table13[[#This Row],[Addr_Dec]]*4,7))</f>
        <v>0x10001044</v>
      </c>
      <c r="F249" s="9" t="str">
        <f>IF(Table13[[#This Row],[template]]="","",VLOOKUP(Table13[[#This Row],[template]],Table2915[],2,FALSE))</f>
        <v>asynParamInt32</v>
      </c>
      <c r="G249" s="18" t="str">
        <f>IF(Table13[[#This Row],[template]]="","","1")</f>
        <v>1</v>
      </c>
      <c r="H249" s="10"/>
      <c r="I249" s="13" t="str">
        <f>IF(Table13[[#This Row],[template]]="","","0x"&amp;Table13[[#This Row],[D_Index]]&amp;"000")</f>
        <v>0x01000000</v>
      </c>
      <c r="J249" s="18"/>
      <c r="K249" s="10">
        <v>0</v>
      </c>
      <c r="L249" s="10"/>
      <c r="M249" s="11" t="str">
        <f>IF(Table13[[#This Row],[template]]="","",VLOOKUP(Table13[[#This Row],[template]],Table2915[],3,FALSE))</f>
        <v xml:space="preserve"> </v>
      </c>
      <c r="N249" s="10"/>
      <c r="O249" s="11"/>
      <c r="P249" s="9" t="str">
        <f>IF(Table13[[#This Row],[template]]="","",Table13[[#This Row],[IP]]&amp;"_"&amp;Table13[[#This Row],[PARAM_NAME]]&amp;IF(Table13[[#This Row],[SUB]]="","","_"&amp;Table13[[#This Row],[SUB]]))</f>
        <v>ev_mevCodeA_17</v>
      </c>
      <c r="Q249" s="1" t="s">
        <v>262</v>
      </c>
      <c r="R249" s="1" t="s">
        <v>452</v>
      </c>
      <c r="S249" s="6" t="s">
        <v>280</v>
      </c>
      <c r="T249" s="20" t="str">
        <f>DEC2HEX(HEX2DEC(Table13[[#This Row],[Index]])/4+Table13[[#This Row],[SUB]],4)</f>
        <v>0411</v>
      </c>
      <c r="U249" s="6" t="s">
        <v>363</v>
      </c>
      <c r="V249" s="1" t="s">
        <v>254</v>
      </c>
      <c r="W249" s="16">
        <v>0</v>
      </c>
      <c r="X249" s="6" t="s">
        <v>363</v>
      </c>
      <c r="AA249" s="11">
        <f>IF(Table13[[#This Row],[template]]="","",VLOOKUP(Table13[[#This Row],[IP]],Table51117[],2,FALSE))</f>
        <v>1</v>
      </c>
      <c r="AB249" s="13" t="str">
        <f>IF(Table13[[#This Row],[template]]="","",DEC2HEX(VLOOKUP(Table13[[#This Row],[D1-Type]],Table351218[],2,FALSE),1)&amp;DEC2HEX(VLOOKUP(Table13[[#This Row],[D2-Type]],Table31016[],2,FALSE),1)&amp; DEC2HEX(Table13[[#This Row],[D2-Offset]],2)&amp;DEC2HEX(VLOOKUP(Table13[[#This Row],[D3-Type]],Table371319[],2,FALSE),1))</f>
        <v>01000</v>
      </c>
      <c r="AC249" s="14">
        <f>IF(Table13[[#This Row],[template]]="","",HEX2DEC(Table13[[#This Row],[Addr_Hex]]))</f>
        <v>1041</v>
      </c>
    </row>
    <row r="250" spans="2:29" x14ac:dyDescent="0.3">
      <c r="B250" s="13">
        <v>1000</v>
      </c>
      <c r="C250" s="4" t="s">
        <v>233</v>
      </c>
      <c r="D250" s="9" t="str">
        <f>UPPER(Table13[[#This Row],[SIGNAL]])</f>
        <v>EV_MEVCODEA_18</v>
      </c>
      <c r="E250" s="9" t="str">
        <f>IF(Table13[[#This Row],[template]]="","","0x"&amp;Table13[[#This Row],[IP_Index]]&amp;DEC2HEX(Table13[[#This Row],[Addr_Dec]]*4,7))</f>
        <v>0x10001048</v>
      </c>
      <c r="F250" s="9" t="str">
        <f>IF(Table13[[#This Row],[template]]="","",VLOOKUP(Table13[[#This Row],[template]],Table2915[],2,FALSE))</f>
        <v>asynParamInt32</v>
      </c>
      <c r="G250" s="18" t="str">
        <f>IF(Table13[[#This Row],[template]]="","","1")</f>
        <v>1</v>
      </c>
      <c r="H250" s="10"/>
      <c r="I250" s="13" t="str">
        <f>IF(Table13[[#This Row],[template]]="","","0x"&amp;Table13[[#This Row],[D_Index]]&amp;"000")</f>
        <v>0x01000000</v>
      </c>
      <c r="J250" s="18"/>
      <c r="K250" s="10">
        <v>0</v>
      </c>
      <c r="L250" s="10"/>
      <c r="M250" s="11" t="str">
        <f>IF(Table13[[#This Row],[template]]="","",VLOOKUP(Table13[[#This Row],[template]],Table2915[],3,FALSE))</f>
        <v xml:space="preserve"> </v>
      </c>
      <c r="N250" s="10"/>
      <c r="O250" s="11"/>
      <c r="P250" s="9" t="str">
        <f>IF(Table13[[#This Row],[template]]="","",Table13[[#This Row],[IP]]&amp;"_"&amp;Table13[[#This Row],[PARAM_NAME]]&amp;IF(Table13[[#This Row],[SUB]]="","","_"&amp;Table13[[#This Row],[SUB]]))</f>
        <v>ev_mevCodeA_18</v>
      </c>
      <c r="Q250" s="1" t="s">
        <v>262</v>
      </c>
      <c r="R250" s="1" t="s">
        <v>452</v>
      </c>
      <c r="S250" s="6" t="s">
        <v>281</v>
      </c>
      <c r="T250" s="20" t="str">
        <f>DEC2HEX(HEX2DEC(Table13[[#This Row],[Index]])/4+Table13[[#This Row],[SUB]],4)</f>
        <v>0412</v>
      </c>
      <c r="U250" s="6" t="s">
        <v>363</v>
      </c>
      <c r="V250" s="1" t="s">
        <v>254</v>
      </c>
      <c r="W250" s="16">
        <v>0</v>
      </c>
      <c r="X250" s="6" t="s">
        <v>363</v>
      </c>
      <c r="AA250" s="11">
        <f>IF(Table13[[#This Row],[template]]="","",VLOOKUP(Table13[[#This Row],[IP]],Table51117[],2,FALSE))</f>
        <v>1</v>
      </c>
      <c r="AB250" s="13" t="str">
        <f>IF(Table13[[#This Row],[template]]="","",DEC2HEX(VLOOKUP(Table13[[#This Row],[D1-Type]],Table351218[],2,FALSE),1)&amp;DEC2HEX(VLOOKUP(Table13[[#This Row],[D2-Type]],Table31016[],2,FALSE),1)&amp; DEC2HEX(Table13[[#This Row],[D2-Offset]],2)&amp;DEC2HEX(VLOOKUP(Table13[[#This Row],[D3-Type]],Table371319[],2,FALSE),1))</f>
        <v>01000</v>
      </c>
      <c r="AC250" s="14">
        <f>IF(Table13[[#This Row],[template]]="","",HEX2DEC(Table13[[#This Row],[Addr_Hex]]))</f>
        <v>1042</v>
      </c>
    </row>
    <row r="251" spans="2:29" x14ac:dyDescent="0.3">
      <c r="B251" s="13">
        <v>1000</v>
      </c>
      <c r="C251" s="4" t="s">
        <v>233</v>
      </c>
      <c r="D251" s="9" t="str">
        <f>UPPER(Table13[[#This Row],[SIGNAL]])</f>
        <v>EV_MEVCODEA_19</v>
      </c>
      <c r="E251" s="9" t="str">
        <f>IF(Table13[[#This Row],[template]]="","","0x"&amp;Table13[[#This Row],[IP_Index]]&amp;DEC2HEX(Table13[[#This Row],[Addr_Dec]]*4,7))</f>
        <v>0x1000104C</v>
      </c>
      <c r="F251" s="9" t="str">
        <f>IF(Table13[[#This Row],[template]]="","",VLOOKUP(Table13[[#This Row],[template]],Table2915[],2,FALSE))</f>
        <v>asynParamInt32</v>
      </c>
      <c r="G251" s="18" t="str">
        <f>IF(Table13[[#This Row],[template]]="","","1")</f>
        <v>1</v>
      </c>
      <c r="H251" s="10"/>
      <c r="I251" s="13" t="str">
        <f>IF(Table13[[#This Row],[template]]="","","0x"&amp;Table13[[#This Row],[D_Index]]&amp;"000")</f>
        <v>0x01000000</v>
      </c>
      <c r="J251" s="18"/>
      <c r="K251" s="10">
        <v>0</v>
      </c>
      <c r="L251" s="10"/>
      <c r="M251" s="11" t="str">
        <f>IF(Table13[[#This Row],[template]]="","",VLOOKUP(Table13[[#This Row],[template]],Table2915[],3,FALSE))</f>
        <v xml:space="preserve"> </v>
      </c>
      <c r="N251" s="10"/>
      <c r="O251" s="11"/>
      <c r="P251" s="9" t="str">
        <f>IF(Table13[[#This Row],[template]]="","",Table13[[#This Row],[IP]]&amp;"_"&amp;Table13[[#This Row],[PARAM_NAME]]&amp;IF(Table13[[#This Row],[SUB]]="","","_"&amp;Table13[[#This Row],[SUB]]))</f>
        <v>ev_mevCodeA_19</v>
      </c>
      <c r="Q251" s="1" t="s">
        <v>262</v>
      </c>
      <c r="R251" s="1" t="s">
        <v>452</v>
      </c>
      <c r="S251" s="6" t="s">
        <v>282</v>
      </c>
      <c r="T251" s="20" t="str">
        <f>DEC2HEX(HEX2DEC(Table13[[#This Row],[Index]])/4+Table13[[#This Row],[SUB]],4)</f>
        <v>0413</v>
      </c>
      <c r="U251" s="6" t="s">
        <v>363</v>
      </c>
      <c r="V251" s="1" t="s">
        <v>254</v>
      </c>
      <c r="W251" s="16">
        <v>0</v>
      </c>
      <c r="X251" s="6" t="s">
        <v>363</v>
      </c>
      <c r="AA251" s="11">
        <f>IF(Table13[[#This Row],[template]]="","",VLOOKUP(Table13[[#This Row],[IP]],Table51117[],2,FALSE))</f>
        <v>1</v>
      </c>
      <c r="AB251" s="13" t="str">
        <f>IF(Table13[[#This Row],[template]]="","",DEC2HEX(VLOOKUP(Table13[[#This Row],[D1-Type]],Table351218[],2,FALSE),1)&amp;DEC2HEX(VLOOKUP(Table13[[#This Row],[D2-Type]],Table31016[],2,FALSE),1)&amp; DEC2HEX(Table13[[#This Row],[D2-Offset]],2)&amp;DEC2HEX(VLOOKUP(Table13[[#This Row],[D3-Type]],Table371319[],2,FALSE),1))</f>
        <v>01000</v>
      </c>
      <c r="AC251" s="14">
        <f>IF(Table13[[#This Row],[template]]="","",HEX2DEC(Table13[[#This Row],[Addr_Hex]]))</f>
        <v>1043</v>
      </c>
    </row>
    <row r="252" spans="2:29" x14ac:dyDescent="0.3">
      <c r="B252" s="13">
        <v>1000</v>
      </c>
      <c r="C252" s="4" t="s">
        <v>233</v>
      </c>
      <c r="D252" s="9" t="str">
        <f>UPPER(Table13[[#This Row],[SIGNAL]])</f>
        <v>EV_MEVCODEA_20</v>
      </c>
      <c r="E252" s="9" t="str">
        <f>IF(Table13[[#This Row],[template]]="","","0x"&amp;Table13[[#This Row],[IP_Index]]&amp;DEC2HEX(Table13[[#This Row],[Addr_Dec]]*4,7))</f>
        <v>0x10001050</v>
      </c>
      <c r="F252" s="9" t="str">
        <f>IF(Table13[[#This Row],[template]]="","",VLOOKUP(Table13[[#This Row],[template]],Table2915[],2,FALSE))</f>
        <v>asynParamInt32</v>
      </c>
      <c r="G252" s="18" t="str">
        <f>IF(Table13[[#This Row],[template]]="","","1")</f>
        <v>1</v>
      </c>
      <c r="H252" s="10"/>
      <c r="I252" s="13" t="str">
        <f>IF(Table13[[#This Row],[template]]="","","0x"&amp;Table13[[#This Row],[D_Index]]&amp;"000")</f>
        <v>0x01000000</v>
      </c>
      <c r="J252" s="18"/>
      <c r="K252" s="10">
        <v>0</v>
      </c>
      <c r="L252" s="10"/>
      <c r="M252" s="11" t="str">
        <f>IF(Table13[[#This Row],[template]]="","",VLOOKUP(Table13[[#This Row],[template]],Table2915[],3,FALSE))</f>
        <v xml:space="preserve"> </v>
      </c>
      <c r="N252" s="10"/>
      <c r="O252" s="11"/>
      <c r="P252" s="9" t="str">
        <f>IF(Table13[[#This Row],[template]]="","",Table13[[#This Row],[IP]]&amp;"_"&amp;Table13[[#This Row],[PARAM_NAME]]&amp;IF(Table13[[#This Row],[SUB]]="","","_"&amp;Table13[[#This Row],[SUB]]))</f>
        <v>ev_mevCodeA_20</v>
      </c>
      <c r="Q252" s="1" t="s">
        <v>262</v>
      </c>
      <c r="R252" s="1" t="s">
        <v>452</v>
      </c>
      <c r="S252" s="6" t="s">
        <v>283</v>
      </c>
      <c r="T252" s="20" t="str">
        <f>DEC2HEX(HEX2DEC(Table13[[#This Row],[Index]])/4+Table13[[#This Row],[SUB]],4)</f>
        <v>0414</v>
      </c>
      <c r="U252" s="6" t="s">
        <v>363</v>
      </c>
      <c r="V252" s="1" t="s">
        <v>254</v>
      </c>
      <c r="W252" s="16">
        <v>0</v>
      </c>
      <c r="X252" s="6" t="s">
        <v>363</v>
      </c>
      <c r="AA252" s="11">
        <f>IF(Table13[[#This Row],[template]]="","",VLOOKUP(Table13[[#This Row],[IP]],Table51117[],2,FALSE))</f>
        <v>1</v>
      </c>
      <c r="AB252" s="13" t="str">
        <f>IF(Table13[[#This Row],[template]]="","",DEC2HEX(VLOOKUP(Table13[[#This Row],[D1-Type]],Table351218[],2,FALSE),1)&amp;DEC2HEX(VLOOKUP(Table13[[#This Row],[D2-Type]],Table31016[],2,FALSE),1)&amp; DEC2HEX(Table13[[#This Row],[D2-Offset]],2)&amp;DEC2HEX(VLOOKUP(Table13[[#This Row],[D3-Type]],Table371319[],2,FALSE),1))</f>
        <v>01000</v>
      </c>
      <c r="AC252" s="14">
        <f>IF(Table13[[#This Row],[template]]="","",HEX2DEC(Table13[[#This Row],[Addr_Hex]]))</f>
        <v>1044</v>
      </c>
    </row>
    <row r="253" spans="2:29" x14ac:dyDescent="0.3">
      <c r="B253" s="13">
        <v>1000</v>
      </c>
      <c r="C253" s="4" t="s">
        <v>484</v>
      </c>
      <c r="D253" s="9" t="str">
        <f>UPPER(Table13[[#This Row],[SIGNAL]])</f>
        <v>EV_MEVCODEA_21</v>
      </c>
      <c r="E253" s="9" t="str">
        <f>IF(Table13[[#This Row],[template]]="","","0x"&amp;Table13[[#This Row],[IP_Index]]&amp;DEC2HEX(Table13[[#This Row],[Addr_Dec]]*4,7))</f>
        <v>0x10001054</v>
      </c>
      <c r="F253" s="9" t="str">
        <f>IF(Table13[[#This Row],[template]]="","",VLOOKUP(Table13[[#This Row],[template]],Table2915[],2,FALSE))</f>
        <v>asynParamInt32</v>
      </c>
      <c r="G253" s="18" t="str">
        <f>IF(Table13[[#This Row],[template]]="","","1")</f>
        <v>1</v>
      </c>
      <c r="H253" s="10"/>
      <c r="I253" s="13" t="str">
        <f>IF(Table13[[#This Row],[template]]="","","0x"&amp;Table13[[#This Row],[D_Index]]&amp;"000")</f>
        <v>0x01000000</v>
      </c>
      <c r="J253" s="18"/>
      <c r="K253" s="10">
        <v>0</v>
      </c>
      <c r="L253" s="10"/>
      <c r="M253" s="11" t="str">
        <f>IF(Table13[[#This Row],[template]]="","",VLOOKUP(Table13[[#This Row],[template]],Table2915[],3,FALSE))</f>
        <v xml:space="preserve"> </v>
      </c>
      <c r="N253" s="10"/>
      <c r="O253" s="11"/>
      <c r="P253" s="9" t="str">
        <f>IF(Table13[[#This Row],[template]]="","",Table13[[#This Row],[IP]]&amp;"_"&amp;Table13[[#This Row],[PARAM_NAME]]&amp;IF(Table13[[#This Row],[SUB]]="","","_"&amp;Table13[[#This Row],[SUB]]))</f>
        <v>ev_mevCodeA_21</v>
      </c>
      <c r="Q253" s="1" t="s">
        <v>262</v>
      </c>
      <c r="R253" s="1" t="s">
        <v>452</v>
      </c>
      <c r="S253" s="6" t="s">
        <v>284</v>
      </c>
      <c r="T253" s="20" t="str">
        <f>DEC2HEX(HEX2DEC(Table13[[#This Row],[Index]])/4+Table13[[#This Row],[SUB]],4)</f>
        <v>0415</v>
      </c>
      <c r="U253" s="6" t="s">
        <v>363</v>
      </c>
      <c r="V253" s="1" t="s">
        <v>254</v>
      </c>
      <c r="W253" s="16">
        <v>0</v>
      </c>
      <c r="X253" s="6" t="s">
        <v>363</v>
      </c>
      <c r="AA253" s="11">
        <f>IF(Table13[[#This Row],[template]]="","",VLOOKUP(Table13[[#This Row],[IP]],Table51117[],2,FALSE))</f>
        <v>1</v>
      </c>
      <c r="AB253" s="13" t="str">
        <f>IF(Table13[[#This Row],[template]]="","",DEC2HEX(VLOOKUP(Table13[[#This Row],[D1-Type]],Table351218[],2,FALSE),1)&amp;DEC2HEX(VLOOKUP(Table13[[#This Row],[D2-Type]],Table31016[],2,FALSE),1)&amp; DEC2HEX(Table13[[#This Row],[D2-Offset]],2)&amp;DEC2HEX(VLOOKUP(Table13[[#This Row],[D3-Type]],Table371319[],2,FALSE),1))</f>
        <v>01000</v>
      </c>
      <c r="AC253" s="14">
        <f>IF(Table13[[#This Row],[template]]="","",HEX2DEC(Table13[[#This Row],[Addr_Hex]]))</f>
        <v>1045</v>
      </c>
    </row>
    <row r="254" spans="2:29" x14ac:dyDescent="0.3">
      <c r="B254" s="13">
        <v>1000</v>
      </c>
      <c r="C254" s="4" t="s">
        <v>233</v>
      </c>
      <c r="D254" s="9" t="str">
        <f>UPPER(Table13[[#This Row],[SIGNAL]])</f>
        <v>EV_MEVCODEA_22</v>
      </c>
      <c r="E254" s="9" t="str">
        <f>IF(Table13[[#This Row],[template]]="","","0x"&amp;Table13[[#This Row],[IP_Index]]&amp;DEC2HEX(Table13[[#This Row],[Addr_Dec]]*4,7))</f>
        <v>0x10001058</v>
      </c>
      <c r="F254" s="9" t="str">
        <f>IF(Table13[[#This Row],[template]]="","",VLOOKUP(Table13[[#This Row],[template]],Table2915[],2,FALSE))</f>
        <v>asynParamInt32</v>
      </c>
      <c r="G254" s="18" t="str">
        <f>IF(Table13[[#This Row],[template]]="","","1")</f>
        <v>1</v>
      </c>
      <c r="H254" s="10"/>
      <c r="I254" s="13" t="str">
        <f>IF(Table13[[#This Row],[template]]="","","0x"&amp;Table13[[#This Row],[D_Index]]&amp;"000")</f>
        <v>0x01000000</v>
      </c>
      <c r="J254" s="18"/>
      <c r="K254" s="10">
        <v>0</v>
      </c>
      <c r="L254" s="10"/>
      <c r="M254" s="11" t="str">
        <f>IF(Table13[[#This Row],[template]]="","",VLOOKUP(Table13[[#This Row],[template]],Table2915[],3,FALSE))</f>
        <v xml:space="preserve"> </v>
      </c>
      <c r="N254" s="10"/>
      <c r="O254" s="11"/>
      <c r="P254" s="9" t="str">
        <f>IF(Table13[[#This Row],[template]]="","",Table13[[#This Row],[IP]]&amp;"_"&amp;Table13[[#This Row],[PARAM_NAME]]&amp;IF(Table13[[#This Row],[SUB]]="","","_"&amp;Table13[[#This Row],[SUB]]))</f>
        <v>ev_mevCodeA_22</v>
      </c>
      <c r="Q254" s="1" t="s">
        <v>262</v>
      </c>
      <c r="R254" s="1" t="s">
        <v>452</v>
      </c>
      <c r="S254" s="6" t="s">
        <v>285</v>
      </c>
      <c r="T254" s="20" t="str">
        <f>DEC2HEX(HEX2DEC(Table13[[#This Row],[Index]])/4+Table13[[#This Row],[SUB]],4)</f>
        <v>0416</v>
      </c>
      <c r="U254" s="6" t="s">
        <v>363</v>
      </c>
      <c r="V254" s="1" t="s">
        <v>254</v>
      </c>
      <c r="W254" s="16">
        <v>0</v>
      </c>
      <c r="X254" s="6" t="s">
        <v>363</v>
      </c>
      <c r="AA254" s="11">
        <f>IF(Table13[[#This Row],[template]]="","",VLOOKUP(Table13[[#This Row],[IP]],Table51117[],2,FALSE))</f>
        <v>1</v>
      </c>
      <c r="AB254" s="13" t="str">
        <f>IF(Table13[[#This Row],[template]]="","",DEC2HEX(VLOOKUP(Table13[[#This Row],[D1-Type]],Table351218[],2,FALSE),1)&amp;DEC2HEX(VLOOKUP(Table13[[#This Row],[D2-Type]],Table31016[],2,FALSE),1)&amp; DEC2HEX(Table13[[#This Row],[D2-Offset]],2)&amp;DEC2HEX(VLOOKUP(Table13[[#This Row],[D3-Type]],Table371319[],2,FALSE),1))</f>
        <v>01000</v>
      </c>
      <c r="AC254" s="14">
        <f>IF(Table13[[#This Row],[template]]="","",HEX2DEC(Table13[[#This Row],[Addr_Hex]]))</f>
        <v>1046</v>
      </c>
    </row>
    <row r="255" spans="2:29" x14ac:dyDescent="0.3">
      <c r="B255" s="13">
        <v>1000</v>
      </c>
      <c r="C255" s="4" t="s">
        <v>233</v>
      </c>
      <c r="D255" s="9" t="str">
        <f>UPPER(Table13[[#This Row],[SIGNAL]])</f>
        <v>EV_MEVCODEA_23</v>
      </c>
      <c r="E255" s="9" t="str">
        <f>IF(Table13[[#This Row],[template]]="","","0x"&amp;Table13[[#This Row],[IP_Index]]&amp;DEC2HEX(Table13[[#This Row],[Addr_Dec]]*4,7))</f>
        <v>0x1000105C</v>
      </c>
      <c r="F255" s="9" t="str">
        <f>IF(Table13[[#This Row],[template]]="","",VLOOKUP(Table13[[#This Row],[template]],Table2915[],2,FALSE))</f>
        <v>asynParamInt32</v>
      </c>
      <c r="G255" s="18" t="str">
        <f>IF(Table13[[#This Row],[template]]="","","1")</f>
        <v>1</v>
      </c>
      <c r="H255" s="10"/>
      <c r="I255" s="13" t="str">
        <f>IF(Table13[[#This Row],[template]]="","","0x"&amp;Table13[[#This Row],[D_Index]]&amp;"000")</f>
        <v>0x01000000</v>
      </c>
      <c r="J255" s="18"/>
      <c r="K255" s="10">
        <v>0</v>
      </c>
      <c r="L255" s="10"/>
      <c r="M255" s="11" t="str">
        <f>IF(Table13[[#This Row],[template]]="","",VLOOKUP(Table13[[#This Row],[template]],Table2915[],3,FALSE))</f>
        <v xml:space="preserve"> </v>
      </c>
      <c r="N255" s="10"/>
      <c r="O255" s="11"/>
      <c r="P255" s="9" t="str">
        <f>IF(Table13[[#This Row],[template]]="","",Table13[[#This Row],[IP]]&amp;"_"&amp;Table13[[#This Row],[PARAM_NAME]]&amp;IF(Table13[[#This Row],[SUB]]="","","_"&amp;Table13[[#This Row],[SUB]]))</f>
        <v>ev_mevCodeA_23</v>
      </c>
      <c r="Q255" s="1" t="s">
        <v>262</v>
      </c>
      <c r="R255" s="1" t="s">
        <v>452</v>
      </c>
      <c r="S255" s="6" t="s">
        <v>286</v>
      </c>
      <c r="T255" s="20" t="str">
        <f>DEC2HEX(HEX2DEC(Table13[[#This Row],[Index]])/4+Table13[[#This Row],[SUB]],4)</f>
        <v>0417</v>
      </c>
      <c r="U255" s="6" t="s">
        <v>363</v>
      </c>
      <c r="V255" s="1" t="s">
        <v>254</v>
      </c>
      <c r="W255" s="16">
        <v>0</v>
      </c>
      <c r="X255" s="6" t="s">
        <v>363</v>
      </c>
      <c r="AA255" s="11">
        <f>IF(Table13[[#This Row],[template]]="","",VLOOKUP(Table13[[#This Row],[IP]],Table51117[],2,FALSE))</f>
        <v>1</v>
      </c>
      <c r="AB255" s="13" t="str">
        <f>IF(Table13[[#This Row],[template]]="","",DEC2HEX(VLOOKUP(Table13[[#This Row],[D1-Type]],Table351218[],2,FALSE),1)&amp;DEC2HEX(VLOOKUP(Table13[[#This Row],[D2-Type]],Table31016[],2,FALSE),1)&amp; DEC2HEX(Table13[[#This Row],[D2-Offset]],2)&amp;DEC2HEX(VLOOKUP(Table13[[#This Row],[D3-Type]],Table371319[],2,FALSE),1))</f>
        <v>01000</v>
      </c>
      <c r="AC255" s="14">
        <f>IF(Table13[[#This Row],[template]]="","",HEX2DEC(Table13[[#This Row],[Addr_Hex]]))</f>
        <v>1047</v>
      </c>
    </row>
    <row r="256" spans="2:29" x14ac:dyDescent="0.3">
      <c r="B256" s="13">
        <v>1000</v>
      </c>
      <c r="C256" s="4" t="s">
        <v>233</v>
      </c>
      <c r="D256" s="9" t="str">
        <f>UPPER(Table13[[#This Row],[SIGNAL]])</f>
        <v>EV_MEVCODEA_24</v>
      </c>
      <c r="E256" s="9" t="str">
        <f>IF(Table13[[#This Row],[template]]="","","0x"&amp;Table13[[#This Row],[IP_Index]]&amp;DEC2HEX(Table13[[#This Row],[Addr_Dec]]*4,7))</f>
        <v>0x10001060</v>
      </c>
      <c r="F256" s="9" t="str">
        <f>IF(Table13[[#This Row],[template]]="","",VLOOKUP(Table13[[#This Row],[template]],Table2915[],2,FALSE))</f>
        <v>asynParamInt32</v>
      </c>
      <c r="G256" s="18" t="str">
        <f>IF(Table13[[#This Row],[template]]="","","1")</f>
        <v>1</v>
      </c>
      <c r="H256" s="10"/>
      <c r="I256" s="13" t="str">
        <f>IF(Table13[[#This Row],[template]]="","","0x"&amp;Table13[[#This Row],[D_Index]]&amp;"000")</f>
        <v>0x01000000</v>
      </c>
      <c r="J256" s="18"/>
      <c r="K256" s="10">
        <v>0</v>
      </c>
      <c r="L256" s="10"/>
      <c r="M256" s="11" t="str">
        <f>IF(Table13[[#This Row],[template]]="","",VLOOKUP(Table13[[#This Row],[template]],Table2915[],3,FALSE))</f>
        <v xml:space="preserve"> </v>
      </c>
      <c r="N256" s="10"/>
      <c r="O256" s="11"/>
      <c r="P256" s="9" t="str">
        <f>IF(Table13[[#This Row],[template]]="","",Table13[[#This Row],[IP]]&amp;"_"&amp;Table13[[#This Row],[PARAM_NAME]]&amp;IF(Table13[[#This Row],[SUB]]="","","_"&amp;Table13[[#This Row],[SUB]]))</f>
        <v>ev_mevCodeA_24</v>
      </c>
      <c r="Q256" s="1" t="s">
        <v>262</v>
      </c>
      <c r="R256" s="1" t="s">
        <v>452</v>
      </c>
      <c r="S256" s="6" t="s">
        <v>287</v>
      </c>
      <c r="T256" s="20" t="str">
        <f>DEC2HEX(HEX2DEC(Table13[[#This Row],[Index]])/4+Table13[[#This Row],[SUB]],4)</f>
        <v>0418</v>
      </c>
      <c r="U256" s="6" t="s">
        <v>363</v>
      </c>
      <c r="V256" s="1" t="s">
        <v>254</v>
      </c>
      <c r="W256" s="16">
        <v>0</v>
      </c>
      <c r="X256" s="6" t="s">
        <v>363</v>
      </c>
      <c r="AA256" s="11">
        <f>IF(Table13[[#This Row],[template]]="","",VLOOKUP(Table13[[#This Row],[IP]],Table51117[],2,FALSE))</f>
        <v>1</v>
      </c>
      <c r="AB256" s="13" t="str">
        <f>IF(Table13[[#This Row],[template]]="","",DEC2HEX(VLOOKUP(Table13[[#This Row],[D1-Type]],Table351218[],2,FALSE),1)&amp;DEC2HEX(VLOOKUP(Table13[[#This Row],[D2-Type]],Table31016[],2,FALSE),1)&amp; DEC2HEX(Table13[[#This Row],[D2-Offset]],2)&amp;DEC2HEX(VLOOKUP(Table13[[#This Row],[D3-Type]],Table371319[],2,FALSE),1))</f>
        <v>01000</v>
      </c>
      <c r="AC256" s="14">
        <f>IF(Table13[[#This Row],[template]]="","",HEX2DEC(Table13[[#This Row],[Addr_Hex]]))</f>
        <v>1048</v>
      </c>
    </row>
    <row r="257" spans="2:29" x14ac:dyDescent="0.3">
      <c r="B257" s="13">
        <v>1000</v>
      </c>
      <c r="C257" s="4" t="s">
        <v>233</v>
      </c>
      <c r="D257" s="9" t="str">
        <f>UPPER(Table13[[#This Row],[SIGNAL]])</f>
        <v>EV_MEVCODEA_25</v>
      </c>
      <c r="E257" s="9" t="str">
        <f>IF(Table13[[#This Row],[template]]="","","0x"&amp;Table13[[#This Row],[IP_Index]]&amp;DEC2HEX(Table13[[#This Row],[Addr_Dec]]*4,7))</f>
        <v>0x10001064</v>
      </c>
      <c r="F257" s="9" t="str">
        <f>IF(Table13[[#This Row],[template]]="","",VLOOKUP(Table13[[#This Row],[template]],Table2915[],2,FALSE))</f>
        <v>asynParamInt32</v>
      </c>
      <c r="G257" s="18" t="str">
        <f>IF(Table13[[#This Row],[template]]="","","1")</f>
        <v>1</v>
      </c>
      <c r="H257" s="10"/>
      <c r="I257" s="13" t="str">
        <f>IF(Table13[[#This Row],[template]]="","","0x"&amp;Table13[[#This Row],[D_Index]]&amp;"000")</f>
        <v>0x01000000</v>
      </c>
      <c r="J257" s="18"/>
      <c r="K257" s="10">
        <v>0</v>
      </c>
      <c r="L257" s="10"/>
      <c r="M257" s="11" t="str">
        <f>IF(Table13[[#This Row],[template]]="","",VLOOKUP(Table13[[#This Row],[template]],Table2915[],3,FALSE))</f>
        <v xml:space="preserve"> </v>
      </c>
      <c r="N257" s="10"/>
      <c r="O257" s="11"/>
      <c r="P257" s="9" t="str">
        <f>IF(Table13[[#This Row],[template]]="","",Table13[[#This Row],[IP]]&amp;"_"&amp;Table13[[#This Row],[PARAM_NAME]]&amp;IF(Table13[[#This Row],[SUB]]="","","_"&amp;Table13[[#This Row],[SUB]]))</f>
        <v>ev_mevCodeA_25</v>
      </c>
      <c r="Q257" s="1" t="s">
        <v>262</v>
      </c>
      <c r="R257" s="1" t="s">
        <v>452</v>
      </c>
      <c r="S257" s="6" t="s">
        <v>288</v>
      </c>
      <c r="T257" s="20" t="str">
        <f>DEC2HEX(HEX2DEC(Table13[[#This Row],[Index]])/4+Table13[[#This Row],[SUB]],4)</f>
        <v>0419</v>
      </c>
      <c r="U257" s="6" t="s">
        <v>363</v>
      </c>
      <c r="V257" s="1" t="s">
        <v>254</v>
      </c>
      <c r="W257" s="16">
        <v>0</v>
      </c>
      <c r="X257" s="6" t="s">
        <v>363</v>
      </c>
      <c r="AA257" s="11">
        <f>IF(Table13[[#This Row],[template]]="","",VLOOKUP(Table13[[#This Row],[IP]],Table51117[],2,FALSE))</f>
        <v>1</v>
      </c>
      <c r="AB257" s="13" t="str">
        <f>IF(Table13[[#This Row],[template]]="","",DEC2HEX(VLOOKUP(Table13[[#This Row],[D1-Type]],Table351218[],2,FALSE),1)&amp;DEC2HEX(VLOOKUP(Table13[[#This Row],[D2-Type]],Table31016[],2,FALSE),1)&amp; DEC2HEX(Table13[[#This Row],[D2-Offset]],2)&amp;DEC2HEX(VLOOKUP(Table13[[#This Row],[D3-Type]],Table371319[],2,FALSE),1))</f>
        <v>01000</v>
      </c>
      <c r="AC257" s="14">
        <f>IF(Table13[[#This Row],[template]]="","",HEX2DEC(Table13[[#This Row],[Addr_Hex]]))</f>
        <v>1049</v>
      </c>
    </row>
    <row r="258" spans="2:29" x14ac:dyDescent="0.3">
      <c r="B258" s="13">
        <v>1000</v>
      </c>
      <c r="C258" s="4" t="s">
        <v>233</v>
      </c>
      <c r="D258" s="9" t="str">
        <f>UPPER(Table13[[#This Row],[SIGNAL]])</f>
        <v>EV_MEVCODEA_26</v>
      </c>
      <c r="E258" s="9" t="str">
        <f>IF(Table13[[#This Row],[template]]="","","0x"&amp;Table13[[#This Row],[IP_Index]]&amp;DEC2HEX(Table13[[#This Row],[Addr_Dec]]*4,7))</f>
        <v>0x10001068</v>
      </c>
      <c r="F258" s="9" t="str">
        <f>IF(Table13[[#This Row],[template]]="","",VLOOKUP(Table13[[#This Row],[template]],Table2915[],2,FALSE))</f>
        <v>asynParamInt32</v>
      </c>
      <c r="G258" s="18" t="str">
        <f>IF(Table13[[#This Row],[template]]="","","1")</f>
        <v>1</v>
      </c>
      <c r="H258" s="10"/>
      <c r="I258" s="13" t="str">
        <f>IF(Table13[[#This Row],[template]]="","","0x"&amp;Table13[[#This Row],[D_Index]]&amp;"000")</f>
        <v>0x01000000</v>
      </c>
      <c r="J258" s="18"/>
      <c r="K258" s="10">
        <v>0</v>
      </c>
      <c r="L258" s="10"/>
      <c r="M258" s="11" t="str">
        <f>IF(Table13[[#This Row],[template]]="","",VLOOKUP(Table13[[#This Row],[template]],Table2915[],3,FALSE))</f>
        <v xml:space="preserve"> </v>
      </c>
      <c r="N258" s="10"/>
      <c r="O258" s="11"/>
      <c r="P258" s="9" t="str">
        <f>IF(Table13[[#This Row],[template]]="","",Table13[[#This Row],[IP]]&amp;"_"&amp;Table13[[#This Row],[PARAM_NAME]]&amp;IF(Table13[[#This Row],[SUB]]="","","_"&amp;Table13[[#This Row],[SUB]]))</f>
        <v>ev_mevCodeA_26</v>
      </c>
      <c r="Q258" s="1" t="s">
        <v>262</v>
      </c>
      <c r="R258" s="1" t="s">
        <v>452</v>
      </c>
      <c r="S258" s="6" t="s">
        <v>289</v>
      </c>
      <c r="T258" s="20" t="str">
        <f>DEC2HEX(HEX2DEC(Table13[[#This Row],[Index]])/4+Table13[[#This Row],[SUB]],4)</f>
        <v>041A</v>
      </c>
      <c r="U258" s="6" t="s">
        <v>363</v>
      </c>
      <c r="V258" s="1" t="s">
        <v>254</v>
      </c>
      <c r="W258" s="16">
        <v>0</v>
      </c>
      <c r="X258" s="6" t="s">
        <v>363</v>
      </c>
      <c r="AA258" s="11">
        <f>IF(Table13[[#This Row],[template]]="","",VLOOKUP(Table13[[#This Row],[IP]],Table51117[],2,FALSE))</f>
        <v>1</v>
      </c>
      <c r="AB258" s="13" t="str">
        <f>IF(Table13[[#This Row],[template]]="","",DEC2HEX(VLOOKUP(Table13[[#This Row],[D1-Type]],Table351218[],2,FALSE),1)&amp;DEC2HEX(VLOOKUP(Table13[[#This Row],[D2-Type]],Table31016[],2,FALSE),1)&amp; DEC2HEX(Table13[[#This Row],[D2-Offset]],2)&amp;DEC2HEX(VLOOKUP(Table13[[#This Row],[D3-Type]],Table371319[],2,FALSE),1))</f>
        <v>01000</v>
      </c>
      <c r="AC258" s="14">
        <f>IF(Table13[[#This Row],[template]]="","",HEX2DEC(Table13[[#This Row],[Addr_Hex]]))</f>
        <v>1050</v>
      </c>
    </row>
    <row r="259" spans="2:29" x14ac:dyDescent="0.3">
      <c r="B259" s="13">
        <v>1000</v>
      </c>
      <c r="C259" s="4" t="s">
        <v>233</v>
      </c>
      <c r="D259" s="9" t="str">
        <f>UPPER(Table13[[#This Row],[SIGNAL]])</f>
        <v>EV_MEVCODEA_27</v>
      </c>
      <c r="E259" s="9" t="str">
        <f>IF(Table13[[#This Row],[template]]="","","0x"&amp;Table13[[#This Row],[IP_Index]]&amp;DEC2HEX(Table13[[#This Row],[Addr_Dec]]*4,7))</f>
        <v>0x1000106C</v>
      </c>
      <c r="F259" s="9" t="str">
        <f>IF(Table13[[#This Row],[template]]="","",VLOOKUP(Table13[[#This Row],[template]],Table2915[],2,FALSE))</f>
        <v>asynParamInt32</v>
      </c>
      <c r="G259" s="18" t="str">
        <f>IF(Table13[[#This Row],[template]]="","","1")</f>
        <v>1</v>
      </c>
      <c r="H259" s="10"/>
      <c r="I259" s="13" t="str">
        <f>IF(Table13[[#This Row],[template]]="","","0x"&amp;Table13[[#This Row],[D_Index]]&amp;"000")</f>
        <v>0x01000000</v>
      </c>
      <c r="J259" s="18"/>
      <c r="K259" s="10">
        <v>0</v>
      </c>
      <c r="L259" s="10"/>
      <c r="M259" s="11" t="str">
        <f>IF(Table13[[#This Row],[template]]="","",VLOOKUP(Table13[[#This Row],[template]],Table2915[],3,FALSE))</f>
        <v xml:space="preserve"> </v>
      </c>
      <c r="N259" s="10"/>
      <c r="O259" s="11"/>
      <c r="P259" s="9" t="str">
        <f>IF(Table13[[#This Row],[template]]="","",Table13[[#This Row],[IP]]&amp;"_"&amp;Table13[[#This Row],[PARAM_NAME]]&amp;IF(Table13[[#This Row],[SUB]]="","","_"&amp;Table13[[#This Row],[SUB]]))</f>
        <v>ev_mevCodeA_27</v>
      </c>
      <c r="Q259" s="1" t="s">
        <v>262</v>
      </c>
      <c r="R259" s="1" t="s">
        <v>452</v>
      </c>
      <c r="S259" s="6" t="s">
        <v>290</v>
      </c>
      <c r="T259" s="20" t="str">
        <f>DEC2HEX(HEX2DEC(Table13[[#This Row],[Index]])/4+Table13[[#This Row],[SUB]],4)</f>
        <v>041B</v>
      </c>
      <c r="U259" s="6" t="s">
        <v>363</v>
      </c>
      <c r="V259" s="1" t="s">
        <v>254</v>
      </c>
      <c r="W259" s="16">
        <v>0</v>
      </c>
      <c r="X259" s="6" t="s">
        <v>363</v>
      </c>
      <c r="AA259" s="11">
        <f>IF(Table13[[#This Row],[template]]="","",VLOOKUP(Table13[[#This Row],[IP]],Table51117[],2,FALSE))</f>
        <v>1</v>
      </c>
      <c r="AB259" s="13" t="str">
        <f>IF(Table13[[#This Row],[template]]="","",DEC2HEX(VLOOKUP(Table13[[#This Row],[D1-Type]],Table351218[],2,FALSE),1)&amp;DEC2HEX(VLOOKUP(Table13[[#This Row],[D2-Type]],Table31016[],2,FALSE),1)&amp; DEC2HEX(Table13[[#This Row],[D2-Offset]],2)&amp;DEC2HEX(VLOOKUP(Table13[[#This Row],[D3-Type]],Table371319[],2,FALSE),1))</f>
        <v>01000</v>
      </c>
      <c r="AC259" s="14">
        <f>IF(Table13[[#This Row],[template]]="","",HEX2DEC(Table13[[#This Row],[Addr_Hex]]))</f>
        <v>1051</v>
      </c>
    </row>
    <row r="260" spans="2:29" x14ac:dyDescent="0.3">
      <c r="B260" s="13">
        <v>1000</v>
      </c>
      <c r="C260" s="4" t="s">
        <v>233</v>
      </c>
      <c r="D260" s="9" t="str">
        <f>UPPER(Table13[[#This Row],[SIGNAL]])</f>
        <v>EV_MEVCODEA_28</v>
      </c>
      <c r="E260" s="9" t="str">
        <f>IF(Table13[[#This Row],[template]]="","","0x"&amp;Table13[[#This Row],[IP_Index]]&amp;DEC2HEX(Table13[[#This Row],[Addr_Dec]]*4,7))</f>
        <v>0x10001070</v>
      </c>
      <c r="F260" s="9" t="str">
        <f>IF(Table13[[#This Row],[template]]="","",VLOOKUP(Table13[[#This Row],[template]],Table2915[],2,FALSE))</f>
        <v>asynParamInt32</v>
      </c>
      <c r="G260" s="18" t="str">
        <f>IF(Table13[[#This Row],[template]]="","","1")</f>
        <v>1</v>
      </c>
      <c r="H260" s="10"/>
      <c r="I260" s="13" t="str">
        <f>IF(Table13[[#This Row],[template]]="","","0x"&amp;Table13[[#This Row],[D_Index]]&amp;"000")</f>
        <v>0x01000000</v>
      </c>
      <c r="J260" s="18"/>
      <c r="K260" s="10">
        <v>0</v>
      </c>
      <c r="L260" s="10"/>
      <c r="M260" s="11" t="str">
        <f>IF(Table13[[#This Row],[template]]="","",VLOOKUP(Table13[[#This Row],[template]],Table2915[],3,FALSE))</f>
        <v xml:space="preserve"> </v>
      </c>
      <c r="N260" s="10"/>
      <c r="O260" s="11"/>
      <c r="P260" s="9" t="str">
        <f>IF(Table13[[#This Row],[template]]="","",Table13[[#This Row],[IP]]&amp;"_"&amp;Table13[[#This Row],[PARAM_NAME]]&amp;IF(Table13[[#This Row],[SUB]]="","","_"&amp;Table13[[#This Row],[SUB]]))</f>
        <v>ev_mevCodeA_28</v>
      </c>
      <c r="Q260" s="1" t="s">
        <v>262</v>
      </c>
      <c r="R260" s="1" t="s">
        <v>452</v>
      </c>
      <c r="S260" s="6" t="s">
        <v>291</v>
      </c>
      <c r="T260" s="20" t="str">
        <f>DEC2HEX(HEX2DEC(Table13[[#This Row],[Index]])/4+Table13[[#This Row],[SUB]],4)</f>
        <v>041C</v>
      </c>
      <c r="U260" s="6" t="s">
        <v>363</v>
      </c>
      <c r="V260" s="1" t="s">
        <v>254</v>
      </c>
      <c r="W260" s="16">
        <v>0</v>
      </c>
      <c r="X260" s="6" t="s">
        <v>363</v>
      </c>
      <c r="AA260" s="11">
        <f>IF(Table13[[#This Row],[template]]="","",VLOOKUP(Table13[[#This Row],[IP]],Table51117[],2,FALSE))</f>
        <v>1</v>
      </c>
      <c r="AB260" s="13" t="str">
        <f>IF(Table13[[#This Row],[template]]="","",DEC2HEX(VLOOKUP(Table13[[#This Row],[D1-Type]],Table351218[],2,FALSE),1)&amp;DEC2HEX(VLOOKUP(Table13[[#This Row],[D2-Type]],Table31016[],2,FALSE),1)&amp; DEC2HEX(Table13[[#This Row],[D2-Offset]],2)&amp;DEC2HEX(VLOOKUP(Table13[[#This Row],[D3-Type]],Table371319[],2,FALSE),1))</f>
        <v>01000</v>
      </c>
      <c r="AC260" s="14">
        <f>IF(Table13[[#This Row],[template]]="","",HEX2DEC(Table13[[#This Row],[Addr_Hex]]))</f>
        <v>1052</v>
      </c>
    </row>
    <row r="261" spans="2:29" x14ac:dyDescent="0.3">
      <c r="B261" s="13">
        <v>1000</v>
      </c>
      <c r="C261" s="4" t="s">
        <v>233</v>
      </c>
      <c r="D261" s="9" t="str">
        <f>UPPER(Table13[[#This Row],[SIGNAL]])</f>
        <v>EV_MEVCODEA_29</v>
      </c>
      <c r="E261" s="9" t="str">
        <f>IF(Table13[[#This Row],[template]]="","","0x"&amp;Table13[[#This Row],[IP_Index]]&amp;DEC2HEX(Table13[[#This Row],[Addr_Dec]]*4,7))</f>
        <v>0x10001074</v>
      </c>
      <c r="F261" s="9" t="str">
        <f>IF(Table13[[#This Row],[template]]="","",VLOOKUP(Table13[[#This Row],[template]],Table2915[],2,FALSE))</f>
        <v>asynParamInt32</v>
      </c>
      <c r="G261" s="18" t="str">
        <f>IF(Table13[[#This Row],[template]]="","","1")</f>
        <v>1</v>
      </c>
      <c r="H261" s="10"/>
      <c r="I261" s="13" t="str">
        <f>IF(Table13[[#This Row],[template]]="","","0x"&amp;Table13[[#This Row],[D_Index]]&amp;"000")</f>
        <v>0x01000000</v>
      </c>
      <c r="J261" s="18"/>
      <c r="K261" s="10">
        <v>0</v>
      </c>
      <c r="L261" s="10"/>
      <c r="M261" s="11" t="str">
        <f>IF(Table13[[#This Row],[template]]="","",VLOOKUP(Table13[[#This Row],[template]],Table2915[],3,FALSE))</f>
        <v xml:space="preserve"> </v>
      </c>
      <c r="N261" s="10"/>
      <c r="O261" s="11"/>
      <c r="P261" s="9" t="str">
        <f>IF(Table13[[#This Row],[template]]="","",Table13[[#This Row],[IP]]&amp;"_"&amp;Table13[[#This Row],[PARAM_NAME]]&amp;IF(Table13[[#This Row],[SUB]]="","","_"&amp;Table13[[#This Row],[SUB]]))</f>
        <v>ev_mevCodeA_29</v>
      </c>
      <c r="Q261" s="1" t="s">
        <v>262</v>
      </c>
      <c r="R261" s="1" t="s">
        <v>452</v>
      </c>
      <c r="S261" s="6" t="s">
        <v>292</v>
      </c>
      <c r="T261" s="20" t="str">
        <f>DEC2HEX(HEX2DEC(Table13[[#This Row],[Index]])/4+Table13[[#This Row],[SUB]],4)</f>
        <v>041D</v>
      </c>
      <c r="U261" s="6" t="s">
        <v>363</v>
      </c>
      <c r="V261" s="1" t="s">
        <v>254</v>
      </c>
      <c r="W261" s="16">
        <v>0</v>
      </c>
      <c r="X261" s="6" t="s">
        <v>363</v>
      </c>
      <c r="AA261" s="11">
        <f>IF(Table13[[#This Row],[template]]="","",VLOOKUP(Table13[[#This Row],[IP]],Table51117[],2,FALSE))</f>
        <v>1</v>
      </c>
      <c r="AB261" s="13" t="str">
        <f>IF(Table13[[#This Row],[template]]="","",DEC2HEX(VLOOKUP(Table13[[#This Row],[D1-Type]],Table351218[],2,FALSE),1)&amp;DEC2HEX(VLOOKUP(Table13[[#This Row],[D2-Type]],Table31016[],2,FALSE),1)&amp; DEC2HEX(Table13[[#This Row],[D2-Offset]],2)&amp;DEC2HEX(VLOOKUP(Table13[[#This Row],[D3-Type]],Table371319[],2,FALSE),1))</f>
        <v>01000</v>
      </c>
      <c r="AC261" s="14">
        <f>IF(Table13[[#This Row],[template]]="","",HEX2DEC(Table13[[#This Row],[Addr_Hex]]))</f>
        <v>1053</v>
      </c>
    </row>
    <row r="262" spans="2:29" x14ac:dyDescent="0.3">
      <c r="B262" s="13">
        <v>1000</v>
      </c>
      <c r="C262" s="4" t="s">
        <v>233</v>
      </c>
      <c r="D262" s="9" t="str">
        <f>UPPER(Table13[[#This Row],[SIGNAL]])</f>
        <v>EV_MEVCODEA_30</v>
      </c>
      <c r="E262" s="9" t="str">
        <f>IF(Table13[[#This Row],[template]]="","","0x"&amp;Table13[[#This Row],[IP_Index]]&amp;DEC2HEX(Table13[[#This Row],[Addr_Dec]]*4,7))</f>
        <v>0x10001078</v>
      </c>
      <c r="F262" s="9" t="str">
        <f>IF(Table13[[#This Row],[template]]="","",VLOOKUP(Table13[[#This Row],[template]],Table2915[],2,FALSE))</f>
        <v>asynParamInt32</v>
      </c>
      <c r="G262" s="18" t="str">
        <f>IF(Table13[[#This Row],[template]]="","","1")</f>
        <v>1</v>
      </c>
      <c r="H262" s="10"/>
      <c r="I262" s="13" t="str">
        <f>IF(Table13[[#This Row],[template]]="","","0x"&amp;Table13[[#This Row],[D_Index]]&amp;"000")</f>
        <v>0x01000000</v>
      </c>
      <c r="J262" s="18"/>
      <c r="K262" s="10">
        <v>0</v>
      </c>
      <c r="L262" s="10"/>
      <c r="M262" s="11" t="str">
        <f>IF(Table13[[#This Row],[template]]="","",VLOOKUP(Table13[[#This Row],[template]],Table2915[],3,FALSE))</f>
        <v xml:space="preserve"> </v>
      </c>
      <c r="N262" s="10"/>
      <c r="O262" s="11"/>
      <c r="P262" s="9" t="str">
        <f>IF(Table13[[#This Row],[template]]="","",Table13[[#This Row],[IP]]&amp;"_"&amp;Table13[[#This Row],[PARAM_NAME]]&amp;IF(Table13[[#This Row],[SUB]]="","","_"&amp;Table13[[#This Row],[SUB]]))</f>
        <v>ev_mevCodeA_30</v>
      </c>
      <c r="Q262" s="1" t="s">
        <v>262</v>
      </c>
      <c r="R262" s="1" t="s">
        <v>452</v>
      </c>
      <c r="S262" s="6" t="s">
        <v>293</v>
      </c>
      <c r="T262" s="20" t="str">
        <f>DEC2HEX(HEX2DEC(Table13[[#This Row],[Index]])/4+Table13[[#This Row],[SUB]],4)</f>
        <v>041E</v>
      </c>
      <c r="U262" s="6" t="s">
        <v>363</v>
      </c>
      <c r="V262" s="1" t="s">
        <v>254</v>
      </c>
      <c r="W262" s="16">
        <v>0</v>
      </c>
      <c r="X262" s="6" t="s">
        <v>363</v>
      </c>
      <c r="AA262" s="11">
        <f>IF(Table13[[#This Row],[template]]="","",VLOOKUP(Table13[[#This Row],[IP]],Table51117[],2,FALSE))</f>
        <v>1</v>
      </c>
      <c r="AB262" s="13" t="str">
        <f>IF(Table13[[#This Row],[template]]="","",DEC2HEX(VLOOKUP(Table13[[#This Row],[D1-Type]],Table351218[],2,FALSE),1)&amp;DEC2HEX(VLOOKUP(Table13[[#This Row],[D2-Type]],Table31016[],2,FALSE),1)&amp; DEC2HEX(Table13[[#This Row],[D2-Offset]],2)&amp;DEC2HEX(VLOOKUP(Table13[[#This Row],[D3-Type]],Table371319[],2,FALSE),1))</f>
        <v>01000</v>
      </c>
      <c r="AC262" s="14">
        <f>IF(Table13[[#This Row],[template]]="","",HEX2DEC(Table13[[#This Row],[Addr_Hex]]))</f>
        <v>1054</v>
      </c>
    </row>
    <row r="263" spans="2:29" x14ac:dyDescent="0.3">
      <c r="B263" s="13">
        <v>1000</v>
      </c>
      <c r="C263" s="4" t="s">
        <v>233</v>
      </c>
      <c r="D263" s="9" t="str">
        <f>UPPER(Table13[[#This Row],[SIGNAL]])</f>
        <v>EV_MEVCODEA_31</v>
      </c>
      <c r="E263" s="9" t="str">
        <f>IF(Table13[[#This Row],[template]]="","","0x"&amp;Table13[[#This Row],[IP_Index]]&amp;DEC2HEX(Table13[[#This Row],[Addr_Dec]]*4,7))</f>
        <v>0x1000107C</v>
      </c>
      <c r="F263" s="9" t="str">
        <f>IF(Table13[[#This Row],[template]]="","",VLOOKUP(Table13[[#This Row],[template]],Table2915[],2,FALSE))</f>
        <v>asynParamInt32</v>
      </c>
      <c r="G263" s="18" t="str">
        <f>IF(Table13[[#This Row],[template]]="","","1")</f>
        <v>1</v>
      </c>
      <c r="H263" s="10"/>
      <c r="I263" s="13" t="str">
        <f>IF(Table13[[#This Row],[template]]="","","0x"&amp;Table13[[#This Row],[D_Index]]&amp;"000")</f>
        <v>0x01000000</v>
      </c>
      <c r="J263" s="18"/>
      <c r="K263" s="10">
        <v>0</v>
      </c>
      <c r="L263" s="10"/>
      <c r="M263" s="11" t="str">
        <f>IF(Table13[[#This Row],[template]]="","",VLOOKUP(Table13[[#This Row],[template]],Table2915[],3,FALSE))</f>
        <v xml:space="preserve"> </v>
      </c>
      <c r="N263" s="10"/>
      <c r="O263" s="11"/>
      <c r="P263" s="9" t="str">
        <f>IF(Table13[[#This Row],[template]]="","",Table13[[#This Row],[IP]]&amp;"_"&amp;Table13[[#This Row],[PARAM_NAME]]&amp;IF(Table13[[#This Row],[SUB]]="","","_"&amp;Table13[[#This Row],[SUB]]))</f>
        <v>ev_mevCodeA_31</v>
      </c>
      <c r="Q263" s="1" t="s">
        <v>262</v>
      </c>
      <c r="R263" s="1" t="s">
        <v>452</v>
      </c>
      <c r="S263" s="6" t="s">
        <v>294</v>
      </c>
      <c r="T263" s="20" t="str">
        <f>DEC2HEX(HEX2DEC(Table13[[#This Row],[Index]])/4+Table13[[#This Row],[SUB]],4)</f>
        <v>041F</v>
      </c>
      <c r="U263" s="6" t="s">
        <v>363</v>
      </c>
      <c r="V263" s="1" t="s">
        <v>254</v>
      </c>
      <c r="W263" s="16">
        <v>0</v>
      </c>
      <c r="X263" s="6" t="s">
        <v>363</v>
      </c>
      <c r="AA263" s="11">
        <f>IF(Table13[[#This Row],[template]]="","",VLOOKUP(Table13[[#This Row],[IP]],Table51117[],2,FALSE))</f>
        <v>1</v>
      </c>
      <c r="AB263" s="13" t="str">
        <f>IF(Table13[[#This Row],[template]]="","",DEC2HEX(VLOOKUP(Table13[[#This Row],[D1-Type]],Table351218[],2,FALSE),1)&amp;DEC2HEX(VLOOKUP(Table13[[#This Row],[D2-Type]],Table31016[],2,FALSE),1)&amp; DEC2HEX(Table13[[#This Row],[D2-Offset]],2)&amp;DEC2HEX(VLOOKUP(Table13[[#This Row],[D3-Type]],Table371319[],2,FALSE),1))</f>
        <v>01000</v>
      </c>
      <c r="AC263" s="14">
        <f>IF(Table13[[#This Row],[template]]="","",HEX2DEC(Table13[[#This Row],[Addr_Hex]]))</f>
        <v>1055</v>
      </c>
    </row>
    <row r="264" spans="2:29" x14ac:dyDescent="0.3">
      <c r="B264" s="4">
        <v>386</v>
      </c>
      <c r="C264" s="4"/>
      <c r="D264" s="2"/>
      <c r="E264" s="2"/>
      <c r="F264" s="2"/>
      <c r="M264" s="11" t="str">
        <f>IF(Table13[[#This Row],[template]]="","",VLOOKUP(Table13[[#This Row],[template]],Table2915[],3,FALSE))</f>
        <v/>
      </c>
      <c r="P264" s="2"/>
      <c r="S264" s="6"/>
      <c r="T264" s="20"/>
      <c r="U264" s="6"/>
      <c r="W264" s="16"/>
      <c r="X264" s="6"/>
      <c r="AB264" s="4"/>
      <c r="AC264" s="17"/>
    </row>
    <row r="265" spans="2:29" x14ac:dyDescent="0.3">
      <c r="B265" s="4">
        <v>387</v>
      </c>
      <c r="C265" s="4" t="s">
        <v>485</v>
      </c>
      <c r="D265" s="9" t="str">
        <f>UPPER(Table13[[#This Row],[SIGNAL]])</f>
        <v>EV_SEQA_CFG</v>
      </c>
      <c r="E265" s="9" t="str">
        <f>IF(Table13[[#This Row],[template]]="","","0x"&amp;Table13[[#This Row],[IP_Index]]&amp;DEC2HEX(Table13[[#This Row],[Addr_Dec]]*4,7))</f>
        <v>0x10002000</v>
      </c>
      <c r="F265" s="9" t="str">
        <f>IF(Table13[[#This Row],[template]]="","",VLOOKUP(Table13[[#This Row],[template]],Table2915[],2,FALSE))</f>
        <v>asynParamInt32</v>
      </c>
      <c r="G265" s="18" t="str">
        <f>IF(Table13[[#This Row],[template]]="","","1")</f>
        <v>1</v>
      </c>
      <c r="H265" s="26" t="s">
        <v>491</v>
      </c>
      <c r="I265" s="13" t="str">
        <f>IF(Table13[[#This Row],[template]]="","","0x"&amp;Table13[[#This Row],[D_Index]]&amp;"000")</f>
        <v>0x01000000</v>
      </c>
      <c r="J265" s="18"/>
      <c r="K265" s="10">
        <v>0</v>
      </c>
      <c r="L265" s="10"/>
      <c r="M265" s="11" t="str">
        <f>IF(Table13[[#This Row],[template]]="","",VLOOKUP(Table13[[#This Row],[template]],Table2915[],3,FALSE))</f>
        <v>asynInt32ArrayOut</v>
      </c>
      <c r="N265" s="10">
        <v>2048</v>
      </c>
      <c r="P265" s="9" t="str">
        <f>IF(Table13[[#This Row],[template]]="","",Table13[[#This Row],[IP]]&amp;"_"&amp;Table13[[#This Row],[PARAM_NAME]]&amp;IF(Table13[[#This Row],[SUB]]="","","_"&amp;Table13[[#This Row],[SUB]]))</f>
        <v>ev_seqA_Cfg</v>
      </c>
      <c r="Q265" s="1" t="s">
        <v>262</v>
      </c>
      <c r="R265" s="1" t="s">
        <v>472</v>
      </c>
      <c r="S265" s="6"/>
      <c r="T265" s="4" t="s">
        <v>473</v>
      </c>
      <c r="U265" s="6" t="s">
        <v>363</v>
      </c>
      <c r="V265" s="1" t="s">
        <v>254</v>
      </c>
      <c r="W265" s="16">
        <v>0</v>
      </c>
      <c r="X265" s="6" t="s">
        <v>363</v>
      </c>
      <c r="AA265" s="11">
        <f>IF(Table13[[#This Row],[template]]="","",VLOOKUP(Table13[[#This Row],[IP]],Table51117[],2,FALSE))</f>
        <v>1</v>
      </c>
      <c r="AB265" s="13" t="str">
        <f>IF(Table13[[#This Row],[template]]="","",DEC2HEX(VLOOKUP(Table13[[#This Row],[D1-Type]],Table351218[],2,FALSE),1)&amp;DEC2HEX(VLOOKUP(Table13[[#This Row],[D2-Type]],Table31016[],2,FALSE),1)&amp; DEC2HEX(Table13[[#This Row],[D2-Offset]],2)&amp;DEC2HEX(VLOOKUP(Table13[[#This Row],[D3-Type]],Table371319[],2,FALSE),1))</f>
        <v>01000</v>
      </c>
      <c r="AC265" s="14">
        <f>IF(Table13[[#This Row],[template]]="","",HEX2DEC(Table13[[#This Row],[Addr_Hex]]))</f>
        <v>2048</v>
      </c>
    </row>
    <row r="266" spans="2:29" x14ac:dyDescent="0.3">
      <c r="B266" s="4">
        <v>388</v>
      </c>
      <c r="C266" s="4" t="s">
        <v>485</v>
      </c>
      <c r="D266" s="9" t="str">
        <f>UPPER(Table13[[#This Row],[SIGNAL]])</f>
        <v>EV_SEQA_TSTAMP</v>
      </c>
      <c r="E266" s="9" t="str">
        <f>IF(Table13[[#This Row],[template]]="","","0x"&amp;Table13[[#This Row],[IP_Index]]&amp;DEC2HEX(Table13[[#This Row],[Addr_Dec]]*4,7))</f>
        <v>0x10004000</v>
      </c>
      <c r="F266" s="9" t="str">
        <f>IF(Table13[[#This Row],[template]]="","",VLOOKUP(Table13[[#This Row],[template]],Table2915[],2,FALSE))</f>
        <v>asynParamInt32</v>
      </c>
      <c r="G266" s="18" t="str">
        <f>IF(Table13[[#This Row],[template]]="","","1")</f>
        <v>1</v>
      </c>
      <c r="H266" s="26" t="s">
        <v>491</v>
      </c>
      <c r="I266" s="13" t="str">
        <f>IF(Table13[[#This Row],[template]]="","","0x"&amp;Table13[[#This Row],[D_Index]]&amp;"000")</f>
        <v>0x01000000</v>
      </c>
      <c r="J266" s="18"/>
      <c r="K266" s="10">
        <v>0</v>
      </c>
      <c r="L266" s="10"/>
      <c r="M266" s="11" t="str">
        <f>IF(Table13[[#This Row],[template]]="","",VLOOKUP(Table13[[#This Row],[template]],Table2915[],3,FALSE))</f>
        <v>asynInt32ArrayOut</v>
      </c>
      <c r="N266" s="10">
        <v>2048</v>
      </c>
      <c r="P266" s="9" t="str">
        <f>IF(Table13[[#This Row],[template]]="","",Table13[[#This Row],[IP]]&amp;"_"&amp;Table13[[#This Row],[PARAM_NAME]]&amp;IF(Table13[[#This Row],[SUB]]="","","_"&amp;Table13[[#This Row],[SUB]]))</f>
        <v>ev_seqA_TStamp</v>
      </c>
      <c r="Q266" s="1" t="s">
        <v>262</v>
      </c>
      <c r="R266" s="1" t="s">
        <v>474</v>
      </c>
      <c r="S266" s="6"/>
      <c r="T266" s="4" t="s">
        <v>475</v>
      </c>
      <c r="U266" s="6" t="s">
        <v>363</v>
      </c>
      <c r="V266" s="1" t="s">
        <v>254</v>
      </c>
      <c r="W266" s="16">
        <v>0</v>
      </c>
      <c r="X266" s="6" t="s">
        <v>363</v>
      </c>
      <c r="AA266" s="11">
        <f>IF(Table13[[#This Row],[template]]="","",VLOOKUP(Table13[[#This Row],[IP]],Table51117[],2,FALSE))</f>
        <v>1</v>
      </c>
      <c r="AB266" s="13" t="str">
        <f>IF(Table13[[#This Row],[template]]="","",DEC2HEX(VLOOKUP(Table13[[#This Row],[D1-Type]],Table351218[],2,FALSE),1)&amp;DEC2HEX(VLOOKUP(Table13[[#This Row],[D2-Type]],Table31016[],2,FALSE),1)&amp; DEC2HEX(Table13[[#This Row],[D2-Offset]],2)&amp;DEC2HEX(VLOOKUP(Table13[[#This Row],[D3-Type]],Table371319[],2,FALSE),1))</f>
        <v>01000</v>
      </c>
      <c r="AC266" s="14">
        <f>IF(Table13[[#This Row],[template]]="","",HEX2DEC(Table13[[#This Row],[Addr_Hex]]))</f>
        <v>4096</v>
      </c>
    </row>
    <row r="267" spans="2:29" x14ac:dyDescent="0.3">
      <c r="B267" s="4">
        <v>389</v>
      </c>
      <c r="C267" s="4" t="s">
        <v>485</v>
      </c>
      <c r="D267" s="9" t="str">
        <f>UPPER(Table13[[#This Row],[SIGNAL]])</f>
        <v>EV_SEQB_CFG</v>
      </c>
      <c r="E267" s="9" t="str">
        <f>IF(Table13[[#This Row],[template]]="","","0x"&amp;Table13[[#This Row],[IP_Index]]&amp;DEC2HEX(Table13[[#This Row],[Addr_Dec]]*4,7))</f>
        <v>0x10006000</v>
      </c>
      <c r="F267" s="9" t="str">
        <f>IF(Table13[[#This Row],[template]]="","",VLOOKUP(Table13[[#This Row],[template]],Table2915[],2,FALSE))</f>
        <v>asynParamInt32</v>
      </c>
      <c r="G267" s="18" t="str">
        <f>IF(Table13[[#This Row],[template]]="","","1")</f>
        <v>1</v>
      </c>
      <c r="H267" s="26" t="s">
        <v>491</v>
      </c>
      <c r="I267" s="13" t="str">
        <f>IF(Table13[[#This Row],[template]]="","","0x"&amp;Table13[[#This Row],[D_Index]]&amp;"000")</f>
        <v>0x01000000</v>
      </c>
      <c r="J267" s="18"/>
      <c r="K267" s="10">
        <v>0</v>
      </c>
      <c r="L267" s="10"/>
      <c r="M267" s="11" t="str">
        <f>IF(Table13[[#This Row],[template]]="","",VLOOKUP(Table13[[#This Row],[template]],Table2915[],3,FALSE))</f>
        <v>asynInt32ArrayOut</v>
      </c>
      <c r="N267" s="10">
        <v>2048</v>
      </c>
      <c r="P267" s="9" t="str">
        <f>IF(Table13[[#This Row],[template]]="","",Table13[[#This Row],[IP]]&amp;"_"&amp;Table13[[#This Row],[PARAM_NAME]]&amp;IF(Table13[[#This Row],[SUB]]="","","_"&amp;Table13[[#This Row],[SUB]]))</f>
        <v>ev_seqB_Cfg</v>
      </c>
      <c r="Q267" s="1" t="s">
        <v>262</v>
      </c>
      <c r="R267" s="1" t="s">
        <v>476</v>
      </c>
      <c r="S267" s="6"/>
      <c r="T267" s="4" t="s">
        <v>477</v>
      </c>
      <c r="U267" s="6" t="s">
        <v>363</v>
      </c>
      <c r="V267" s="1" t="s">
        <v>254</v>
      </c>
      <c r="W267" s="16">
        <v>0</v>
      </c>
      <c r="X267" s="6" t="s">
        <v>363</v>
      </c>
      <c r="AA267" s="11">
        <f>IF(Table13[[#This Row],[template]]="","",VLOOKUP(Table13[[#This Row],[IP]],Table51117[],2,FALSE))</f>
        <v>1</v>
      </c>
      <c r="AB267" s="13" t="str">
        <f>IF(Table13[[#This Row],[template]]="","",DEC2HEX(VLOOKUP(Table13[[#This Row],[D1-Type]],Table351218[],2,FALSE),1)&amp;DEC2HEX(VLOOKUP(Table13[[#This Row],[D2-Type]],Table31016[],2,FALSE),1)&amp; DEC2HEX(Table13[[#This Row],[D2-Offset]],2)&amp;DEC2HEX(VLOOKUP(Table13[[#This Row],[D3-Type]],Table371319[],2,FALSE),1))</f>
        <v>01000</v>
      </c>
      <c r="AC267" s="14">
        <f>IF(Table13[[#This Row],[template]]="","",HEX2DEC(Table13[[#This Row],[Addr_Hex]]))</f>
        <v>6144</v>
      </c>
    </row>
    <row r="268" spans="2:29" x14ac:dyDescent="0.3">
      <c r="B268" s="4">
        <v>390</v>
      </c>
      <c r="C268" s="4" t="s">
        <v>485</v>
      </c>
      <c r="D268" s="9" t="str">
        <f>UPPER(Table13[[#This Row],[SIGNAL]])</f>
        <v>EV_SEQB_TSTAMP</v>
      </c>
      <c r="E268" s="9" t="str">
        <f>IF(Table13[[#This Row],[template]]="","","0x"&amp;Table13[[#This Row],[IP_Index]]&amp;DEC2HEX(Table13[[#This Row],[Addr_Dec]]*4,7))</f>
        <v>0x10008000</v>
      </c>
      <c r="F268" s="9" t="str">
        <f>IF(Table13[[#This Row],[template]]="","",VLOOKUP(Table13[[#This Row],[template]],Table2915[],2,FALSE))</f>
        <v>asynParamInt32</v>
      </c>
      <c r="G268" s="18" t="str">
        <f>IF(Table13[[#This Row],[template]]="","","1")</f>
        <v>1</v>
      </c>
      <c r="H268" s="26" t="s">
        <v>491</v>
      </c>
      <c r="I268" s="13" t="str">
        <f>IF(Table13[[#This Row],[template]]="","","0x"&amp;Table13[[#This Row],[D_Index]]&amp;"000")</f>
        <v>0x01000000</v>
      </c>
      <c r="J268" s="18"/>
      <c r="K268" s="10">
        <v>0</v>
      </c>
      <c r="L268" s="10"/>
      <c r="M268" s="11" t="str">
        <f>IF(Table13[[#This Row],[template]]="","",VLOOKUP(Table13[[#This Row],[template]],Table2915[],3,FALSE))</f>
        <v>asynInt32ArrayOut</v>
      </c>
      <c r="N268" s="10">
        <v>2048</v>
      </c>
      <c r="P268" s="9" t="str">
        <f>IF(Table13[[#This Row],[template]]="","",Table13[[#This Row],[IP]]&amp;"_"&amp;Table13[[#This Row],[PARAM_NAME]]&amp;IF(Table13[[#This Row],[SUB]]="","","_"&amp;Table13[[#This Row],[SUB]]))</f>
        <v>ev_seqB_TStamp</v>
      </c>
      <c r="Q268" s="1" t="s">
        <v>262</v>
      </c>
      <c r="R268" s="1" t="s">
        <v>478</v>
      </c>
      <c r="S268" s="6"/>
      <c r="T268" s="4" t="s">
        <v>479</v>
      </c>
      <c r="U268" s="6" t="s">
        <v>363</v>
      </c>
      <c r="V268" s="1" t="s">
        <v>254</v>
      </c>
      <c r="W268" s="16">
        <v>0</v>
      </c>
      <c r="X268" s="6" t="s">
        <v>363</v>
      </c>
      <c r="AA268" s="11">
        <f>IF(Table13[[#This Row],[template]]="","",VLOOKUP(Table13[[#This Row],[IP]],Table51117[],2,FALSE))</f>
        <v>1</v>
      </c>
      <c r="AB268" s="13" t="str">
        <f>IF(Table13[[#This Row],[template]]="","",DEC2HEX(VLOOKUP(Table13[[#This Row],[D1-Type]],Table351218[],2,FALSE),1)&amp;DEC2HEX(VLOOKUP(Table13[[#This Row],[D2-Type]],Table31016[],2,FALSE),1)&amp; DEC2HEX(Table13[[#This Row],[D2-Offset]],2)&amp;DEC2HEX(VLOOKUP(Table13[[#This Row],[D3-Type]],Table371319[],2,FALSE),1))</f>
        <v>01000</v>
      </c>
      <c r="AC268" s="14">
        <f>IF(Table13[[#This Row],[template]]="","",HEX2DEC(Table13[[#This Row],[Addr_Hex]]))</f>
        <v>8192</v>
      </c>
    </row>
    <row r="269" spans="2:29" x14ac:dyDescent="0.3">
      <c r="B269" s="4">
        <v>391</v>
      </c>
      <c r="C269" s="4" t="s">
        <v>485</v>
      </c>
      <c r="D269" s="9" t="str">
        <f>UPPER(Table13[[#This Row],[SIGNAL]])</f>
        <v>EV_MAP_RAM</v>
      </c>
      <c r="E269" s="9" t="str">
        <f>IF(Table13[[#This Row],[template]]="","","0x"&amp;Table13[[#This Row],[IP_Index]]&amp;DEC2HEX(Table13[[#This Row],[Addr_Dec]]*4,7))</f>
        <v>0x1000A000</v>
      </c>
      <c r="F269" s="9" t="str">
        <f>IF(Table13[[#This Row],[template]]="","",VLOOKUP(Table13[[#This Row],[template]],Table2915[],2,FALSE))</f>
        <v>asynParamInt32</v>
      </c>
      <c r="G269" s="18" t="str">
        <f>IF(Table13[[#This Row],[template]]="","","1")</f>
        <v>1</v>
      </c>
      <c r="H269" s="26" t="s">
        <v>491</v>
      </c>
      <c r="I269" s="13" t="str">
        <f>IF(Table13[[#This Row],[template]]="","","0x"&amp;Table13[[#This Row],[D_Index]]&amp;"000")</f>
        <v>0x01000000</v>
      </c>
      <c r="J269" s="18"/>
      <c r="K269" s="10">
        <v>0</v>
      </c>
      <c r="L269" s="10"/>
      <c r="M269" s="11" t="str">
        <f>IF(Table13[[#This Row],[template]]="","",VLOOKUP(Table13[[#This Row],[template]],Table2915[],3,FALSE))</f>
        <v>asynInt32ArrayOut</v>
      </c>
      <c r="N269" s="10">
        <v>2048</v>
      </c>
      <c r="P269" s="9" t="str">
        <f>IF(Table13[[#This Row],[template]]="","",Table13[[#This Row],[IP]]&amp;"_"&amp;Table13[[#This Row],[PARAM_NAME]]&amp;IF(Table13[[#This Row],[SUB]]="","","_"&amp;Table13[[#This Row],[SUB]]))</f>
        <v>ev_map_Ram</v>
      </c>
      <c r="Q269" s="1" t="s">
        <v>262</v>
      </c>
      <c r="R269" s="1" t="s">
        <v>481</v>
      </c>
      <c r="S269" s="6"/>
      <c r="T269" s="4" t="s">
        <v>480</v>
      </c>
      <c r="U269" s="6" t="s">
        <v>363</v>
      </c>
      <c r="V269" s="1" t="s">
        <v>254</v>
      </c>
      <c r="W269" s="16">
        <v>0</v>
      </c>
      <c r="X269" s="6" t="s">
        <v>363</v>
      </c>
      <c r="AA269" s="11">
        <f>IF(Table13[[#This Row],[template]]="","",VLOOKUP(Table13[[#This Row],[IP]],Table51117[],2,FALSE))</f>
        <v>1</v>
      </c>
      <c r="AB269" s="13" t="str">
        <f>IF(Table13[[#This Row],[template]]="","",DEC2HEX(VLOOKUP(Table13[[#This Row],[D1-Type]],Table351218[],2,FALSE),1)&amp;DEC2HEX(VLOOKUP(Table13[[#This Row],[D2-Type]],Table31016[],2,FALSE),1)&amp; DEC2HEX(Table13[[#This Row],[D2-Offset]],2)&amp;DEC2HEX(VLOOKUP(Table13[[#This Row],[D3-Type]],Table371319[],2,FALSE),1))</f>
        <v>01000</v>
      </c>
      <c r="AC269" s="14">
        <f>IF(Table13[[#This Row],[template]]="","",HEX2DEC(Table13[[#This Row],[Addr_Hex]]))</f>
        <v>10240</v>
      </c>
    </row>
    <row r="270" spans="2:29" x14ac:dyDescent="0.3">
      <c r="B270" s="4">
        <v>392</v>
      </c>
      <c r="C270" s="4"/>
      <c r="D270" s="2"/>
      <c r="E270" s="2"/>
      <c r="F270" s="2"/>
      <c r="M270" s="11" t="str">
        <f>IF(Table13[[#This Row],[template]]="","",VLOOKUP(Table13[[#This Row],[template]],Table2915[],3,FALSE))</f>
        <v/>
      </c>
      <c r="P270" s="2"/>
      <c r="S270" s="6"/>
      <c r="T270" s="4"/>
      <c r="U270" s="6"/>
      <c r="W270" s="16"/>
      <c r="X270" s="6"/>
      <c r="AB270" s="4"/>
      <c r="AC270" s="17"/>
    </row>
    <row r="271" spans="2:29" x14ac:dyDescent="0.3">
      <c r="B271" s="4">
        <v>393</v>
      </c>
      <c r="C271" s="4" t="s">
        <v>233</v>
      </c>
      <c r="D271" s="9" t="str">
        <f>UPPER(Table13[[#This Row],[SIGNAL]])</f>
        <v>EV_TRIG_SEL_0</v>
      </c>
      <c r="E271" s="9" t="str">
        <f>IF(Table13[[#This Row],[template]]="","","0x"&amp;Table13[[#This Row],[IP_Index]]&amp;DEC2HEX(Table13[[#This Row],[Addr_Dec]]*4,7))</f>
        <v>0x10000194</v>
      </c>
      <c r="F271" s="9" t="str">
        <f>IF(Table13[[#This Row],[template]]="","",VLOOKUP(Table13[[#This Row],[template]],Table2915[],2,FALSE))</f>
        <v>asynParamInt32</v>
      </c>
      <c r="G271" s="18" t="str">
        <f>IF(Table13[[#This Row],[template]]="","","1")</f>
        <v>1</v>
      </c>
      <c r="H271" s="10"/>
      <c r="I271" s="13" t="str">
        <f>IF(Table13[[#This Row],[template]]="","","0x"&amp;Table13[[#This Row],[D_Index]]&amp;"000")</f>
        <v>0x03000000</v>
      </c>
      <c r="J271" s="18"/>
      <c r="K271" s="10">
        <v>0</v>
      </c>
      <c r="L271" s="10"/>
      <c r="M271" s="11" t="str">
        <f>IF(Table13[[#This Row],[template]]="","",VLOOKUP(Table13[[#This Row],[template]],Table2915[],3,FALSE))</f>
        <v xml:space="preserve"> </v>
      </c>
      <c r="N271" s="10"/>
      <c r="P271" s="9" t="str">
        <f>IF(Table13[[#This Row],[template]]="","",Table13[[#This Row],[IP]]&amp;"_"&amp;Table13[[#This Row],[PARAM_NAME]]&amp;IF(Table13[[#This Row],[SUB]]="","","_"&amp;Table13[[#This Row],[SUB]]))</f>
        <v>ev_TRIG_SEL_0</v>
      </c>
      <c r="Q271" s="1" t="s">
        <v>262</v>
      </c>
      <c r="R271" s="1" t="s">
        <v>494</v>
      </c>
      <c r="S271" s="6" t="s">
        <v>786</v>
      </c>
      <c r="T271" s="4">
        <v>65</v>
      </c>
      <c r="U271" s="6" t="s">
        <v>363</v>
      </c>
      <c r="V271" s="1" t="s">
        <v>787</v>
      </c>
      <c r="W271" s="16">
        <v>0</v>
      </c>
      <c r="X271" s="6" t="s">
        <v>363</v>
      </c>
      <c r="AA271" s="11">
        <f>IF(Table13[[#This Row],[template]]="","",VLOOKUP(Table13[[#This Row],[IP]],Table51117[],2,FALSE))</f>
        <v>1</v>
      </c>
      <c r="AB271" s="13" t="str">
        <f>IF(Table13[[#This Row],[template]]="","",DEC2HEX(VLOOKUP(Table13[[#This Row],[D1-Type]],Table351218[],2,FALSE),1)&amp;DEC2HEX(VLOOKUP(Table13[[#This Row],[D2-Type]],Table31016[],2,FALSE),1)&amp; DEC2HEX(Table13[[#This Row],[D2-Offset]],2)&amp;DEC2HEX(VLOOKUP(Table13[[#This Row],[D3-Type]],Table371319[],2,FALSE),1))</f>
        <v>03000</v>
      </c>
      <c r="AC271" s="14">
        <f>IF(Table13[[#This Row],[template]]="","",HEX2DEC(Table13[[#This Row],[Addr_Hex]]))</f>
        <v>101</v>
      </c>
    </row>
    <row r="272" spans="2:29" x14ac:dyDescent="0.3">
      <c r="B272" s="4">
        <v>394</v>
      </c>
      <c r="C272" s="4" t="s">
        <v>233</v>
      </c>
      <c r="D272" s="9" t="str">
        <f>UPPER(Table13[[#This Row],[SIGNAL]])</f>
        <v>EV_TRIG_SEL_1</v>
      </c>
      <c r="E272" s="9" t="str">
        <f>IF(Table13[[#This Row],[template]]="","","0x"&amp;Table13[[#This Row],[IP_Index]]&amp;DEC2HEX(Table13[[#This Row],[Addr_Dec]]*4,7))</f>
        <v>0x10000194</v>
      </c>
      <c r="F272" s="9" t="str">
        <f>IF(Table13[[#This Row],[template]]="","",VLOOKUP(Table13[[#This Row],[template]],Table2915[],2,FALSE))</f>
        <v>asynParamInt32</v>
      </c>
      <c r="G272" s="18" t="str">
        <f>IF(Table13[[#This Row],[template]]="","","1")</f>
        <v>1</v>
      </c>
      <c r="H272" s="10"/>
      <c r="I272" s="13" t="str">
        <f>IF(Table13[[#This Row],[template]]="","","0x"&amp;Table13[[#This Row],[D_Index]]&amp;"000")</f>
        <v>0x03080000</v>
      </c>
      <c r="J272" s="18"/>
      <c r="K272" s="10">
        <v>0</v>
      </c>
      <c r="L272" s="10"/>
      <c r="M272" s="11" t="str">
        <f>IF(Table13[[#This Row],[template]]="","",VLOOKUP(Table13[[#This Row],[template]],Table2915[],3,FALSE))</f>
        <v xml:space="preserve"> </v>
      </c>
      <c r="N272" s="10"/>
      <c r="P272" s="9" t="str">
        <f>IF(Table13[[#This Row],[template]]="","",Table13[[#This Row],[IP]]&amp;"_"&amp;Table13[[#This Row],[PARAM_NAME]]&amp;IF(Table13[[#This Row],[SUB]]="","","_"&amp;Table13[[#This Row],[SUB]]))</f>
        <v>ev_TRIG_SEL_1</v>
      </c>
      <c r="Q272" s="1" t="s">
        <v>262</v>
      </c>
      <c r="R272" s="1" t="s">
        <v>494</v>
      </c>
      <c r="S272" s="6" t="s">
        <v>271</v>
      </c>
      <c r="T272" s="4">
        <v>65</v>
      </c>
      <c r="U272" s="6" t="s">
        <v>363</v>
      </c>
      <c r="V272" s="1" t="s">
        <v>787</v>
      </c>
      <c r="W272" s="16">
        <v>8</v>
      </c>
      <c r="X272" s="6" t="s">
        <v>363</v>
      </c>
      <c r="AA272" s="11">
        <f>IF(Table13[[#This Row],[template]]="","",VLOOKUP(Table13[[#This Row],[IP]],Table51117[],2,FALSE))</f>
        <v>1</v>
      </c>
      <c r="AB272" s="13" t="str">
        <f>IF(Table13[[#This Row],[template]]="","",DEC2HEX(VLOOKUP(Table13[[#This Row],[D1-Type]],Table351218[],2,FALSE),1)&amp;DEC2HEX(VLOOKUP(Table13[[#This Row],[D2-Type]],Table31016[],2,FALSE),1)&amp; DEC2HEX(Table13[[#This Row],[D2-Offset]],2)&amp;DEC2HEX(VLOOKUP(Table13[[#This Row],[D3-Type]],Table371319[],2,FALSE),1))</f>
        <v>03080</v>
      </c>
      <c r="AC272" s="14">
        <f>IF(Table13[[#This Row],[template]]="","",HEX2DEC(Table13[[#This Row],[Addr_Hex]]))</f>
        <v>101</v>
      </c>
    </row>
    <row r="273" spans="2:29" x14ac:dyDescent="0.3">
      <c r="B273" s="4">
        <v>395</v>
      </c>
      <c r="C273" s="4" t="s">
        <v>233</v>
      </c>
      <c r="D273" s="9" t="str">
        <f>UPPER(Table13[[#This Row],[SIGNAL]])</f>
        <v>EV_TRIG_SEL_2</v>
      </c>
      <c r="E273" s="9" t="str">
        <f>IF(Table13[[#This Row],[template]]="","","0x"&amp;Table13[[#This Row],[IP_Index]]&amp;DEC2HEX(Table13[[#This Row],[Addr_Dec]]*4,7))</f>
        <v>0x10000194</v>
      </c>
      <c r="F273" s="9" t="str">
        <f>IF(Table13[[#This Row],[template]]="","",VLOOKUP(Table13[[#This Row],[template]],Table2915[],2,FALSE))</f>
        <v>asynParamInt32</v>
      </c>
      <c r="G273" s="18" t="str">
        <f>IF(Table13[[#This Row],[template]]="","","1")</f>
        <v>1</v>
      </c>
      <c r="H273" s="10"/>
      <c r="I273" s="13" t="str">
        <f>IF(Table13[[#This Row],[template]]="","","0x"&amp;Table13[[#This Row],[D_Index]]&amp;"000")</f>
        <v>0x03100000</v>
      </c>
      <c r="J273" s="18"/>
      <c r="K273" s="10">
        <v>0</v>
      </c>
      <c r="L273" s="10"/>
      <c r="M273" s="11" t="str">
        <f>IF(Table13[[#This Row],[template]]="","",VLOOKUP(Table13[[#This Row],[template]],Table2915[],3,FALSE))</f>
        <v xml:space="preserve"> </v>
      </c>
      <c r="N273" s="10"/>
      <c r="P273" s="9" t="str">
        <f>IF(Table13[[#This Row],[template]]="","",Table13[[#This Row],[IP]]&amp;"_"&amp;Table13[[#This Row],[PARAM_NAME]]&amp;IF(Table13[[#This Row],[SUB]]="","","_"&amp;Table13[[#This Row],[SUB]]))</f>
        <v>ev_TRIG_SEL_2</v>
      </c>
      <c r="Q273" s="1" t="s">
        <v>262</v>
      </c>
      <c r="R273" s="1" t="s">
        <v>494</v>
      </c>
      <c r="S273" s="6" t="s">
        <v>243</v>
      </c>
      <c r="T273" s="4">
        <v>65</v>
      </c>
      <c r="U273" s="6" t="s">
        <v>363</v>
      </c>
      <c r="V273" s="1" t="s">
        <v>787</v>
      </c>
      <c r="W273" s="16">
        <v>16</v>
      </c>
      <c r="X273" s="6" t="s">
        <v>363</v>
      </c>
      <c r="AA273" s="11">
        <f>IF(Table13[[#This Row],[template]]="","",VLOOKUP(Table13[[#This Row],[IP]],Table51117[],2,FALSE))</f>
        <v>1</v>
      </c>
      <c r="AB273" s="13" t="str">
        <f>IF(Table13[[#This Row],[template]]="","",DEC2HEX(VLOOKUP(Table13[[#This Row],[D1-Type]],Table351218[],2,FALSE),1)&amp;DEC2HEX(VLOOKUP(Table13[[#This Row],[D2-Type]],Table31016[],2,FALSE),1)&amp; DEC2HEX(Table13[[#This Row],[D2-Offset]],2)&amp;DEC2HEX(VLOOKUP(Table13[[#This Row],[D3-Type]],Table371319[],2,FALSE),1))</f>
        <v>03100</v>
      </c>
      <c r="AC273" s="14">
        <f>IF(Table13[[#This Row],[template]]="","",HEX2DEC(Table13[[#This Row],[Addr_Hex]]))</f>
        <v>101</v>
      </c>
    </row>
    <row r="274" spans="2:29" x14ac:dyDescent="0.3">
      <c r="B274" s="4">
        <v>396</v>
      </c>
      <c r="C274" s="4" t="s">
        <v>233</v>
      </c>
      <c r="D274" s="9" t="str">
        <f>UPPER(Table13[[#This Row],[SIGNAL]])</f>
        <v>EV_TRIG_SEL_3</v>
      </c>
      <c r="E274" s="9" t="str">
        <f>IF(Table13[[#This Row],[template]]="","","0x"&amp;Table13[[#This Row],[IP_Index]]&amp;DEC2HEX(Table13[[#This Row],[Addr_Dec]]*4,7))</f>
        <v>0x10000194</v>
      </c>
      <c r="F274" s="9" t="str">
        <f>IF(Table13[[#This Row],[template]]="","",VLOOKUP(Table13[[#This Row],[template]],Table2915[],2,FALSE))</f>
        <v>asynParamInt32</v>
      </c>
      <c r="G274" s="18" t="str">
        <f>IF(Table13[[#This Row],[template]]="","","1")</f>
        <v>1</v>
      </c>
      <c r="H274" s="10"/>
      <c r="I274" s="13" t="str">
        <f>IF(Table13[[#This Row],[template]]="","","0x"&amp;Table13[[#This Row],[D_Index]]&amp;"000")</f>
        <v>0x03180000</v>
      </c>
      <c r="J274" s="18"/>
      <c r="K274" s="10">
        <v>0</v>
      </c>
      <c r="L274" s="10"/>
      <c r="M274" s="11" t="str">
        <f>IF(Table13[[#This Row],[template]]="","",VLOOKUP(Table13[[#This Row],[template]],Table2915[],3,FALSE))</f>
        <v xml:space="preserve"> </v>
      </c>
      <c r="N274" s="10"/>
      <c r="P274" s="9" t="str">
        <f>IF(Table13[[#This Row],[template]]="","",Table13[[#This Row],[IP]]&amp;"_"&amp;Table13[[#This Row],[PARAM_NAME]]&amp;IF(Table13[[#This Row],[SUB]]="","","_"&amp;Table13[[#This Row],[SUB]]))</f>
        <v>ev_TRIG_SEL_3</v>
      </c>
      <c r="Q274" s="1" t="s">
        <v>262</v>
      </c>
      <c r="R274" s="1" t="s">
        <v>494</v>
      </c>
      <c r="S274" s="6" t="s">
        <v>244</v>
      </c>
      <c r="T274" s="4">
        <v>65</v>
      </c>
      <c r="U274" s="6" t="s">
        <v>363</v>
      </c>
      <c r="V274" s="1" t="s">
        <v>787</v>
      </c>
      <c r="W274" s="16">
        <v>24</v>
      </c>
      <c r="X274" s="6" t="s">
        <v>363</v>
      </c>
      <c r="AA274" s="11">
        <f>IF(Table13[[#This Row],[template]]="","",VLOOKUP(Table13[[#This Row],[IP]],Table51117[],2,FALSE))</f>
        <v>1</v>
      </c>
      <c r="AB274" s="13" t="str">
        <f>IF(Table13[[#This Row],[template]]="","",DEC2HEX(VLOOKUP(Table13[[#This Row],[D1-Type]],Table351218[],2,FALSE),1)&amp;DEC2HEX(VLOOKUP(Table13[[#This Row],[D2-Type]],Table31016[],2,FALSE),1)&amp; DEC2HEX(Table13[[#This Row],[D2-Offset]],2)&amp;DEC2HEX(VLOOKUP(Table13[[#This Row],[D3-Type]],Table371319[],2,FALSE),1))</f>
        <v>03180</v>
      </c>
      <c r="AC274" s="14">
        <f>IF(Table13[[#This Row],[template]]="","",HEX2DEC(Table13[[#This Row],[Addr_Hex]]))</f>
        <v>101</v>
      </c>
    </row>
    <row r="275" spans="2:29" x14ac:dyDescent="0.3">
      <c r="B275" s="4">
        <v>397</v>
      </c>
      <c r="C275" s="4" t="s">
        <v>233</v>
      </c>
      <c r="D275" s="9" t="str">
        <f>UPPER(Table13[[#This Row],[SIGNAL]])</f>
        <v>EV_TRIG_SEL_4</v>
      </c>
      <c r="E275" s="9" t="str">
        <f>IF(Table13[[#This Row],[template]]="","","0x"&amp;Table13[[#This Row],[IP_Index]]&amp;DEC2HEX(Table13[[#This Row],[Addr_Dec]]*4,7))</f>
        <v>0x10000198</v>
      </c>
      <c r="F275" s="9" t="str">
        <f>IF(Table13[[#This Row],[template]]="","",VLOOKUP(Table13[[#This Row],[template]],Table2915[],2,FALSE))</f>
        <v>asynParamInt32</v>
      </c>
      <c r="G275" s="18" t="str">
        <f>IF(Table13[[#This Row],[template]]="","","1")</f>
        <v>1</v>
      </c>
      <c r="H275" s="10"/>
      <c r="I275" s="13" t="str">
        <f>IF(Table13[[#This Row],[template]]="","","0x"&amp;Table13[[#This Row],[D_Index]]&amp;"000")</f>
        <v>0x03000000</v>
      </c>
      <c r="J275" s="18"/>
      <c r="K275" s="10">
        <v>0</v>
      </c>
      <c r="L275" s="10"/>
      <c r="M275" s="11" t="str">
        <f>IF(Table13[[#This Row],[template]]="","",VLOOKUP(Table13[[#This Row],[template]],Table2915[],3,FALSE))</f>
        <v xml:space="preserve"> </v>
      </c>
      <c r="N275" s="10"/>
      <c r="P275" s="9" t="str">
        <f>IF(Table13[[#This Row],[template]]="","",Table13[[#This Row],[IP]]&amp;"_"&amp;Table13[[#This Row],[PARAM_NAME]]&amp;IF(Table13[[#This Row],[SUB]]="","","_"&amp;Table13[[#This Row],[SUB]]))</f>
        <v>ev_TRIG_SEL_4</v>
      </c>
      <c r="Q275" s="1" t="s">
        <v>262</v>
      </c>
      <c r="R275" s="1" t="s">
        <v>494</v>
      </c>
      <c r="S275" s="6" t="s">
        <v>245</v>
      </c>
      <c r="T275" s="4">
        <v>66</v>
      </c>
      <c r="U275" s="6" t="s">
        <v>363</v>
      </c>
      <c r="V275" s="1" t="s">
        <v>787</v>
      </c>
      <c r="W275" s="16">
        <v>0</v>
      </c>
      <c r="X275" s="6" t="s">
        <v>363</v>
      </c>
      <c r="AA275" s="11">
        <f>IF(Table13[[#This Row],[template]]="","",VLOOKUP(Table13[[#This Row],[IP]],Table51117[],2,FALSE))</f>
        <v>1</v>
      </c>
      <c r="AB275" s="13" t="str">
        <f>IF(Table13[[#This Row],[template]]="","",DEC2HEX(VLOOKUP(Table13[[#This Row],[D1-Type]],Table351218[],2,FALSE),1)&amp;DEC2HEX(VLOOKUP(Table13[[#This Row],[D2-Type]],Table31016[],2,FALSE),1)&amp; DEC2HEX(Table13[[#This Row],[D2-Offset]],2)&amp;DEC2HEX(VLOOKUP(Table13[[#This Row],[D3-Type]],Table371319[],2,FALSE),1))</f>
        <v>03000</v>
      </c>
      <c r="AC275" s="14">
        <f>IF(Table13[[#This Row],[template]]="","",HEX2DEC(Table13[[#This Row],[Addr_Hex]]))</f>
        <v>102</v>
      </c>
    </row>
    <row r="276" spans="2:29" x14ac:dyDescent="0.3">
      <c r="B276" s="4">
        <v>398</v>
      </c>
      <c r="C276" s="4" t="s">
        <v>233</v>
      </c>
      <c r="D276" s="9" t="str">
        <f>UPPER(Table13[[#This Row],[SIGNAL]])</f>
        <v>EV_TRIG_SEL_5</v>
      </c>
      <c r="E276" s="9" t="str">
        <f>IF(Table13[[#This Row],[template]]="","","0x"&amp;Table13[[#This Row],[IP_Index]]&amp;DEC2HEX(Table13[[#This Row],[Addr_Dec]]*4,7))</f>
        <v>0x10000198</v>
      </c>
      <c r="F276" s="9" t="str">
        <f>IF(Table13[[#This Row],[template]]="","",VLOOKUP(Table13[[#This Row],[template]],Table2915[],2,FALSE))</f>
        <v>asynParamInt32</v>
      </c>
      <c r="G276" s="18" t="str">
        <f>IF(Table13[[#This Row],[template]]="","","1")</f>
        <v>1</v>
      </c>
      <c r="H276" s="10"/>
      <c r="I276" s="13" t="str">
        <f>IF(Table13[[#This Row],[template]]="","","0x"&amp;Table13[[#This Row],[D_Index]]&amp;"000")</f>
        <v>0x03080000</v>
      </c>
      <c r="J276" s="18"/>
      <c r="K276" s="10">
        <v>0</v>
      </c>
      <c r="L276" s="10"/>
      <c r="M276" s="11" t="str">
        <f>IF(Table13[[#This Row],[template]]="","",VLOOKUP(Table13[[#This Row],[template]],Table2915[],3,FALSE))</f>
        <v xml:space="preserve"> </v>
      </c>
      <c r="N276" s="10"/>
      <c r="P276" s="9" t="str">
        <f>IF(Table13[[#This Row],[template]]="","",Table13[[#This Row],[IP]]&amp;"_"&amp;Table13[[#This Row],[PARAM_NAME]]&amp;IF(Table13[[#This Row],[SUB]]="","","_"&amp;Table13[[#This Row],[SUB]]))</f>
        <v>ev_TRIG_SEL_5</v>
      </c>
      <c r="Q276" s="1" t="s">
        <v>262</v>
      </c>
      <c r="R276" s="1" t="s">
        <v>494</v>
      </c>
      <c r="S276" s="6" t="s">
        <v>246</v>
      </c>
      <c r="T276" s="4">
        <v>66</v>
      </c>
      <c r="U276" s="6" t="s">
        <v>363</v>
      </c>
      <c r="V276" s="1" t="s">
        <v>787</v>
      </c>
      <c r="W276" s="16">
        <v>8</v>
      </c>
      <c r="X276" s="6" t="s">
        <v>363</v>
      </c>
      <c r="AA276" s="11">
        <f>IF(Table13[[#This Row],[template]]="","",VLOOKUP(Table13[[#This Row],[IP]],Table51117[],2,FALSE))</f>
        <v>1</v>
      </c>
      <c r="AB276" s="13" t="str">
        <f>IF(Table13[[#This Row],[template]]="","",DEC2HEX(VLOOKUP(Table13[[#This Row],[D1-Type]],Table351218[],2,FALSE),1)&amp;DEC2HEX(VLOOKUP(Table13[[#This Row],[D2-Type]],Table31016[],2,FALSE),1)&amp; DEC2HEX(Table13[[#This Row],[D2-Offset]],2)&amp;DEC2HEX(VLOOKUP(Table13[[#This Row],[D3-Type]],Table371319[],2,FALSE),1))</f>
        <v>03080</v>
      </c>
      <c r="AC276" s="14">
        <f>IF(Table13[[#This Row],[template]]="","",HEX2DEC(Table13[[#This Row],[Addr_Hex]]))</f>
        <v>102</v>
      </c>
    </row>
    <row r="277" spans="2:29" x14ac:dyDescent="0.3">
      <c r="B277" s="4">
        <v>399</v>
      </c>
      <c r="C277" s="4" t="s">
        <v>233</v>
      </c>
      <c r="D277" s="9" t="str">
        <f>UPPER(Table13[[#This Row],[SIGNAL]])</f>
        <v>EV_TRIG_SEL_6</v>
      </c>
      <c r="E277" s="9" t="str">
        <f>IF(Table13[[#This Row],[template]]="","","0x"&amp;Table13[[#This Row],[IP_Index]]&amp;DEC2HEX(Table13[[#This Row],[Addr_Dec]]*4,7))</f>
        <v>0x10000198</v>
      </c>
      <c r="F277" s="9" t="str">
        <f>IF(Table13[[#This Row],[template]]="","",VLOOKUP(Table13[[#This Row],[template]],Table2915[],2,FALSE))</f>
        <v>asynParamInt32</v>
      </c>
      <c r="G277" s="18" t="str">
        <f>IF(Table13[[#This Row],[template]]="","","1")</f>
        <v>1</v>
      </c>
      <c r="H277" s="10"/>
      <c r="I277" s="13" t="str">
        <f>IF(Table13[[#This Row],[template]]="","","0x"&amp;Table13[[#This Row],[D_Index]]&amp;"000")</f>
        <v>0x03100000</v>
      </c>
      <c r="J277" s="18"/>
      <c r="K277" s="10">
        <v>0</v>
      </c>
      <c r="L277" s="10"/>
      <c r="M277" s="11" t="str">
        <f>IF(Table13[[#This Row],[template]]="","",VLOOKUP(Table13[[#This Row],[template]],Table2915[],3,FALSE))</f>
        <v xml:space="preserve"> </v>
      </c>
      <c r="N277" s="10"/>
      <c r="P277" s="9" t="str">
        <f>IF(Table13[[#This Row],[template]]="","",Table13[[#This Row],[IP]]&amp;"_"&amp;Table13[[#This Row],[PARAM_NAME]]&amp;IF(Table13[[#This Row],[SUB]]="","","_"&amp;Table13[[#This Row],[SUB]]))</f>
        <v>ev_TRIG_SEL_6</v>
      </c>
      <c r="Q277" s="1" t="s">
        <v>262</v>
      </c>
      <c r="R277" s="1" t="s">
        <v>494</v>
      </c>
      <c r="S277" s="6" t="s">
        <v>247</v>
      </c>
      <c r="T277" s="4">
        <v>66</v>
      </c>
      <c r="U277" s="6" t="s">
        <v>363</v>
      </c>
      <c r="V277" s="1" t="s">
        <v>787</v>
      </c>
      <c r="W277" s="16">
        <v>16</v>
      </c>
      <c r="X277" s="6" t="s">
        <v>363</v>
      </c>
      <c r="AA277" s="11">
        <f>IF(Table13[[#This Row],[template]]="","",VLOOKUP(Table13[[#This Row],[IP]],Table51117[],2,FALSE))</f>
        <v>1</v>
      </c>
      <c r="AB277" s="13" t="str">
        <f>IF(Table13[[#This Row],[template]]="","",DEC2HEX(VLOOKUP(Table13[[#This Row],[D1-Type]],Table351218[],2,FALSE),1)&amp;DEC2HEX(VLOOKUP(Table13[[#This Row],[D2-Type]],Table31016[],2,FALSE),1)&amp; DEC2HEX(Table13[[#This Row],[D2-Offset]],2)&amp;DEC2HEX(VLOOKUP(Table13[[#This Row],[D3-Type]],Table371319[],2,FALSE),1))</f>
        <v>03100</v>
      </c>
      <c r="AC277" s="14">
        <f>IF(Table13[[#This Row],[template]]="","",HEX2DEC(Table13[[#This Row],[Addr_Hex]]))</f>
        <v>102</v>
      </c>
    </row>
    <row r="278" spans="2:29" x14ac:dyDescent="0.3">
      <c r="B278" s="4">
        <v>400</v>
      </c>
      <c r="C278" s="4" t="s">
        <v>233</v>
      </c>
      <c r="D278" s="9" t="str">
        <f>UPPER(Table13[[#This Row],[SIGNAL]])</f>
        <v>EV_TRIG_SEL_7</v>
      </c>
      <c r="E278" s="9" t="str">
        <f>IF(Table13[[#This Row],[template]]="","","0x"&amp;Table13[[#This Row],[IP_Index]]&amp;DEC2HEX(Table13[[#This Row],[Addr_Dec]]*4,7))</f>
        <v>0x10000198</v>
      </c>
      <c r="F278" s="9" t="str">
        <f>IF(Table13[[#This Row],[template]]="","",VLOOKUP(Table13[[#This Row],[template]],Table2915[],2,FALSE))</f>
        <v>asynParamInt32</v>
      </c>
      <c r="G278" s="18" t="str">
        <f>IF(Table13[[#This Row],[template]]="","","1")</f>
        <v>1</v>
      </c>
      <c r="H278" s="10"/>
      <c r="I278" s="13" t="str">
        <f>IF(Table13[[#This Row],[template]]="","","0x"&amp;Table13[[#This Row],[D_Index]]&amp;"000")</f>
        <v>0x03180000</v>
      </c>
      <c r="J278" s="18"/>
      <c r="K278" s="10">
        <v>0</v>
      </c>
      <c r="L278" s="10"/>
      <c r="M278" s="11" t="str">
        <f>IF(Table13[[#This Row],[template]]="","",VLOOKUP(Table13[[#This Row],[template]],Table2915[],3,FALSE))</f>
        <v xml:space="preserve"> </v>
      </c>
      <c r="N278" s="10"/>
      <c r="P278" s="9" t="str">
        <f>IF(Table13[[#This Row],[template]]="","",Table13[[#This Row],[IP]]&amp;"_"&amp;Table13[[#This Row],[PARAM_NAME]]&amp;IF(Table13[[#This Row],[SUB]]="","","_"&amp;Table13[[#This Row],[SUB]]))</f>
        <v>ev_TRIG_SEL_7</v>
      </c>
      <c r="Q278" s="1" t="s">
        <v>262</v>
      </c>
      <c r="R278" s="1" t="s">
        <v>494</v>
      </c>
      <c r="S278" s="6" t="s">
        <v>248</v>
      </c>
      <c r="T278" s="4">
        <v>66</v>
      </c>
      <c r="U278" s="6" t="s">
        <v>363</v>
      </c>
      <c r="V278" s="1" t="s">
        <v>787</v>
      </c>
      <c r="W278" s="16">
        <v>24</v>
      </c>
      <c r="X278" s="6" t="s">
        <v>363</v>
      </c>
      <c r="AA278" s="11">
        <f>IF(Table13[[#This Row],[template]]="","",VLOOKUP(Table13[[#This Row],[IP]],Table51117[],2,FALSE))</f>
        <v>1</v>
      </c>
      <c r="AB278" s="13" t="str">
        <f>IF(Table13[[#This Row],[template]]="","",DEC2HEX(VLOOKUP(Table13[[#This Row],[D1-Type]],Table351218[],2,FALSE),1)&amp;DEC2HEX(VLOOKUP(Table13[[#This Row],[D2-Type]],Table31016[],2,FALSE),1)&amp; DEC2HEX(Table13[[#This Row],[D2-Offset]],2)&amp;DEC2HEX(VLOOKUP(Table13[[#This Row],[D3-Type]],Table371319[],2,FALSE),1))</f>
        <v>03180</v>
      </c>
      <c r="AC278" s="14">
        <f>IF(Table13[[#This Row],[template]]="","",HEX2DEC(Table13[[#This Row],[Addr_Hex]]))</f>
        <v>102</v>
      </c>
    </row>
    <row r="279" spans="2:29" x14ac:dyDescent="0.3">
      <c r="B279" s="4">
        <v>401</v>
      </c>
      <c r="C279" s="4" t="s">
        <v>233</v>
      </c>
      <c r="D279" s="9" t="str">
        <f>UPPER(Table13[[#This Row],[SIGNAL]])</f>
        <v>EV_TRIG_SEL_8</v>
      </c>
      <c r="E279" s="9" t="str">
        <f>IF(Table13[[#This Row],[template]]="","","0x"&amp;Table13[[#This Row],[IP_Index]]&amp;DEC2HEX(Table13[[#This Row],[Addr_Dec]]*4,7))</f>
        <v>0x1000019C</v>
      </c>
      <c r="F279" s="9" t="str">
        <f>IF(Table13[[#This Row],[template]]="","",VLOOKUP(Table13[[#This Row],[template]],Table2915[],2,FALSE))</f>
        <v>asynParamInt32</v>
      </c>
      <c r="G279" s="18" t="str">
        <f>IF(Table13[[#This Row],[template]]="","","1")</f>
        <v>1</v>
      </c>
      <c r="H279" s="10"/>
      <c r="I279" s="13" t="str">
        <f>IF(Table13[[#This Row],[template]]="","","0x"&amp;Table13[[#This Row],[D_Index]]&amp;"000")</f>
        <v>0x03000000</v>
      </c>
      <c r="J279" s="18"/>
      <c r="K279" s="10">
        <v>0</v>
      </c>
      <c r="L279" s="10"/>
      <c r="M279" s="11" t="str">
        <f>IF(Table13[[#This Row],[template]]="","",VLOOKUP(Table13[[#This Row],[template]],Table2915[],3,FALSE))</f>
        <v xml:space="preserve"> </v>
      </c>
      <c r="N279" s="10"/>
      <c r="P279" s="9" t="str">
        <f>IF(Table13[[#This Row],[template]]="","",Table13[[#This Row],[IP]]&amp;"_"&amp;Table13[[#This Row],[PARAM_NAME]]&amp;IF(Table13[[#This Row],[SUB]]="","","_"&amp;Table13[[#This Row],[SUB]]))</f>
        <v>ev_TRIG_SEL_8</v>
      </c>
      <c r="Q279" s="1" t="s">
        <v>262</v>
      </c>
      <c r="R279" s="1" t="s">
        <v>494</v>
      </c>
      <c r="S279" s="6" t="s">
        <v>249</v>
      </c>
      <c r="T279" s="4">
        <v>67</v>
      </c>
      <c r="U279" s="6" t="s">
        <v>363</v>
      </c>
      <c r="V279" s="1" t="s">
        <v>787</v>
      </c>
      <c r="W279" s="16">
        <v>0</v>
      </c>
      <c r="X279" s="6" t="s">
        <v>363</v>
      </c>
      <c r="AA279" s="11">
        <f>IF(Table13[[#This Row],[template]]="","",VLOOKUP(Table13[[#This Row],[IP]],Table51117[],2,FALSE))</f>
        <v>1</v>
      </c>
      <c r="AB279" s="13" t="str">
        <f>IF(Table13[[#This Row],[template]]="","",DEC2HEX(VLOOKUP(Table13[[#This Row],[D1-Type]],Table351218[],2,FALSE),1)&amp;DEC2HEX(VLOOKUP(Table13[[#This Row],[D2-Type]],Table31016[],2,FALSE),1)&amp; DEC2HEX(Table13[[#This Row],[D2-Offset]],2)&amp;DEC2HEX(VLOOKUP(Table13[[#This Row],[D3-Type]],Table371319[],2,FALSE),1))</f>
        <v>03000</v>
      </c>
      <c r="AC279" s="14">
        <f>IF(Table13[[#This Row],[template]]="","",HEX2DEC(Table13[[#This Row],[Addr_Hex]]))</f>
        <v>103</v>
      </c>
    </row>
    <row r="280" spans="2:29" x14ac:dyDescent="0.3">
      <c r="B280" s="4">
        <v>402</v>
      </c>
      <c r="C280" s="4" t="s">
        <v>233</v>
      </c>
      <c r="D280" s="9" t="str">
        <f>UPPER(Table13[[#This Row],[SIGNAL]])</f>
        <v>EV_TRIG_SEL_9</v>
      </c>
      <c r="E280" s="9" t="str">
        <f>IF(Table13[[#This Row],[template]]="","","0x"&amp;Table13[[#This Row],[IP_Index]]&amp;DEC2HEX(Table13[[#This Row],[Addr_Dec]]*4,7))</f>
        <v>0x1000019C</v>
      </c>
      <c r="F280" s="9" t="str">
        <f>IF(Table13[[#This Row],[template]]="","",VLOOKUP(Table13[[#This Row],[template]],Table2915[],2,FALSE))</f>
        <v>asynParamInt32</v>
      </c>
      <c r="G280" s="18" t="str">
        <f>IF(Table13[[#This Row],[template]]="","","1")</f>
        <v>1</v>
      </c>
      <c r="H280" s="10"/>
      <c r="I280" s="13" t="str">
        <f>IF(Table13[[#This Row],[template]]="","","0x"&amp;Table13[[#This Row],[D_Index]]&amp;"000")</f>
        <v>0x03080000</v>
      </c>
      <c r="J280" s="18"/>
      <c r="K280" s="10">
        <v>0</v>
      </c>
      <c r="L280" s="10"/>
      <c r="M280" s="11" t="str">
        <f>IF(Table13[[#This Row],[template]]="","",VLOOKUP(Table13[[#This Row],[template]],Table2915[],3,FALSE))</f>
        <v xml:space="preserve"> </v>
      </c>
      <c r="N280" s="10"/>
      <c r="P280" s="9" t="str">
        <f>IF(Table13[[#This Row],[template]]="","",Table13[[#This Row],[IP]]&amp;"_"&amp;Table13[[#This Row],[PARAM_NAME]]&amp;IF(Table13[[#This Row],[SUB]]="","","_"&amp;Table13[[#This Row],[SUB]]))</f>
        <v>ev_TRIG_SEL_9</v>
      </c>
      <c r="Q280" s="1" t="s">
        <v>262</v>
      </c>
      <c r="R280" s="1" t="s">
        <v>494</v>
      </c>
      <c r="S280" s="6" t="s">
        <v>250</v>
      </c>
      <c r="T280" s="4">
        <v>67</v>
      </c>
      <c r="U280" s="6" t="s">
        <v>363</v>
      </c>
      <c r="V280" s="1" t="s">
        <v>787</v>
      </c>
      <c r="W280" s="16">
        <v>8</v>
      </c>
      <c r="X280" s="6" t="s">
        <v>363</v>
      </c>
      <c r="AA280" s="11">
        <f>IF(Table13[[#This Row],[template]]="","",VLOOKUP(Table13[[#This Row],[IP]],Table51117[],2,FALSE))</f>
        <v>1</v>
      </c>
      <c r="AB280" s="13" t="str">
        <f>IF(Table13[[#This Row],[template]]="","",DEC2HEX(VLOOKUP(Table13[[#This Row],[D1-Type]],Table351218[],2,FALSE),1)&amp;DEC2HEX(VLOOKUP(Table13[[#This Row],[D2-Type]],Table31016[],2,FALSE),1)&amp; DEC2HEX(Table13[[#This Row],[D2-Offset]],2)&amp;DEC2HEX(VLOOKUP(Table13[[#This Row],[D3-Type]],Table371319[],2,FALSE),1))</f>
        <v>03080</v>
      </c>
      <c r="AC280" s="14">
        <f>IF(Table13[[#This Row],[template]]="","",HEX2DEC(Table13[[#This Row],[Addr_Hex]]))</f>
        <v>103</v>
      </c>
    </row>
    <row r="281" spans="2:29" x14ac:dyDescent="0.3">
      <c r="B281" s="4">
        <v>403</v>
      </c>
      <c r="C281" s="4" t="s">
        <v>233</v>
      </c>
      <c r="D281" s="9" t="str">
        <f>UPPER(Table13[[#This Row],[SIGNAL]])</f>
        <v>EV_TRIG_SEL_10</v>
      </c>
      <c r="E281" s="9" t="str">
        <f>IF(Table13[[#This Row],[template]]="","","0x"&amp;Table13[[#This Row],[IP_Index]]&amp;DEC2HEX(Table13[[#This Row],[Addr_Dec]]*4,7))</f>
        <v>0x1000019C</v>
      </c>
      <c r="F281" s="9" t="str">
        <f>IF(Table13[[#This Row],[template]]="","",VLOOKUP(Table13[[#This Row],[template]],Table2915[],2,FALSE))</f>
        <v>asynParamInt32</v>
      </c>
      <c r="G281" s="18" t="str">
        <f>IF(Table13[[#This Row],[template]]="","","1")</f>
        <v>1</v>
      </c>
      <c r="H281" s="10"/>
      <c r="I281" s="13" t="str">
        <f>IF(Table13[[#This Row],[template]]="","","0x"&amp;Table13[[#This Row],[D_Index]]&amp;"000")</f>
        <v>0x03100000</v>
      </c>
      <c r="J281" s="18"/>
      <c r="K281" s="10">
        <v>0</v>
      </c>
      <c r="L281" s="10"/>
      <c r="M281" s="11" t="str">
        <f>IF(Table13[[#This Row],[template]]="","",VLOOKUP(Table13[[#This Row],[template]],Table2915[],3,FALSE))</f>
        <v xml:space="preserve"> </v>
      </c>
      <c r="N281" s="10"/>
      <c r="P281" s="9" t="str">
        <f>IF(Table13[[#This Row],[template]]="","",Table13[[#This Row],[IP]]&amp;"_"&amp;Table13[[#This Row],[PARAM_NAME]]&amp;IF(Table13[[#This Row],[SUB]]="","","_"&amp;Table13[[#This Row],[SUB]]))</f>
        <v>ev_TRIG_SEL_10</v>
      </c>
      <c r="Q281" s="1" t="s">
        <v>262</v>
      </c>
      <c r="R281" s="1" t="s">
        <v>494</v>
      </c>
      <c r="S281" s="6" t="s">
        <v>273</v>
      </c>
      <c r="T281" s="4">
        <v>67</v>
      </c>
      <c r="U281" s="6" t="s">
        <v>363</v>
      </c>
      <c r="V281" s="1" t="s">
        <v>787</v>
      </c>
      <c r="W281" s="16">
        <v>16</v>
      </c>
      <c r="X281" s="6" t="s">
        <v>363</v>
      </c>
      <c r="AA281" s="11">
        <f>IF(Table13[[#This Row],[template]]="","",VLOOKUP(Table13[[#This Row],[IP]],Table51117[],2,FALSE))</f>
        <v>1</v>
      </c>
      <c r="AB281" s="13" t="str">
        <f>IF(Table13[[#This Row],[template]]="","",DEC2HEX(VLOOKUP(Table13[[#This Row],[D1-Type]],Table351218[],2,FALSE),1)&amp;DEC2HEX(VLOOKUP(Table13[[#This Row],[D2-Type]],Table31016[],2,FALSE),1)&amp; DEC2HEX(Table13[[#This Row],[D2-Offset]],2)&amp;DEC2HEX(VLOOKUP(Table13[[#This Row],[D3-Type]],Table371319[],2,FALSE),1))</f>
        <v>03100</v>
      </c>
      <c r="AC281" s="14">
        <f>IF(Table13[[#This Row],[template]]="","",HEX2DEC(Table13[[#This Row],[Addr_Hex]]))</f>
        <v>103</v>
      </c>
    </row>
    <row r="282" spans="2:29" x14ac:dyDescent="0.3">
      <c r="B282" s="4">
        <v>404</v>
      </c>
      <c r="C282" s="4" t="s">
        <v>233</v>
      </c>
      <c r="D282" s="9" t="str">
        <f>UPPER(Table13[[#This Row],[SIGNAL]])</f>
        <v>EV_TRIG_SEL_11</v>
      </c>
      <c r="E282" s="9" t="str">
        <f>IF(Table13[[#This Row],[template]]="","","0x"&amp;Table13[[#This Row],[IP_Index]]&amp;DEC2HEX(Table13[[#This Row],[Addr_Dec]]*4,7))</f>
        <v>0x1000019C</v>
      </c>
      <c r="F282" s="9" t="str">
        <f>IF(Table13[[#This Row],[template]]="","",VLOOKUP(Table13[[#This Row],[template]],Table2915[],2,FALSE))</f>
        <v>asynParamInt32</v>
      </c>
      <c r="G282" s="18" t="str">
        <f>IF(Table13[[#This Row],[template]]="","","1")</f>
        <v>1</v>
      </c>
      <c r="H282" s="10"/>
      <c r="I282" s="13" t="str">
        <f>IF(Table13[[#This Row],[template]]="","","0x"&amp;Table13[[#This Row],[D_Index]]&amp;"000")</f>
        <v>0x03180000</v>
      </c>
      <c r="J282" s="18"/>
      <c r="K282" s="10">
        <v>0</v>
      </c>
      <c r="L282" s="10"/>
      <c r="M282" s="11" t="str">
        <f>IF(Table13[[#This Row],[template]]="","",VLOOKUP(Table13[[#This Row],[template]],Table2915[],3,FALSE))</f>
        <v xml:space="preserve"> </v>
      </c>
      <c r="N282" s="10"/>
      <c r="P282" s="9" t="str">
        <f>IF(Table13[[#This Row],[template]]="","",Table13[[#This Row],[IP]]&amp;"_"&amp;Table13[[#This Row],[PARAM_NAME]]&amp;IF(Table13[[#This Row],[SUB]]="","","_"&amp;Table13[[#This Row],[SUB]]))</f>
        <v>ev_TRIG_SEL_11</v>
      </c>
      <c r="Q282" s="1" t="s">
        <v>262</v>
      </c>
      <c r="R282" s="1" t="s">
        <v>494</v>
      </c>
      <c r="S282" s="6" t="s">
        <v>274</v>
      </c>
      <c r="T282" s="4">
        <v>67</v>
      </c>
      <c r="U282" s="6" t="s">
        <v>363</v>
      </c>
      <c r="V282" s="1" t="s">
        <v>787</v>
      </c>
      <c r="W282" s="16">
        <v>24</v>
      </c>
      <c r="X282" s="6" t="s">
        <v>363</v>
      </c>
      <c r="AA282" s="11">
        <f>IF(Table13[[#This Row],[template]]="","",VLOOKUP(Table13[[#This Row],[IP]],Table51117[],2,FALSE))</f>
        <v>1</v>
      </c>
      <c r="AB282" s="13" t="str">
        <f>IF(Table13[[#This Row],[template]]="","",DEC2HEX(VLOOKUP(Table13[[#This Row],[D1-Type]],Table351218[],2,FALSE),1)&amp;DEC2HEX(VLOOKUP(Table13[[#This Row],[D2-Type]],Table31016[],2,FALSE),1)&amp; DEC2HEX(Table13[[#This Row],[D2-Offset]],2)&amp;DEC2HEX(VLOOKUP(Table13[[#This Row],[D3-Type]],Table371319[],2,FALSE),1))</f>
        <v>03180</v>
      </c>
      <c r="AC282" s="14">
        <f>IF(Table13[[#This Row],[template]]="","",HEX2DEC(Table13[[#This Row],[Addr_Hex]]))</f>
        <v>103</v>
      </c>
    </row>
    <row r="283" spans="2:29" x14ac:dyDescent="0.3">
      <c r="B283" s="4">
        <v>405</v>
      </c>
      <c r="C283" s="4" t="s">
        <v>233</v>
      </c>
      <c r="D283" s="9" t="str">
        <f>UPPER(Table13[[#This Row],[SIGNAL]])</f>
        <v>EV_TRIG_SEL_12</v>
      </c>
      <c r="E283" s="9" t="str">
        <f>IF(Table13[[#This Row],[template]]="","","0x"&amp;Table13[[#This Row],[IP_Index]]&amp;DEC2HEX(Table13[[#This Row],[Addr_Dec]]*4,7))</f>
        <v>0x100001A0</v>
      </c>
      <c r="F283" s="9" t="str">
        <f>IF(Table13[[#This Row],[template]]="","",VLOOKUP(Table13[[#This Row],[template]],Table2915[],2,FALSE))</f>
        <v>asynParamInt32</v>
      </c>
      <c r="G283" s="18" t="str">
        <f>IF(Table13[[#This Row],[template]]="","","1")</f>
        <v>1</v>
      </c>
      <c r="H283" s="10"/>
      <c r="I283" s="13" t="str">
        <f>IF(Table13[[#This Row],[template]]="","","0x"&amp;Table13[[#This Row],[D_Index]]&amp;"000")</f>
        <v>0x03000000</v>
      </c>
      <c r="J283" s="18"/>
      <c r="K283" s="10">
        <v>0</v>
      </c>
      <c r="L283" s="10"/>
      <c r="M283" s="11" t="str">
        <f>IF(Table13[[#This Row],[template]]="","",VLOOKUP(Table13[[#This Row],[template]],Table2915[],3,FALSE))</f>
        <v xml:space="preserve"> </v>
      </c>
      <c r="N283" s="10"/>
      <c r="P283" s="9" t="str">
        <f>IF(Table13[[#This Row],[template]]="","",Table13[[#This Row],[IP]]&amp;"_"&amp;Table13[[#This Row],[PARAM_NAME]]&amp;IF(Table13[[#This Row],[SUB]]="","","_"&amp;Table13[[#This Row],[SUB]]))</f>
        <v>ev_TRIG_SEL_12</v>
      </c>
      <c r="Q283" s="1" t="s">
        <v>262</v>
      </c>
      <c r="R283" s="1" t="s">
        <v>494</v>
      </c>
      <c r="S283" s="6" t="s">
        <v>275</v>
      </c>
      <c r="T283" s="4">
        <v>68</v>
      </c>
      <c r="U283" s="6" t="s">
        <v>363</v>
      </c>
      <c r="V283" s="1" t="s">
        <v>787</v>
      </c>
      <c r="W283" s="16">
        <v>0</v>
      </c>
      <c r="X283" s="6" t="s">
        <v>363</v>
      </c>
      <c r="AA283" s="11">
        <f>IF(Table13[[#This Row],[template]]="","",VLOOKUP(Table13[[#This Row],[IP]],Table51117[],2,FALSE))</f>
        <v>1</v>
      </c>
      <c r="AB283" s="13" t="str">
        <f>IF(Table13[[#This Row],[template]]="","",DEC2HEX(VLOOKUP(Table13[[#This Row],[D1-Type]],Table351218[],2,FALSE),1)&amp;DEC2HEX(VLOOKUP(Table13[[#This Row],[D2-Type]],Table31016[],2,FALSE),1)&amp; DEC2HEX(Table13[[#This Row],[D2-Offset]],2)&amp;DEC2HEX(VLOOKUP(Table13[[#This Row],[D3-Type]],Table371319[],2,FALSE),1))</f>
        <v>03000</v>
      </c>
      <c r="AC283" s="14">
        <f>IF(Table13[[#This Row],[template]]="","",HEX2DEC(Table13[[#This Row],[Addr_Hex]]))</f>
        <v>104</v>
      </c>
    </row>
    <row r="284" spans="2:29" x14ac:dyDescent="0.3">
      <c r="B284" s="4">
        <v>406</v>
      </c>
      <c r="C284" s="4" t="s">
        <v>233</v>
      </c>
      <c r="D284" s="9" t="str">
        <f>UPPER(Table13[[#This Row],[SIGNAL]])</f>
        <v>EV_TRIG_SEL_13</v>
      </c>
      <c r="E284" s="9" t="str">
        <f>IF(Table13[[#This Row],[template]]="","","0x"&amp;Table13[[#This Row],[IP_Index]]&amp;DEC2HEX(Table13[[#This Row],[Addr_Dec]]*4,7))</f>
        <v>0x100001A0</v>
      </c>
      <c r="F284" s="9" t="str">
        <f>IF(Table13[[#This Row],[template]]="","",VLOOKUP(Table13[[#This Row],[template]],Table2915[],2,FALSE))</f>
        <v>asynParamInt32</v>
      </c>
      <c r="G284" s="18" t="str">
        <f>IF(Table13[[#This Row],[template]]="","","1")</f>
        <v>1</v>
      </c>
      <c r="H284" s="10"/>
      <c r="I284" s="13" t="str">
        <f>IF(Table13[[#This Row],[template]]="","","0x"&amp;Table13[[#This Row],[D_Index]]&amp;"000")</f>
        <v>0x03080000</v>
      </c>
      <c r="J284" s="18"/>
      <c r="K284" s="10">
        <v>0</v>
      </c>
      <c r="L284" s="10"/>
      <c r="M284" s="11" t="str">
        <f>IF(Table13[[#This Row],[template]]="","",VLOOKUP(Table13[[#This Row],[template]],Table2915[],3,FALSE))</f>
        <v xml:space="preserve"> </v>
      </c>
      <c r="N284" s="10"/>
      <c r="P284" s="9" t="str">
        <f>IF(Table13[[#This Row],[template]]="","",Table13[[#This Row],[IP]]&amp;"_"&amp;Table13[[#This Row],[PARAM_NAME]]&amp;IF(Table13[[#This Row],[SUB]]="","","_"&amp;Table13[[#This Row],[SUB]]))</f>
        <v>ev_TRIG_SEL_13</v>
      </c>
      <c r="Q284" s="1" t="s">
        <v>262</v>
      </c>
      <c r="R284" s="1" t="s">
        <v>494</v>
      </c>
      <c r="S284" s="6" t="s">
        <v>276</v>
      </c>
      <c r="T284" s="4">
        <v>68</v>
      </c>
      <c r="U284" s="6" t="s">
        <v>363</v>
      </c>
      <c r="V284" s="1" t="s">
        <v>787</v>
      </c>
      <c r="W284" s="16">
        <v>8</v>
      </c>
      <c r="X284" s="6" t="s">
        <v>363</v>
      </c>
      <c r="AA284" s="11">
        <f>IF(Table13[[#This Row],[template]]="","",VLOOKUP(Table13[[#This Row],[IP]],Table51117[],2,FALSE))</f>
        <v>1</v>
      </c>
      <c r="AB284" s="13" t="str">
        <f>IF(Table13[[#This Row],[template]]="","",DEC2HEX(VLOOKUP(Table13[[#This Row],[D1-Type]],Table351218[],2,FALSE),1)&amp;DEC2HEX(VLOOKUP(Table13[[#This Row],[D2-Type]],Table31016[],2,FALSE),1)&amp; DEC2HEX(Table13[[#This Row],[D2-Offset]],2)&amp;DEC2HEX(VLOOKUP(Table13[[#This Row],[D3-Type]],Table371319[],2,FALSE),1))</f>
        <v>03080</v>
      </c>
      <c r="AC284" s="14">
        <f>IF(Table13[[#This Row],[template]]="","",HEX2DEC(Table13[[#This Row],[Addr_Hex]]))</f>
        <v>104</v>
      </c>
    </row>
    <row r="285" spans="2:29" x14ac:dyDescent="0.3">
      <c r="B285" s="4">
        <v>407</v>
      </c>
      <c r="C285" s="4" t="s">
        <v>233</v>
      </c>
      <c r="D285" s="9" t="str">
        <f>UPPER(Table13[[#This Row],[SIGNAL]])</f>
        <v>EV_TRIG_SEL_14</v>
      </c>
      <c r="E285" s="9" t="str">
        <f>IF(Table13[[#This Row],[template]]="","","0x"&amp;Table13[[#This Row],[IP_Index]]&amp;DEC2HEX(Table13[[#This Row],[Addr_Dec]]*4,7))</f>
        <v>0x100001A0</v>
      </c>
      <c r="F285" s="9" t="str">
        <f>IF(Table13[[#This Row],[template]]="","",VLOOKUP(Table13[[#This Row],[template]],Table2915[],2,FALSE))</f>
        <v>asynParamInt32</v>
      </c>
      <c r="G285" s="18" t="str">
        <f>IF(Table13[[#This Row],[template]]="","","1")</f>
        <v>1</v>
      </c>
      <c r="H285" s="10"/>
      <c r="I285" s="13" t="str">
        <f>IF(Table13[[#This Row],[template]]="","","0x"&amp;Table13[[#This Row],[D_Index]]&amp;"000")</f>
        <v>0x03100000</v>
      </c>
      <c r="J285" s="18"/>
      <c r="K285" s="10">
        <v>0</v>
      </c>
      <c r="L285" s="10"/>
      <c r="M285" s="11" t="str">
        <f>IF(Table13[[#This Row],[template]]="","",VLOOKUP(Table13[[#This Row],[template]],Table2915[],3,FALSE))</f>
        <v xml:space="preserve"> </v>
      </c>
      <c r="N285" s="10"/>
      <c r="P285" s="9" t="str">
        <f>IF(Table13[[#This Row],[template]]="","",Table13[[#This Row],[IP]]&amp;"_"&amp;Table13[[#This Row],[PARAM_NAME]]&amp;IF(Table13[[#This Row],[SUB]]="","","_"&amp;Table13[[#This Row],[SUB]]))</f>
        <v>ev_TRIG_SEL_14</v>
      </c>
      <c r="Q285" s="1" t="s">
        <v>262</v>
      </c>
      <c r="R285" s="1" t="s">
        <v>494</v>
      </c>
      <c r="S285" s="6" t="s">
        <v>277</v>
      </c>
      <c r="T285" s="4">
        <v>68</v>
      </c>
      <c r="U285" s="6" t="s">
        <v>363</v>
      </c>
      <c r="V285" s="1" t="s">
        <v>787</v>
      </c>
      <c r="W285" s="16">
        <v>16</v>
      </c>
      <c r="X285" s="6" t="s">
        <v>363</v>
      </c>
      <c r="AA285" s="11">
        <f>IF(Table13[[#This Row],[template]]="","",VLOOKUP(Table13[[#This Row],[IP]],Table51117[],2,FALSE))</f>
        <v>1</v>
      </c>
      <c r="AB285" s="13" t="str">
        <f>IF(Table13[[#This Row],[template]]="","",DEC2HEX(VLOOKUP(Table13[[#This Row],[D1-Type]],Table351218[],2,FALSE),1)&amp;DEC2HEX(VLOOKUP(Table13[[#This Row],[D2-Type]],Table31016[],2,FALSE),1)&amp; DEC2HEX(Table13[[#This Row],[D2-Offset]],2)&amp;DEC2HEX(VLOOKUP(Table13[[#This Row],[D3-Type]],Table371319[],2,FALSE),1))</f>
        <v>03100</v>
      </c>
      <c r="AC285" s="14">
        <f>IF(Table13[[#This Row],[template]]="","",HEX2DEC(Table13[[#This Row],[Addr_Hex]]))</f>
        <v>104</v>
      </c>
    </row>
    <row r="286" spans="2:29" x14ac:dyDescent="0.3">
      <c r="B286" s="4">
        <v>408</v>
      </c>
      <c r="C286" s="4" t="s">
        <v>233</v>
      </c>
      <c r="D286" s="9" t="str">
        <f>UPPER(Table13[[#This Row],[SIGNAL]])</f>
        <v>EV_TRIG_SEL_15</v>
      </c>
      <c r="E286" s="9" t="str">
        <f>IF(Table13[[#This Row],[template]]="","","0x"&amp;Table13[[#This Row],[IP_Index]]&amp;DEC2HEX(Table13[[#This Row],[Addr_Dec]]*4,7))</f>
        <v>0x100001A0</v>
      </c>
      <c r="F286" s="9" t="str">
        <f>IF(Table13[[#This Row],[template]]="","",VLOOKUP(Table13[[#This Row],[template]],Table2915[],2,FALSE))</f>
        <v>asynParamInt32</v>
      </c>
      <c r="G286" s="18" t="str">
        <f>IF(Table13[[#This Row],[template]]="","","1")</f>
        <v>1</v>
      </c>
      <c r="H286" s="10"/>
      <c r="I286" s="13" t="str">
        <f>IF(Table13[[#This Row],[template]]="","","0x"&amp;Table13[[#This Row],[D_Index]]&amp;"000")</f>
        <v>0x03180000</v>
      </c>
      <c r="J286" s="18"/>
      <c r="K286" s="10">
        <v>0</v>
      </c>
      <c r="L286" s="10"/>
      <c r="M286" s="11" t="str">
        <f>IF(Table13[[#This Row],[template]]="","",VLOOKUP(Table13[[#This Row],[template]],Table2915[],3,FALSE))</f>
        <v xml:space="preserve"> </v>
      </c>
      <c r="N286" s="10"/>
      <c r="P286" s="9" t="str">
        <f>IF(Table13[[#This Row],[template]]="","",Table13[[#This Row],[IP]]&amp;"_"&amp;Table13[[#This Row],[PARAM_NAME]]&amp;IF(Table13[[#This Row],[SUB]]="","","_"&amp;Table13[[#This Row],[SUB]]))</f>
        <v>ev_TRIG_SEL_15</v>
      </c>
      <c r="Q286" s="1" t="s">
        <v>262</v>
      </c>
      <c r="R286" s="1" t="s">
        <v>494</v>
      </c>
      <c r="S286" s="6" t="s">
        <v>278</v>
      </c>
      <c r="T286" s="4">
        <v>68</v>
      </c>
      <c r="U286" s="6" t="s">
        <v>363</v>
      </c>
      <c r="V286" s="1" t="s">
        <v>787</v>
      </c>
      <c r="W286" s="16">
        <v>24</v>
      </c>
      <c r="X286" s="6" t="s">
        <v>363</v>
      </c>
      <c r="AA286" s="11">
        <f>IF(Table13[[#This Row],[template]]="","",VLOOKUP(Table13[[#This Row],[IP]],Table51117[],2,FALSE))</f>
        <v>1</v>
      </c>
      <c r="AB286" s="13" t="str">
        <f>IF(Table13[[#This Row],[template]]="","",DEC2HEX(VLOOKUP(Table13[[#This Row],[D1-Type]],Table351218[],2,FALSE),1)&amp;DEC2HEX(VLOOKUP(Table13[[#This Row],[D2-Type]],Table31016[],2,FALSE),1)&amp; DEC2HEX(Table13[[#This Row],[D2-Offset]],2)&amp;DEC2HEX(VLOOKUP(Table13[[#This Row],[D3-Type]],Table371319[],2,FALSE),1))</f>
        <v>03180</v>
      </c>
      <c r="AC286" s="14">
        <f>IF(Table13[[#This Row],[template]]="","",HEX2DEC(Table13[[#This Row],[Addr_Hex]]))</f>
        <v>104</v>
      </c>
    </row>
    <row r="287" spans="2:29" x14ac:dyDescent="0.3">
      <c r="B287" s="4">
        <v>409</v>
      </c>
      <c r="C287" s="4" t="s">
        <v>233</v>
      </c>
      <c r="D287" s="9" t="str">
        <f>UPPER(Table13[[#This Row],[SIGNAL]])</f>
        <v>EV_TRIG_SEL_16</v>
      </c>
      <c r="E287" s="9" t="str">
        <f>IF(Table13[[#This Row],[template]]="","","0x"&amp;Table13[[#This Row],[IP_Index]]&amp;DEC2HEX(Table13[[#This Row],[Addr_Dec]]*4,7))</f>
        <v>0x100001A4</v>
      </c>
      <c r="F287" s="9" t="str">
        <f>IF(Table13[[#This Row],[template]]="","",VLOOKUP(Table13[[#This Row],[template]],Table2915[],2,FALSE))</f>
        <v>asynParamInt32</v>
      </c>
      <c r="G287" s="18" t="str">
        <f>IF(Table13[[#This Row],[template]]="","","1")</f>
        <v>1</v>
      </c>
      <c r="H287" s="10"/>
      <c r="I287" s="13" t="str">
        <f>IF(Table13[[#This Row],[template]]="","","0x"&amp;Table13[[#This Row],[D_Index]]&amp;"000")</f>
        <v>0x03000000</v>
      </c>
      <c r="J287" s="18"/>
      <c r="K287" s="10">
        <v>0</v>
      </c>
      <c r="L287" s="10"/>
      <c r="M287" s="11" t="str">
        <f>IF(Table13[[#This Row],[template]]="","",VLOOKUP(Table13[[#This Row],[template]],Table2915[],3,FALSE))</f>
        <v xml:space="preserve"> </v>
      </c>
      <c r="N287" s="10"/>
      <c r="P287" s="9" t="str">
        <f>IF(Table13[[#This Row],[template]]="","",Table13[[#This Row],[IP]]&amp;"_"&amp;Table13[[#This Row],[PARAM_NAME]]&amp;IF(Table13[[#This Row],[SUB]]="","","_"&amp;Table13[[#This Row],[SUB]]))</f>
        <v>ev_TRIG_SEL_16</v>
      </c>
      <c r="Q287" s="1" t="s">
        <v>262</v>
      </c>
      <c r="R287" s="1" t="s">
        <v>494</v>
      </c>
      <c r="S287" s="6" t="s">
        <v>279</v>
      </c>
      <c r="T287" s="4">
        <v>69</v>
      </c>
      <c r="U287" s="6" t="s">
        <v>363</v>
      </c>
      <c r="V287" s="1" t="s">
        <v>787</v>
      </c>
      <c r="W287" s="16">
        <v>0</v>
      </c>
      <c r="X287" s="6" t="s">
        <v>363</v>
      </c>
      <c r="AA287" s="11">
        <f>IF(Table13[[#This Row],[template]]="","",VLOOKUP(Table13[[#This Row],[IP]],Table51117[],2,FALSE))</f>
        <v>1</v>
      </c>
      <c r="AB287" s="13" t="str">
        <f>IF(Table13[[#This Row],[template]]="","",DEC2HEX(VLOOKUP(Table13[[#This Row],[D1-Type]],Table351218[],2,FALSE),1)&amp;DEC2HEX(VLOOKUP(Table13[[#This Row],[D2-Type]],Table31016[],2,FALSE),1)&amp; DEC2HEX(Table13[[#This Row],[D2-Offset]],2)&amp;DEC2HEX(VLOOKUP(Table13[[#This Row],[D3-Type]],Table371319[],2,FALSE),1))</f>
        <v>03000</v>
      </c>
      <c r="AC287" s="14">
        <f>IF(Table13[[#This Row],[template]]="","",HEX2DEC(Table13[[#This Row],[Addr_Hex]]))</f>
        <v>105</v>
      </c>
    </row>
    <row r="288" spans="2:29" x14ac:dyDescent="0.3">
      <c r="B288" s="4">
        <v>410</v>
      </c>
      <c r="C288" s="4" t="s">
        <v>233</v>
      </c>
      <c r="D288" s="9" t="str">
        <f>UPPER(Table13[[#This Row],[SIGNAL]])</f>
        <v>EV_TRIG_SEL_17</v>
      </c>
      <c r="E288" s="9" t="str">
        <f>IF(Table13[[#This Row],[template]]="","","0x"&amp;Table13[[#This Row],[IP_Index]]&amp;DEC2HEX(Table13[[#This Row],[Addr_Dec]]*4,7))</f>
        <v>0x100001A4</v>
      </c>
      <c r="F288" s="9" t="str">
        <f>IF(Table13[[#This Row],[template]]="","",VLOOKUP(Table13[[#This Row],[template]],Table2915[],2,FALSE))</f>
        <v>asynParamInt32</v>
      </c>
      <c r="G288" s="18" t="str">
        <f>IF(Table13[[#This Row],[template]]="","","1")</f>
        <v>1</v>
      </c>
      <c r="H288" s="10"/>
      <c r="I288" s="13" t="str">
        <f>IF(Table13[[#This Row],[template]]="","","0x"&amp;Table13[[#This Row],[D_Index]]&amp;"000")</f>
        <v>0x03080000</v>
      </c>
      <c r="J288" s="18"/>
      <c r="K288" s="10">
        <v>0</v>
      </c>
      <c r="L288" s="10"/>
      <c r="M288" s="11" t="str">
        <f>IF(Table13[[#This Row],[template]]="","",VLOOKUP(Table13[[#This Row],[template]],Table2915[],3,FALSE))</f>
        <v xml:space="preserve"> </v>
      </c>
      <c r="N288" s="10"/>
      <c r="P288" s="9" t="str">
        <f>IF(Table13[[#This Row],[template]]="","",Table13[[#This Row],[IP]]&amp;"_"&amp;Table13[[#This Row],[PARAM_NAME]]&amp;IF(Table13[[#This Row],[SUB]]="","","_"&amp;Table13[[#This Row],[SUB]]))</f>
        <v>ev_TRIG_SEL_17</v>
      </c>
      <c r="Q288" s="1" t="s">
        <v>262</v>
      </c>
      <c r="R288" s="1" t="s">
        <v>494</v>
      </c>
      <c r="S288" s="6" t="s">
        <v>280</v>
      </c>
      <c r="T288" s="4">
        <v>69</v>
      </c>
      <c r="U288" s="6" t="s">
        <v>363</v>
      </c>
      <c r="V288" s="1" t="s">
        <v>787</v>
      </c>
      <c r="W288" s="16">
        <v>8</v>
      </c>
      <c r="X288" s="6" t="s">
        <v>363</v>
      </c>
      <c r="AA288" s="11">
        <f>IF(Table13[[#This Row],[template]]="","",VLOOKUP(Table13[[#This Row],[IP]],Table51117[],2,FALSE))</f>
        <v>1</v>
      </c>
      <c r="AB288" s="13" t="str">
        <f>IF(Table13[[#This Row],[template]]="","",DEC2HEX(VLOOKUP(Table13[[#This Row],[D1-Type]],Table351218[],2,FALSE),1)&amp;DEC2HEX(VLOOKUP(Table13[[#This Row],[D2-Type]],Table31016[],2,FALSE),1)&amp; DEC2HEX(Table13[[#This Row],[D2-Offset]],2)&amp;DEC2HEX(VLOOKUP(Table13[[#This Row],[D3-Type]],Table371319[],2,FALSE),1))</f>
        <v>03080</v>
      </c>
      <c r="AC288" s="14">
        <f>IF(Table13[[#This Row],[template]]="","",HEX2DEC(Table13[[#This Row],[Addr_Hex]]))</f>
        <v>105</v>
      </c>
    </row>
    <row r="289" spans="2:29" x14ac:dyDescent="0.3">
      <c r="B289" s="4">
        <v>411</v>
      </c>
      <c r="C289" s="4" t="s">
        <v>233</v>
      </c>
      <c r="D289" s="9" t="str">
        <f>UPPER(Table13[[#This Row],[SIGNAL]])</f>
        <v>EV_TRIG_SEL_18</v>
      </c>
      <c r="E289" s="9" t="str">
        <f>IF(Table13[[#This Row],[template]]="","","0x"&amp;Table13[[#This Row],[IP_Index]]&amp;DEC2HEX(Table13[[#This Row],[Addr_Dec]]*4,7))</f>
        <v>0x100001A4</v>
      </c>
      <c r="F289" s="9" t="str">
        <f>IF(Table13[[#This Row],[template]]="","",VLOOKUP(Table13[[#This Row],[template]],Table2915[],2,FALSE))</f>
        <v>asynParamInt32</v>
      </c>
      <c r="G289" s="18" t="str">
        <f>IF(Table13[[#This Row],[template]]="","","1")</f>
        <v>1</v>
      </c>
      <c r="H289" s="10"/>
      <c r="I289" s="13" t="str">
        <f>IF(Table13[[#This Row],[template]]="","","0x"&amp;Table13[[#This Row],[D_Index]]&amp;"000")</f>
        <v>0x03100000</v>
      </c>
      <c r="J289" s="18"/>
      <c r="K289" s="10">
        <v>0</v>
      </c>
      <c r="L289" s="10"/>
      <c r="M289" s="11" t="str">
        <f>IF(Table13[[#This Row],[template]]="","",VLOOKUP(Table13[[#This Row],[template]],Table2915[],3,FALSE))</f>
        <v xml:space="preserve"> </v>
      </c>
      <c r="N289" s="10"/>
      <c r="P289" s="9" t="str">
        <f>IF(Table13[[#This Row],[template]]="","",Table13[[#This Row],[IP]]&amp;"_"&amp;Table13[[#This Row],[PARAM_NAME]]&amp;IF(Table13[[#This Row],[SUB]]="","","_"&amp;Table13[[#This Row],[SUB]]))</f>
        <v>ev_TRIG_SEL_18</v>
      </c>
      <c r="Q289" s="1" t="s">
        <v>262</v>
      </c>
      <c r="R289" s="1" t="s">
        <v>494</v>
      </c>
      <c r="S289" s="6" t="s">
        <v>281</v>
      </c>
      <c r="T289" s="4">
        <v>69</v>
      </c>
      <c r="U289" s="6" t="s">
        <v>363</v>
      </c>
      <c r="V289" s="1" t="s">
        <v>787</v>
      </c>
      <c r="W289" s="16">
        <v>16</v>
      </c>
      <c r="X289" s="6" t="s">
        <v>363</v>
      </c>
      <c r="AA289" s="11">
        <f>IF(Table13[[#This Row],[template]]="","",VLOOKUP(Table13[[#This Row],[IP]],Table51117[],2,FALSE))</f>
        <v>1</v>
      </c>
      <c r="AB289" s="13" t="str">
        <f>IF(Table13[[#This Row],[template]]="","",DEC2HEX(VLOOKUP(Table13[[#This Row],[D1-Type]],Table351218[],2,FALSE),1)&amp;DEC2HEX(VLOOKUP(Table13[[#This Row],[D2-Type]],Table31016[],2,FALSE),1)&amp; DEC2HEX(Table13[[#This Row],[D2-Offset]],2)&amp;DEC2HEX(VLOOKUP(Table13[[#This Row],[D3-Type]],Table371319[],2,FALSE),1))</f>
        <v>03100</v>
      </c>
      <c r="AC289" s="14">
        <f>IF(Table13[[#This Row],[template]]="","",HEX2DEC(Table13[[#This Row],[Addr_Hex]]))</f>
        <v>105</v>
      </c>
    </row>
    <row r="290" spans="2:29" x14ac:dyDescent="0.3">
      <c r="B290" s="4">
        <v>412</v>
      </c>
      <c r="C290" s="4" t="s">
        <v>233</v>
      </c>
      <c r="D290" s="9" t="str">
        <f>UPPER(Table13[[#This Row],[SIGNAL]])</f>
        <v>EV_TRIG_SEL_19</v>
      </c>
      <c r="E290" s="9" t="str">
        <f>IF(Table13[[#This Row],[template]]="","","0x"&amp;Table13[[#This Row],[IP_Index]]&amp;DEC2HEX(Table13[[#This Row],[Addr_Dec]]*4,7))</f>
        <v>0x100001A4</v>
      </c>
      <c r="F290" s="9" t="str">
        <f>IF(Table13[[#This Row],[template]]="","",VLOOKUP(Table13[[#This Row],[template]],Table2915[],2,FALSE))</f>
        <v>asynParamInt32</v>
      </c>
      <c r="G290" s="18" t="str">
        <f>IF(Table13[[#This Row],[template]]="","","1")</f>
        <v>1</v>
      </c>
      <c r="H290" s="10"/>
      <c r="I290" s="13" t="str">
        <f>IF(Table13[[#This Row],[template]]="","","0x"&amp;Table13[[#This Row],[D_Index]]&amp;"000")</f>
        <v>0x03180000</v>
      </c>
      <c r="J290" s="18"/>
      <c r="K290" s="10">
        <v>0</v>
      </c>
      <c r="L290" s="10"/>
      <c r="M290" s="11" t="str">
        <f>IF(Table13[[#This Row],[template]]="","",VLOOKUP(Table13[[#This Row],[template]],Table2915[],3,FALSE))</f>
        <v xml:space="preserve"> </v>
      </c>
      <c r="N290" s="10"/>
      <c r="P290" s="9" t="str">
        <f>IF(Table13[[#This Row],[template]]="","",Table13[[#This Row],[IP]]&amp;"_"&amp;Table13[[#This Row],[PARAM_NAME]]&amp;IF(Table13[[#This Row],[SUB]]="","","_"&amp;Table13[[#This Row],[SUB]]))</f>
        <v>ev_TRIG_SEL_19</v>
      </c>
      <c r="Q290" s="1" t="s">
        <v>262</v>
      </c>
      <c r="R290" s="1" t="s">
        <v>494</v>
      </c>
      <c r="S290" s="6" t="s">
        <v>282</v>
      </c>
      <c r="T290" s="4">
        <v>69</v>
      </c>
      <c r="U290" s="6" t="s">
        <v>363</v>
      </c>
      <c r="V290" s="1" t="s">
        <v>787</v>
      </c>
      <c r="W290" s="16">
        <v>24</v>
      </c>
      <c r="X290" s="6" t="s">
        <v>363</v>
      </c>
      <c r="AA290" s="11">
        <f>IF(Table13[[#This Row],[template]]="","",VLOOKUP(Table13[[#This Row],[IP]],Table51117[],2,FALSE))</f>
        <v>1</v>
      </c>
      <c r="AB290" s="13" t="str">
        <f>IF(Table13[[#This Row],[template]]="","",DEC2HEX(VLOOKUP(Table13[[#This Row],[D1-Type]],Table351218[],2,FALSE),1)&amp;DEC2HEX(VLOOKUP(Table13[[#This Row],[D2-Type]],Table31016[],2,FALSE),1)&amp; DEC2HEX(Table13[[#This Row],[D2-Offset]],2)&amp;DEC2HEX(VLOOKUP(Table13[[#This Row],[D3-Type]],Table371319[],2,FALSE),1))</f>
        <v>03180</v>
      </c>
      <c r="AC290" s="14">
        <f>IF(Table13[[#This Row],[template]]="","",HEX2DEC(Table13[[#This Row],[Addr_Hex]]))</f>
        <v>105</v>
      </c>
    </row>
    <row r="291" spans="2:29" x14ac:dyDescent="0.3">
      <c r="B291" s="4">
        <v>413</v>
      </c>
      <c r="C291" s="4" t="s">
        <v>233</v>
      </c>
      <c r="D291" s="9" t="str">
        <f>UPPER(Table13[[#This Row],[SIGNAL]])</f>
        <v>EV_TRIG_SEL_20</v>
      </c>
      <c r="E291" s="9" t="str">
        <f>IF(Table13[[#This Row],[template]]="","","0x"&amp;Table13[[#This Row],[IP_Index]]&amp;DEC2HEX(Table13[[#This Row],[Addr_Dec]]*4,7))</f>
        <v>0x100001A4</v>
      </c>
      <c r="F291" s="9" t="str">
        <f>IF(Table13[[#This Row],[template]]="","",VLOOKUP(Table13[[#This Row],[template]],Table2915[],2,FALSE))</f>
        <v>asynParamInt32</v>
      </c>
      <c r="G291" s="18" t="str">
        <f>IF(Table13[[#This Row],[template]]="","","1")</f>
        <v>1</v>
      </c>
      <c r="H291" s="10"/>
      <c r="I291" s="13" t="str">
        <f>IF(Table13[[#This Row],[template]]="","","0x"&amp;Table13[[#This Row],[D_Index]]&amp;"000")</f>
        <v>0x03000000</v>
      </c>
      <c r="J291" s="18"/>
      <c r="K291" s="10">
        <v>0</v>
      </c>
      <c r="L291" s="10"/>
      <c r="M291" s="11" t="str">
        <f>IF(Table13[[#This Row],[template]]="","",VLOOKUP(Table13[[#This Row],[template]],Table2915[],3,FALSE))</f>
        <v xml:space="preserve"> </v>
      </c>
      <c r="N291" s="10"/>
      <c r="P291" s="9" t="str">
        <f>IF(Table13[[#This Row],[template]]="","",Table13[[#This Row],[IP]]&amp;"_"&amp;Table13[[#This Row],[PARAM_NAME]]&amp;IF(Table13[[#This Row],[SUB]]="","","_"&amp;Table13[[#This Row],[SUB]]))</f>
        <v>ev_TRIG_SEL_20</v>
      </c>
      <c r="Q291" s="1" t="s">
        <v>262</v>
      </c>
      <c r="R291" s="1" t="s">
        <v>494</v>
      </c>
      <c r="S291" s="6" t="s">
        <v>283</v>
      </c>
      <c r="T291" s="4">
        <v>69</v>
      </c>
      <c r="U291" s="6" t="s">
        <v>363</v>
      </c>
      <c r="V291" s="1" t="s">
        <v>787</v>
      </c>
      <c r="W291" s="16">
        <v>0</v>
      </c>
      <c r="X291" s="6" t="s">
        <v>363</v>
      </c>
      <c r="AA291" s="11">
        <f>IF(Table13[[#This Row],[template]]="","",VLOOKUP(Table13[[#This Row],[IP]],Table51117[],2,FALSE))</f>
        <v>1</v>
      </c>
      <c r="AB291" s="13" t="str">
        <f>IF(Table13[[#This Row],[template]]="","",DEC2HEX(VLOOKUP(Table13[[#This Row],[D1-Type]],Table351218[],2,FALSE),1)&amp;DEC2HEX(VLOOKUP(Table13[[#This Row],[D2-Type]],Table31016[],2,FALSE),1)&amp; DEC2HEX(Table13[[#This Row],[D2-Offset]],2)&amp;DEC2HEX(VLOOKUP(Table13[[#This Row],[D3-Type]],Table371319[],2,FALSE),1))</f>
        <v>03000</v>
      </c>
      <c r="AC291" s="14">
        <f>IF(Table13[[#This Row],[template]]="","",HEX2DEC(Table13[[#This Row],[Addr_Hex]]))</f>
        <v>105</v>
      </c>
    </row>
    <row r="292" spans="2:29" x14ac:dyDescent="0.3">
      <c r="B292" s="4">
        <v>414</v>
      </c>
      <c r="C292" s="4" t="s">
        <v>233</v>
      </c>
      <c r="D292" s="9" t="str">
        <f>UPPER(Table13[[#This Row],[SIGNAL]])</f>
        <v>EV_TRIG_SEL_21</v>
      </c>
      <c r="E292" s="9" t="str">
        <f>IF(Table13[[#This Row],[template]]="","","0x"&amp;Table13[[#This Row],[IP_Index]]&amp;DEC2HEX(Table13[[#This Row],[Addr_Dec]]*4,7))</f>
        <v>0x100001A8</v>
      </c>
      <c r="F292" s="9" t="str">
        <f>IF(Table13[[#This Row],[template]]="","",VLOOKUP(Table13[[#This Row],[template]],Table2915[],2,FALSE))</f>
        <v>asynParamInt32</v>
      </c>
      <c r="G292" s="18" t="str">
        <f>IF(Table13[[#This Row],[template]]="","","1")</f>
        <v>1</v>
      </c>
      <c r="H292" s="10"/>
      <c r="I292" s="13" t="str">
        <f>IF(Table13[[#This Row],[template]]="","","0x"&amp;Table13[[#This Row],[D_Index]]&amp;"000")</f>
        <v>0x03080000</v>
      </c>
      <c r="J292" s="18"/>
      <c r="K292" s="10">
        <v>0</v>
      </c>
      <c r="L292" s="10"/>
      <c r="M292" s="11" t="str">
        <f>IF(Table13[[#This Row],[template]]="","",VLOOKUP(Table13[[#This Row],[template]],Table2915[],3,FALSE))</f>
        <v xml:space="preserve"> </v>
      </c>
      <c r="N292" s="10"/>
      <c r="P292" s="9" t="str">
        <f>IF(Table13[[#This Row],[template]]="","",Table13[[#This Row],[IP]]&amp;"_"&amp;Table13[[#This Row],[PARAM_NAME]]&amp;IF(Table13[[#This Row],[SUB]]="","","_"&amp;Table13[[#This Row],[SUB]]))</f>
        <v>ev_TRIG_SEL_21</v>
      </c>
      <c r="Q292" s="1" t="s">
        <v>262</v>
      </c>
      <c r="R292" s="1" t="s">
        <v>494</v>
      </c>
      <c r="S292" s="6" t="s">
        <v>284</v>
      </c>
      <c r="T292" s="4" t="s">
        <v>495</v>
      </c>
      <c r="U292" s="6" t="s">
        <v>363</v>
      </c>
      <c r="V292" s="1" t="s">
        <v>787</v>
      </c>
      <c r="W292" s="16">
        <v>8</v>
      </c>
      <c r="X292" s="6" t="s">
        <v>363</v>
      </c>
      <c r="AA292" s="11">
        <f>IF(Table13[[#This Row],[template]]="","",VLOOKUP(Table13[[#This Row],[IP]],Table51117[],2,FALSE))</f>
        <v>1</v>
      </c>
      <c r="AB292" s="13" t="str">
        <f>IF(Table13[[#This Row],[template]]="","",DEC2HEX(VLOOKUP(Table13[[#This Row],[D1-Type]],Table351218[],2,FALSE),1)&amp;DEC2HEX(VLOOKUP(Table13[[#This Row],[D2-Type]],Table31016[],2,FALSE),1)&amp; DEC2HEX(Table13[[#This Row],[D2-Offset]],2)&amp;DEC2HEX(VLOOKUP(Table13[[#This Row],[D3-Type]],Table371319[],2,FALSE),1))</f>
        <v>03080</v>
      </c>
      <c r="AC292" s="14">
        <f>IF(Table13[[#This Row],[template]]="","",HEX2DEC(Table13[[#This Row],[Addr_Hex]]))</f>
        <v>106</v>
      </c>
    </row>
    <row r="293" spans="2:29" x14ac:dyDescent="0.3">
      <c r="B293" s="4">
        <v>415</v>
      </c>
      <c r="C293" s="4" t="s">
        <v>233</v>
      </c>
      <c r="D293" s="9" t="str">
        <f>UPPER(Table13[[#This Row],[SIGNAL]])</f>
        <v>EV_TRIG_SEL_22</v>
      </c>
      <c r="E293" s="9" t="str">
        <f>IF(Table13[[#This Row],[template]]="","","0x"&amp;Table13[[#This Row],[IP_Index]]&amp;DEC2HEX(Table13[[#This Row],[Addr_Dec]]*4,7))</f>
        <v>0x100001A8</v>
      </c>
      <c r="F293" s="9" t="str">
        <f>IF(Table13[[#This Row],[template]]="","",VLOOKUP(Table13[[#This Row],[template]],Table2915[],2,FALSE))</f>
        <v>asynParamInt32</v>
      </c>
      <c r="G293" s="18" t="str">
        <f>IF(Table13[[#This Row],[template]]="","","1")</f>
        <v>1</v>
      </c>
      <c r="H293" s="10"/>
      <c r="I293" s="13" t="str">
        <f>IF(Table13[[#This Row],[template]]="","","0x"&amp;Table13[[#This Row],[D_Index]]&amp;"000")</f>
        <v>0x03100000</v>
      </c>
      <c r="J293" s="18"/>
      <c r="K293" s="10">
        <v>0</v>
      </c>
      <c r="L293" s="10"/>
      <c r="M293" s="11" t="str">
        <f>IF(Table13[[#This Row],[template]]="","",VLOOKUP(Table13[[#This Row],[template]],Table2915[],3,FALSE))</f>
        <v xml:space="preserve"> </v>
      </c>
      <c r="N293" s="10"/>
      <c r="P293" s="9" t="str">
        <f>IF(Table13[[#This Row],[template]]="","",Table13[[#This Row],[IP]]&amp;"_"&amp;Table13[[#This Row],[PARAM_NAME]]&amp;IF(Table13[[#This Row],[SUB]]="","","_"&amp;Table13[[#This Row],[SUB]]))</f>
        <v>ev_TRIG_SEL_22</v>
      </c>
      <c r="Q293" s="1" t="s">
        <v>262</v>
      </c>
      <c r="R293" s="1" t="s">
        <v>494</v>
      </c>
      <c r="S293" s="6" t="s">
        <v>285</v>
      </c>
      <c r="T293" s="4" t="s">
        <v>495</v>
      </c>
      <c r="U293" s="6" t="s">
        <v>363</v>
      </c>
      <c r="V293" s="1" t="s">
        <v>787</v>
      </c>
      <c r="W293" s="16">
        <v>16</v>
      </c>
      <c r="X293" s="6" t="s">
        <v>363</v>
      </c>
      <c r="AA293" s="11">
        <f>IF(Table13[[#This Row],[template]]="","",VLOOKUP(Table13[[#This Row],[IP]],Table51117[],2,FALSE))</f>
        <v>1</v>
      </c>
      <c r="AB293" s="13" t="str">
        <f>IF(Table13[[#This Row],[template]]="","",DEC2HEX(VLOOKUP(Table13[[#This Row],[D1-Type]],Table351218[],2,FALSE),1)&amp;DEC2HEX(VLOOKUP(Table13[[#This Row],[D2-Type]],Table31016[],2,FALSE),1)&amp; DEC2HEX(Table13[[#This Row],[D2-Offset]],2)&amp;DEC2HEX(VLOOKUP(Table13[[#This Row],[D3-Type]],Table371319[],2,FALSE),1))</f>
        <v>03100</v>
      </c>
      <c r="AC293" s="14">
        <f>IF(Table13[[#This Row],[template]]="","",HEX2DEC(Table13[[#This Row],[Addr_Hex]]))</f>
        <v>106</v>
      </c>
    </row>
    <row r="294" spans="2:29" x14ac:dyDescent="0.3">
      <c r="B294" s="4">
        <v>416</v>
      </c>
      <c r="C294" s="4" t="s">
        <v>233</v>
      </c>
      <c r="D294" s="9" t="str">
        <f>UPPER(Table13[[#This Row],[SIGNAL]])</f>
        <v>EV_TRIG_SEL_23</v>
      </c>
      <c r="E294" s="9" t="str">
        <f>IF(Table13[[#This Row],[template]]="","","0x"&amp;Table13[[#This Row],[IP_Index]]&amp;DEC2HEX(Table13[[#This Row],[Addr_Dec]]*4,7))</f>
        <v>0x100001A8</v>
      </c>
      <c r="F294" s="9" t="str">
        <f>IF(Table13[[#This Row],[template]]="","",VLOOKUP(Table13[[#This Row],[template]],Table2915[],2,FALSE))</f>
        <v>asynParamInt32</v>
      </c>
      <c r="G294" s="18" t="str">
        <f>IF(Table13[[#This Row],[template]]="","","1")</f>
        <v>1</v>
      </c>
      <c r="H294" s="10"/>
      <c r="I294" s="13" t="str">
        <f>IF(Table13[[#This Row],[template]]="","","0x"&amp;Table13[[#This Row],[D_Index]]&amp;"000")</f>
        <v>0x03180000</v>
      </c>
      <c r="J294" s="18"/>
      <c r="K294" s="10">
        <v>0</v>
      </c>
      <c r="L294" s="10"/>
      <c r="M294" s="11" t="str">
        <f>IF(Table13[[#This Row],[template]]="","",VLOOKUP(Table13[[#This Row],[template]],Table2915[],3,FALSE))</f>
        <v xml:space="preserve"> </v>
      </c>
      <c r="N294" s="10"/>
      <c r="P294" s="9" t="str">
        <f>IF(Table13[[#This Row],[template]]="","",Table13[[#This Row],[IP]]&amp;"_"&amp;Table13[[#This Row],[PARAM_NAME]]&amp;IF(Table13[[#This Row],[SUB]]="","","_"&amp;Table13[[#This Row],[SUB]]))</f>
        <v>ev_TRIG_SEL_23</v>
      </c>
      <c r="Q294" s="1" t="s">
        <v>262</v>
      </c>
      <c r="R294" s="1" t="s">
        <v>494</v>
      </c>
      <c r="S294" s="6" t="s">
        <v>286</v>
      </c>
      <c r="T294" s="4" t="s">
        <v>495</v>
      </c>
      <c r="U294" s="6" t="s">
        <v>363</v>
      </c>
      <c r="V294" s="1" t="s">
        <v>787</v>
      </c>
      <c r="W294" s="16">
        <v>24</v>
      </c>
      <c r="X294" s="6" t="s">
        <v>363</v>
      </c>
      <c r="AA294" s="11">
        <f>IF(Table13[[#This Row],[template]]="","",VLOOKUP(Table13[[#This Row],[IP]],Table51117[],2,FALSE))</f>
        <v>1</v>
      </c>
      <c r="AB294" s="13" t="str">
        <f>IF(Table13[[#This Row],[template]]="","",DEC2HEX(VLOOKUP(Table13[[#This Row],[D1-Type]],Table351218[],2,FALSE),1)&amp;DEC2HEX(VLOOKUP(Table13[[#This Row],[D2-Type]],Table31016[],2,FALSE),1)&amp; DEC2HEX(Table13[[#This Row],[D2-Offset]],2)&amp;DEC2HEX(VLOOKUP(Table13[[#This Row],[D3-Type]],Table371319[],2,FALSE),1))</f>
        <v>03180</v>
      </c>
      <c r="AC294" s="14">
        <f>IF(Table13[[#This Row],[template]]="","",HEX2DEC(Table13[[#This Row],[Addr_Hex]]))</f>
        <v>106</v>
      </c>
    </row>
    <row r="295" spans="2:29" x14ac:dyDescent="0.3">
      <c r="B295" s="4">
        <v>417</v>
      </c>
      <c r="C295" s="4" t="s">
        <v>233</v>
      </c>
      <c r="D295" s="9" t="str">
        <f>UPPER(Table13[[#This Row],[SIGNAL]])</f>
        <v>EV_TRIG_SEL_24</v>
      </c>
      <c r="E295" s="9" t="str">
        <f>IF(Table13[[#This Row],[template]]="","","0x"&amp;Table13[[#This Row],[IP_Index]]&amp;DEC2HEX(Table13[[#This Row],[Addr_Dec]]*4,7))</f>
        <v>0x100001AC</v>
      </c>
      <c r="F295" s="9" t="str">
        <f>IF(Table13[[#This Row],[template]]="","",VLOOKUP(Table13[[#This Row],[template]],Table2915[],2,FALSE))</f>
        <v>asynParamInt32</v>
      </c>
      <c r="G295" s="18" t="str">
        <f>IF(Table13[[#This Row],[template]]="","","1")</f>
        <v>1</v>
      </c>
      <c r="H295" s="10"/>
      <c r="I295" s="13" t="str">
        <f>IF(Table13[[#This Row],[template]]="","","0x"&amp;Table13[[#This Row],[D_Index]]&amp;"000")</f>
        <v>0x03000000</v>
      </c>
      <c r="J295" s="18"/>
      <c r="K295" s="10">
        <v>0</v>
      </c>
      <c r="L295" s="10"/>
      <c r="M295" s="11" t="str">
        <f>IF(Table13[[#This Row],[template]]="","",VLOOKUP(Table13[[#This Row],[template]],Table2915[],3,FALSE))</f>
        <v xml:space="preserve"> </v>
      </c>
      <c r="N295" s="10"/>
      <c r="P295" s="9" t="str">
        <f>IF(Table13[[#This Row],[template]]="","",Table13[[#This Row],[IP]]&amp;"_"&amp;Table13[[#This Row],[PARAM_NAME]]&amp;IF(Table13[[#This Row],[SUB]]="","","_"&amp;Table13[[#This Row],[SUB]]))</f>
        <v>ev_TRIG_SEL_24</v>
      </c>
      <c r="Q295" s="1" t="s">
        <v>262</v>
      </c>
      <c r="R295" s="1" t="s">
        <v>494</v>
      </c>
      <c r="S295" s="6" t="s">
        <v>287</v>
      </c>
      <c r="T295" s="4" t="s">
        <v>496</v>
      </c>
      <c r="U295" s="6" t="s">
        <v>363</v>
      </c>
      <c r="V295" s="1" t="s">
        <v>787</v>
      </c>
      <c r="W295" s="16">
        <v>0</v>
      </c>
      <c r="X295" s="6" t="s">
        <v>363</v>
      </c>
      <c r="AA295" s="11">
        <f>IF(Table13[[#This Row],[template]]="","",VLOOKUP(Table13[[#This Row],[IP]],Table51117[],2,FALSE))</f>
        <v>1</v>
      </c>
      <c r="AB295" s="13" t="str">
        <f>IF(Table13[[#This Row],[template]]="","",DEC2HEX(VLOOKUP(Table13[[#This Row],[D1-Type]],Table351218[],2,FALSE),1)&amp;DEC2HEX(VLOOKUP(Table13[[#This Row],[D2-Type]],Table31016[],2,FALSE),1)&amp; DEC2HEX(Table13[[#This Row],[D2-Offset]],2)&amp;DEC2HEX(VLOOKUP(Table13[[#This Row],[D3-Type]],Table371319[],2,FALSE),1))</f>
        <v>03000</v>
      </c>
      <c r="AC295" s="14">
        <f>IF(Table13[[#This Row],[template]]="","",HEX2DEC(Table13[[#This Row],[Addr_Hex]]))</f>
        <v>107</v>
      </c>
    </row>
    <row r="296" spans="2:29" x14ac:dyDescent="0.3">
      <c r="B296" s="4">
        <v>418</v>
      </c>
      <c r="C296" s="4" t="s">
        <v>233</v>
      </c>
      <c r="D296" s="9" t="str">
        <f>UPPER(Table13[[#This Row],[SIGNAL]])</f>
        <v>EV_TRIG_SEL_25</v>
      </c>
      <c r="E296" s="9" t="str">
        <f>IF(Table13[[#This Row],[template]]="","","0x"&amp;Table13[[#This Row],[IP_Index]]&amp;DEC2HEX(Table13[[#This Row],[Addr_Dec]]*4,7))</f>
        <v>0x100001AC</v>
      </c>
      <c r="F296" s="9" t="str">
        <f>IF(Table13[[#This Row],[template]]="","",VLOOKUP(Table13[[#This Row],[template]],Table2915[],2,FALSE))</f>
        <v>asynParamInt32</v>
      </c>
      <c r="G296" s="18" t="str">
        <f>IF(Table13[[#This Row],[template]]="","","1")</f>
        <v>1</v>
      </c>
      <c r="H296" s="10"/>
      <c r="I296" s="13" t="str">
        <f>IF(Table13[[#This Row],[template]]="","","0x"&amp;Table13[[#This Row],[D_Index]]&amp;"000")</f>
        <v>0x03080000</v>
      </c>
      <c r="J296" s="18"/>
      <c r="K296" s="10">
        <v>0</v>
      </c>
      <c r="L296" s="10"/>
      <c r="M296" s="11" t="str">
        <f>IF(Table13[[#This Row],[template]]="","",VLOOKUP(Table13[[#This Row],[template]],Table2915[],3,FALSE))</f>
        <v xml:space="preserve"> </v>
      </c>
      <c r="N296" s="10"/>
      <c r="P296" s="9" t="str">
        <f>IF(Table13[[#This Row],[template]]="","",Table13[[#This Row],[IP]]&amp;"_"&amp;Table13[[#This Row],[PARAM_NAME]]&amp;IF(Table13[[#This Row],[SUB]]="","","_"&amp;Table13[[#This Row],[SUB]]))</f>
        <v>ev_TRIG_SEL_25</v>
      </c>
      <c r="Q296" s="1" t="s">
        <v>262</v>
      </c>
      <c r="R296" s="1" t="s">
        <v>494</v>
      </c>
      <c r="S296" s="6" t="s">
        <v>288</v>
      </c>
      <c r="T296" s="4" t="s">
        <v>496</v>
      </c>
      <c r="U296" s="6" t="s">
        <v>363</v>
      </c>
      <c r="V296" s="1" t="s">
        <v>787</v>
      </c>
      <c r="W296" s="16">
        <v>8</v>
      </c>
      <c r="X296" s="6" t="s">
        <v>363</v>
      </c>
      <c r="AA296" s="11">
        <f>IF(Table13[[#This Row],[template]]="","",VLOOKUP(Table13[[#This Row],[IP]],Table51117[],2,FALSE))</f>
        <v>1</v>
      </c>
      <c r="AB296" s="13" t="str">
        <f>IF(Table13[[#This Row],[template]]="","",DEC2HEX(VLOOKUP(Table13[[#This Row],[D1-Type]],Table351218[],2,FALSE),1)&amp;DEC2HEX(VLOOKUP(Table13[[#This Row],[D2-Type]],Table31016[],2,FALSE),1)&amp; DEC2HEX(Table13[[#This Row],[D2-Offset]],2)&amp;DEC2HEX(VLOOKUP(Table13[[#This Row],[D3-Type]],Table371319[],2,FALSE),1))</f>
        <v>03080</v>
      </c>
      <c r="AC296" s="14">
        <f>IF(Table13[[#This Row],[template]]="","",HEX2DEC(Table13[[#This Row],[Addr_Hex]]))</f>
        <v>107</v>
      </c>
    </row>
    <row r="297" spans="2:29" x14ac:dyDescent="0.3">
      <c r="B297" s="4">
        <v>419</v>
      </c>
      <c r="C297" s="4" t="s">
        <v>233</v>
      </c>
      <c r="D297" s="9" t="str">
        <f>UPPER(Table13[[#This Row],[SIGNAL]])</f>
        <v>EV_TRIG_SEL_26</v>
      </c>
      <c r="E297" s="9" t="str">
        <f>IF(Table13[[#This Row],[template]]="","","0x"&amp;Table13[[#This Row],[IP_Index]]&amp;DEC2HEX(Table13[[#This Row],[Addr_Dec]]*4,7))</f>
        <v>0x100001AC</v>
      </c>
      <c r="F297" s="9" t="str">
        <f>IF(Table13[[#This Row],[template]]="","",VLOOKUP(Table13[[#This Row],[template]],Table2915[],2,FALSE))</f>
        <v>asynParamInt32</v>
      </c>
      <c r="G297" s="18" t="str">
        <f>IF(Table13[[#This Row],[template]]="","","1")</f>
        <v>1</v>
      </c>
      <c r="H297" s="10"/>
      <c r="I297" s="13" t="str">
        <f>IF(Table13[[#This Row],[template]]="","","0x"&amp;Table13[[#This Row],[D_Index]]&amp;"000")</f>
        <v>0x03100000</v>
      </c>
      <c r="J297" s="18"/>
      <c r="K297" s="10">
        <v>0</v>
      </c>
      <c r="L297" s="10"/>
      <c r="M297" s="11" t="str">
        <f>IF(Table13[[#This Row],[template]]="","",VLOOKUP(Table13[[#This Row],[template]],Table2915[],3,FALSE))</f>
        <v xml:space="preserve"> </v>
      </c>
      <c r="N297" s="10"/>
      <c r="P297" s="9" t="str">
        <f>IF(Table13[[#This Row],[template]]="","",Table13[[#This Row],[IP]]&amp;"_"&amp;Table13[[#This Row],[PARAM_NAME]]&amp;IF(Table13[[#This Row],[SUB]]="","","_"&amp;Table13[[#This Row],[SUB]]))</f>
        <v>ev_TRIG_SEL_26</v>
      </c>
      <c r="Q297" s="1" t="s">
        <v>262</v>
      </c>
      <c r="R297" s="1" t="s">
        <v>494</v>
      </c>
      <c r="S297" s="6" t="s">
        <v>289</v>
      </c>
      <c r="T297" s="4" t="s">
        <v>496</v>
      </c>
      <c r="U297" s="6" t="s">
        <v>363</v>
      </c>
      <c r="V297" s="1" t="s">
        <v>787</v>
      </c>
      <c r="W297" s="16">
        <v>16</v>
      </c>
      <c r="X297" s="6" t="s">
        <v>363</v>
      </c>
      <c r="AA297" s="11">
        <f>IF(Table13[[#This Row],[template]]="","",VLOOKUP(Table13[[#This Row],[IP]],Table51117[],2,FALSE))</f>
        <v>1</v>
      </c>
      <c r="AB297" s="13" t="str">
        <f>IF(Table13[[#This Row],[template]]="","",DEC2HEX(VLOOKUP(Table13[[#This Row],[D1-Type]],Table351218[],2,FALSE),1)&amp;DEC2HEX(VLOOKUP(Table13[[#This Row],[D2-Type]],Table31016[],2,FALSE),1)&amp; DEC2HEX(Table13[[#This Row],[D2-Offset]],2)&amp;DEC2HEX(VLOOKUP(Table13[[#This Row],[D3-Type]],Table371319[],2,FALSE),1))</f>
        <v>03100</v>
      </c>
      <c r="AC297" s="14">
        <f>IF(Table13[[#This Row],[template]]="","",HEX2DEC(Table13[[#This Row],[Addr_Hex]]))</f>
        <v>107</v>
      </c>
    </row>
    <row r="298" spans="2:29" x14ac:dyDescent="0.3">
      <c r="B298" s="4">
        <v>420</v>
      </c>
      <c r="C298" s="4" t="s">
        <v>233</v>
      </c>
      <c r="D298" s="9" t="str">
        <f>UPPER(Table13[[#This Row],[SIGNAL]])</f>
        <v>EV_TRIG_SEL_27</v>
      </c>
      <c r="E298" s="9" t="str">
        <f>IF(Table13[[#This Row],[template]]="","","0x"&amp;Table13[[#This Row],[IP_Index]]&amp;DEC2HEX(Table13[[#This Row],[Addr_Dec]]*4,7))</f>
        <v>0x100001AC</v>
      </c>
      <c r="F298" s="9" t="str">
        <f>IF(Table13[[#This Row],[template]]="","",VLOOKUP(Table13[[#This Row],[template]],Table2915[],2,FALSE))</f>
        <v>asynParamInt32</v>
      </c>
      <c r="G298" s="18" t="str">
        <f>IF(Table13[[#This Row],[template]]="","","1")</f>
        <v>1</v>
      </c>
      <c r="H298" s="10"/>
      <c r="I298" s="13" t="str">
        <f>IF(Table13[[#This Row],[template]]="","","0x"&amp;Table13[[#This Row],[D_Index]]&amp;"000")</f>
        <v>0x03180000</v>
      </c>
      <c r="J298" s="18"/>
      <c r="K298" s="10">
        <v>0</v>
      </c>
      <c r="L298" s="10"/>
      <c r="M298" s="11" t="str">
        <f>IF(Table13[[#This Row],[template]]="","",VLOOKUP(Table13[[#This Row],[template]],Table2915[],3,FALSE))</f>
        <v xml:space="preserve"> </v>
      </c>
      <c r="N298" s="10"/>
      <c r="P298" s="9" t="str">
        <f>IF(Table13[[#This Row],[template]]="","",Table13[[#This Row],[IP]]&amp;"_"&amp;Table13[[#This Row],[PARAM_NAME]]&amp;IF(Table13[[#This Row],[SUB]]="","","_"&amp;Table13[[#This Row],[SUB]]))</f>
        <v>ev_TRIG_SEL_27</v>
      </c>
      <c r="Q298" s="1" t="s">
        <v>262</v>
      </c>
      <c r="R298" s="1" t="s">
        <v>494</v>
      </c>
      <c r="S298" s="6" t="s">
        <v>290</v>
      </c>
      <c r="T298" s="4" t="s">
        <v>496</v>
      </c>
      <c r="U298" s="6" t="s">
        <v>363</v>
      </c>
      <c r="V298" s="1" t="s">
        <v>787</v>
      </c>
      <c r="W298" s="16">
        <v>24</v>
      </c>
      <c r="X298" s="6" t="s">
        <v>363</v>
      </c>
      <c r="AA298" s="11">
        <f>IF(Table13[[#This Row],[template]]="","",VLOOKUP(Table13[[#This Row],[IP]],Table51117[],2,FALSE))</f>
        <v>1</v>
      </c>
      <c r="AB298" s="13" t="str">
        <f>IF(Table13[[#This Row],[template]]="","",DEC2HEX(VLOOKUP(Table13[[#This Row],[D1-Type]],Table351218[],2,FALSE),1)&amp;DEC2HEX(VLOOKUP(Table13[[#This Row],[D2-Type]],Table31016[],2,FALSE),1)&amp; DEC2HEX(Table13[[#This Row],[D2-Offset]],2)&amp;DEC2HEX(VLOOKUP(Table13[[#This Row],[D3-Type]],Table371319[],2,FALSE),1))</f>
        <v>03180</v>
      </c>
      <c r="AC298" s="14">
        <f>IF(Table13[[#This Row],[template]]="","",HEX2DEC(Table13[[#This Row],[Addr_Hex]]))</f>
        <v>107</v>
      </c>
    </row>
    <row r="299" spans="2:29" x14ac:dyDescent="0.3">
      <c r="B299" s="4">
        <v>421</v>
      </c>
      <c r="C299" s="4" t="s">
        <v>233</v>
      </c>
      <c r="D299" s="9" t="str">
        <f>UPPER(Table13[[#This Row],[SIGNAL]])</f>
        <v>EV_TRIG_SEL_28</v>
      </c>
      <c r="E299" s="9" t="str">
        <f>IF(Table13[[#This Row],[template]]="","","0x"&amp;Table13[[#This Row],[IP_Index]]&amp;DEC2HEX(Table13[[#This Row],[Addr_Dec]]*4,7))</f>
        <v>0x100001B0</v>
      </c>
      <c r="F299" s="9" t="str">
        <f>IF(Table13[[#This Row],[template]]="","",VLOOKUP(Table13[[#This Row],[template]],Table2915[],2,FALSE))</f>
        <v>asynParamInt32</v>
      </c>
      <c r="G299" s="18" t="str">
        <f>IF(Table13[[#This Row],[template]]="","","1")</f>
        <v>1</v>
      </c>
      <c r="H299" s="10"/>
      <c r="I299" s="13" t="str">
        <f>IF(Table13[[#This Row],[template]]="","","0x"&amp;Table13[[#This Row],[D_Index]]&amp;"000")</f>
        <v>0x03000000</v>
      </c>
      <c r="J299" s="18"/>
      <c r="K299" s="10">
        <v>0</v>
      </c>
      <c r="L299" s="10"/>
      <c r="M299" s="11" t="str">
        <f>IF(Table13[[#This Row],[template]]="","",VLOOKUP(Table13[[#This Row],[template]],Table2915[],3,FALSE))</f>
        <v xml:space="preserve"> </v>
      </c>
      <c r="N299" s="10"/>
      <c r="P299" s="9" t="str">
        <f>IF(Table13[[#This Row],[template]]="","",Table13[[#This Row],[IP]]&amp;"_"&amp;Table13[[#This Row],[PARAM_NAME]]&amp;IF(Table13[[#This Row],[SUB]]="","","_"&amp;Table13[[#This Row],[SUB]]))</f>
        <v>ev_TRIG_SEL_28</v>
      </c>
      <c r="Q299" s="1" t="s">
        <v>262</v>
      </c>
      <c r="R299" s="1" t="s">
        <v>494</v>
      </c>
      <c r="S299" s="6" t="s">
        <v>291</v>
      </c>
      <c r="T299" s="4" t="s">
        <v>497</v>
      </c>
      <c r="U299" s="6" t="s">
        <v>363</v>
      </c>
      <c r="V299" s="1" t="s">
        <v>787</v>
      </c>
      <c r="W299" s="16">
        <v>0</v>
      </c>
      <c r="X299" s="6" t="s">
        <v>363</v>
      </c>
      <c r="AA299" s="11">
        <f>IF(Table13[[#This Row],[template]]="","",VLOOKUP(Table13[[#This Row],[IP]],Table51117[],2,FALSE))</f>
        <v>1</v>
      </c>
      <c r="AB299" s="13" t="str">
        <f>IF(Table13[[#This Row],[template]]="","",DEC2HEX(VLOOKUP(Table13[[#This Row],[D1-Type]],Table351218[],2,FALSE),1)&amp;DEC2HEX(VLOOKUP(Table13[[#This Row],[D2-Type]],Table31016[],2,FALSE),1)&amp; DEC2HEX(Table13[[#This Row],[D2-Offset]],2)&amp;DEC2HEX(VLOOKUP(Table13[[#This Row],[D3-Type]],Table371319[],2,FALSE),1))</f>
        <v>03000</v>
      </c>
      <c r="AC299" s="14">
        <f>IF(Table13[[#This Row],[template]]="","",HEX2DEC(Table13[[#This Row],[Addr_Hex]]))</f>
        <v>108</v>
      </c>
    </row>
    <row r="300" spans="2:29" x14ac:dyDescent="0.3">
      <c r="B300" s="4">
        <v>422</v>
      </c>
      <c r="C300" s="4" t="s">
        <v>233</v>
      </c>
      <c r="D300" s="9" t="str">
        <f>UPPER(Table13[[#This Row],[SIGNAL]])</f>
        <v>EV_TRIG_SEL_29</v>
      </c>
      <c r="E300" s="9" t="str">
        <f>IF(Table13[[#This Row],[template]]="","","0x"&amp;Table13[[#This Row],[IP_Index]]&amp;DEC2HEX(Table13[[#This Row],[Addr_Dec]]*4,7))</f>
        <v>0x100001B0</v>
      </c>
      <c r="F300" s="9" t="str">
        <f>IF(Table13[[#This Row],[template]]="","",VLOOKUP(Table13[[#This Row],[template]],Table2915[],2,FALSE))</f>
        <v>asynParamInt32</v>
      </c>
      <c r="G300" s="18" t="str">
        <f>IF(Table13[[#This Row],[template]]="","","1")</f>
        <v>1</v>
      </c>
      <c r="H300" s="10"/>
      <c r="I300" s="13" t="str">
        <f>IF(Table13[[#This Row],[template]]="","","0x"&amp;Table13[[#This Row],[D_Index]]&amp;"000")</f>
        <v>0x03080000</v>
      </c>
      <c r="J300" s="18"/>
      <c r="K300" s="10">
        <v>0</v>
      </c>
      <c r="L300" s="10"/>
      <c r="M300" s="11" t="str">
        <f>IF(Table13[[#This Row],[template]]="","",VLOOKUP(Table13[[#This Row],[template]],Table2915[],3,FALSE))</f>
        <v xml:space="preserve"> </v>
      </c>
      <c r="N300" s="10"/>
      <c r="P300" s="9" t="str">
        <f>IF(Table13[[#This Row],[template]]="","",Table13[[#This Row],[IP]]&amp;"_"&amp;Table13[[#This Row],[PARAM_NAME]]&amp;IF(Table13[[#This Row],[SUB]]="","","_"&amp;Table13[[#This Row],[SUB]]))</f>
        <v>ev_TRIG_SEL_29</v>
      </c>
      <c r="Q300" s="1" t="s">
        <v>262</v>
      </c>
      <c r="R300" s="1" t="s">
        <v>494</v>
      </c>
      <c r="S300" s="6" t="s">
        <v>292</v>
      </c>
      <c r="T300" s="4" t="s">
        <v>497</v>
      </c>
      <c r="U300" s="6" t="s">
        <v>363</v>
      </c>
      <c r="V300" s="1" t="s">
        <v>787</v>
      </c>
      <c r="W300" s="16">
        <v>8</v>
      </c>
      <c r="X300" s="6" t="s">
        <v>363</v>
      </c>
      <c r="AA300" s="11">
        <f>IF(Table13[[#This Row],[template]]="","",VLOOKUP(Table13[[#This Row],[IP]],Table51117[],2,FALSE))</f>
        <v>1</v>
      </c>
      <c r="AB300" s="13" t="str">
        <f>IF(Table13[[#This Row],[template]]="","",DEC2HEX(VLOOKUP(Table13[[#This Row],[D1-Type]],Table351218[],2,FALSE),1)&amp;DEC2HEX(VLOOKUP(Table13[[#This Row],[D2-Type]],Table31016[],2,FALSE),1)&amp; DEC2HEX(Table13[[#This Row],[D2-Offset]],2)&amp;DEC2HEX(VLOOKUP(Table13[[#This Row],[D3-Type]],Table371319[],2,FALSE),1))</f>
        <v>03080</v>
      </c>
      <c r="AC300" s="14">
        <f>IF(Table13[[#This Row],[template]]="","",HEX2DEC(Table13[[#This Row],[Addr_Hex]]))</f>
        <v>108</v>
      </c>
    </row>
    <row r="301" spans="2:29" x14ac:dyDescent="0.3">
      <c r="B301" s="4">
        <v>423</v>
      </c>
      <c r="C301" s="4" t="s">
        <v>233</v>
      </c>
      <c r="D301" s="9" t="str">
        <f>UPPER(Table13[[#This Row],[SIGNAL]])</f>
        <v>EV_TRIG_SEL_30</v>
      </c>
      <c r="E301" s="9" t="str">
        <f>IF(Table13[[#This Row],[template]]="","","0x"&amp;Table13[[#This Row],[IP_Index]]&amp;DEC2HEX(Table13[[#This Row],[Addr_Dec]]*4,7))</f>
        <v>0x100001B0</v>
      </c>
      <c r="F301" s="9" t="str">
        <f>IF(Table13[[#This Row],[template]]="","",VLOOKUP(Table13[[#This Row],[template]],Table2915[],2,FALSE))</f>
        <v>asynParamInt32</v>
      </c>
      <c r="G301" s="18" t="str">
        <f>IF(Table13[[#This Row],[template]]="","","1")</f>
        <v>1</v>
      </c>
      <c r="H301" s="10"/>
      <c r="I301" s="13" t="str">
        <f>IF(Table13[[#This Row],[template]]="","","0x"&amp;Table13[[#This Row],[D_Index]]&amp;"000")</f>
        <v>0x03100000</v>
      </c>
      <c r="J301" s="18"/>
      <c r="K301" s="10">
        <v>0</v>
      </c>
      <c r="L301" s="10"/>
      <c r="M301" s="11" t="str">
        <f>IF(Table13[[#This Row],[template]]="","",VLOOKUP(Table13[[#This Row],[template]],Table2915[],3,FALSE))</f>
        <v xml:space="preserve"> </v>
      </c>
      <c r="N301" s="10"/>
      <c r="P301" s="9" t="str">
        <f>IF(Table13[[#This Row],[template]]="","",Table13[[#This Row],[IP]]&amp;"_"&amp;Table13[[#This Row],[PARAM_NAME]]&amp;IF(Table13[[#This Row],[SUB]]="","","_"&amp;Table13[[#This Row],[SUB]]))</f>
        <v>ev_TRIG_SEL_30</v>
      </c>
      <c r="Q301" s="1" t="s">
        <v>262</v>
      </c>
      <c r="R301" s="1" t="s">
        <v>494</v>
      </c>
      <c r="S301" s="6" t="s">
        <v>293</v>
      </c>
      <c r="T301" s="4" t="s">
        <v>497</v>
      </c>
      <c r="U301" s="6" t="s">
        <v>363</v>
      </c>
      <c r="V301" s="1" t="s">
        <v>787</v>
      </c>
      <c r="W301" s="16">
        <v>16</v>
      </c>
      <c r="X301" s="6" t="s">
        <v>363</v>
      </c>
      <c r="AA301" s="11">
        <f>IF(Table13[[#This Row],[template]]="","",VLOOKUP(Table13[[#This Row],[IP]],Table51117[],2,FALSE))</f>
        <v>1</v>
      </c>
      <c r="AB301" s="13" t="str">
        <f>IF(Table13[[#This Row],[template]]="","",DEC2HEX(VLOOKUP(Table13[[#This Row],[D1-Type]],Table351218[],2,FALSE),1)&amp;DEC2HEX(VLOOKUP(Table13[[#This Row],[D2-Type]],Table31016[],2,FALSE),1)&amp; DEC2HEX(Table13[[#This Row],[D2-Offset]],2)&amp;DEC2HEX(VLOOKUP(Table13[[#This Row],[D3-Type]],Table371319[],2,FALSE),1))</f>
        <v>03100</v>
      </c>
      <c r="AC301" s="14">
        <f>IF(Table13[[#This Row],[template]]="","",HEX2DEC(Table13[[#This Row],[Addr_Hex]]))</f>
        <v>108</v>
      </c>
    </row>
    <row r="302" spans="2:29" x14ac:dyDescent="0.3">
      <c r="B302" s="4">
        <v>424</v>
      </c>
      <c r="C302" s="4" t="s">
        <v>233</v>
      </c>
      <c r="D302" s="9" t="str">
        <f>UPPER(Table13[[#This Row],[SIGNAL]])</f>
        <v>EV_TRIG_SEL_31</v>
      </c>
      <c r="E302" s="9" t="str">
        <f>IF(Table13[[#This Row],[template]]="","","0x"&amp;Table13[[#This Row],[IP_Index]]&amp;DEC2HEX(Table13[[#This Row],[Addr_Dec]]*4,7))</f>
        <v>0x100001B0</v>
      </c>
      <c r="F302" s="9" t="str">
        <f>IF(Table13[[#This Row],[template]]="","",VLOOKUP(Table13[[#This Row],[template]],Table2915[],2,FALSE))</f>
        <v>asynParamInt32</v>
      </c>
      <c r="G302" s="18" t="str">
        <f>IF(Table13[[#This Row],[template]]="","","1")</f>
        <v>1</v>
      </c>
      <c r="H302" s="10"/>
      <c r="I302" s="13" t="str">
        <f>IF(Table13[[#This Row],[template]]="","","0x"&amp;Table13[[#This Row],[D_Index]]&amp;"000")</f>
        <v>0x03180000</v>
      </c>
      <c r="J302" s="18"/>
      <c r="K302" s="10">
        <v>0</v>
      </c>
      <c r="L302" s="10"/>
      <c r="M302" s="11" t="str">
        <f>IF(Table13[[#This Row],[template]]="","",VLOOKUP(Table13[[#This Row],[template]],Table2915[],3,FALSE))</f>
        <v xml:space="preserve"> </v>
      </c>
      <c r="N302" s="10"/>
      <c r="P302" s="9" t="str">
        <f>IF(Table13[[#This Row],[template]]="","",Table13[[#This Row],[IP]]&amp;"_"&amp;Table13[[#This Row],[PARAM_NAME]]&amp;IF(Table13[[#This Row],[SUB]]="","","_"&amp;Table13[[#This Row],[SUB]]))</f>
        <v>ev_TRIG_SEL_31</v>
      </c>
      <c r="Q302" s="1" t="s">
        <v>262</v>
      </c>
      <c r="R302" s="1" t="s">
        <v>494</v>
      </c>
      <c r="S302" s="6" t="s">
        <v>294</v>
      </c>
      <c r="T302" s="4" t="s">
        <v>497</v>
      </c>
      <c r="U302" s="6" t="s">
        <v>363</v>
      </c>
      <c r="V302" s="1" t="s">
        <v>787</v>
      </c>
      <c r="W302" s="16">
        <v>24</v>
      </c>
      <c r="X302" s="6" t="s">
        <v>363</v>
      </c>
      <c r="AA302" s="11">
        <f>IF(Table13[[#This Row],[template]]="","",VLOOKUP(Table13[[#This Row],[IP]],Table51117[],2,FALSE))</f>
        <v>1</v>
      </c>
      <c r="AB302" s="13" t="str">
        <f>IF(Table13[[#This Row],[template]]="","",DEC2HEX(VLOOKUP(Table13[[#This Row],[D1-Type]],Table351218[],2,FALSE),1)&amp;DEC2HEX(VLOOKUP(Table13[[#This Row],[D2-Type]],Table31016[],2,FALSE),1)&amp; DEC2HEX(Table13[[#This Row],[D2-Offset]],2)&amp;DEC2HEX(VLOOKUP(Table13[[#This Row],[D3-Type]],Table371319[],2,FALSE),1))</f>
        <v>03180</v>
      </c>
      <c r="AC302" s="14">
        <f>IF(Table13[[#This Row],[template]]="","",HEX2DEC(Table13[[#This Row],[Addr_Hex]]))</f>
        <v>108</v>
      </c>
    </row>
    <row r="303" spans="2:29" x14ac:dyDescent="0.3">
      <c r="B303" s="4">
        <v>425</v>
      </c>
      <c r="C303" s="4"/>
      <c r="D303" s="28"/>
      <c r="E303" s="28"/>
      <c r="F303" s="28"/>
      <c r="L303" s="10"/>
      <c r="M303" s="38" t="str">
        <f>IF(Table13[[#This Row],[template]]="","",VLOOKUP(Table13[[#This Row],[template]],Table2915[],3,FALSE))</f>
        <v/>
      </c>
      <c r="N303" s="10"/>
      <c r="P303" s="28"/>
      <c r="S303" s="6"/>
      <c r="T303" s="4"/>
      <c r="U303" s="6"/>
      <c r="W303" s="16"/>
      <c r="X303" s="6"/>
      <c r="AB303" s="4"/>
      <c r="AC303" s="17"/>
    </row>
    <row r="304" spans="2:29" x14ac:dyDescent="0.3">
      <c r="B304" s="4">
        <v>426</v>
      </c>
      <c r="C304" s="4" t="s">
        <v>233</v>
      </c>
      <c r="D304" s="9" t="str">
        <f>UPPER(Table13[[#This Row],[SIGNAL]])</f>
        <v>EV_TX_DBUS_SEL_0</v>
      </c>
      <c r="E304" s="9" t="str">
        <f>IF(Table13[[#This Row],[template]]="","","0x"&amp;Table13[[#This Row],[IP_Index]]&amp;DEC2HEX(Table13[[#This Row],[Addr_Dec]]*4,7))</f>
        <v>0x100001B4</v>
      </c>
      <c r="F304" s="9" t="str">
        <f>IF(Table13[[#This Row],[template]]="","",VLOOKUP(Table13[[#This Row],[template]],Table2915[],2,FALSE))</f>
        <v>asynParamInt32</v>
      </c>
      <c r="G304" s="18" t="str">
        <f>IF(Table13[[#This Row],[template]]="","","1")</f>
        <v>1</v>
      </c>
      <c r="H304" s="10"/>
      <c r="I304" s="13" t="str">
        <f>IF(Table13[[#This Row],[template]]="","","0x"&amp;Table13[[#This Row],[D_Index]]&amp;"000")</f>
        <v>0x03000000</v>
      </c>
      <c r="J304" s="18"/>
      <c r="K304" s="10">
        <v>0</v>
      </c>
      <c r="L304" s="10"/>
      <c r="M304" s="11" t="str">
        <f>IF(Table13[[#This Row],[template]]="","",VLOOKUP(Table13[[#This Row],[template]],Table2915[],3,FALSE))</f>
        <v xml:space="preserve"> </v>
      </c>
      <c r="N304" s="10"/>
      <c r="P304" s="9" t="str">
        <f>IF(Table13[[#This Row],[template]]="","",Table13[[#This Row],[IP]]&amp;"_"&amp;Table13[[#This Row],[PARAM_NAME]]&amp;IF(Table13[[#This Row],[SUB]]="","","_"&amp;Table13[[#This Row],[SUB]]))</f>
        <v>ev_TX_DBUS_SEL_0</v>
      </c>
      <c r="Q304" s="1" t="s">
        <v>262</v>
      </c>
      <c r="R304" s="1" t="s">
        <v>493</v>
      </c>
      <c r="S304" s="6" t="s">
        <v>786</v>
      </c>
      <c r="T304" s="4" t="s">
        <v>498</v>
      </c>
      <c r="U304" s="6" t="s">
        <v>363</v>
      </c>
      <c r="V304" s="1" t="s">
        <v>787</v>
      </c>
      <c r="W304" s="16">
        <v>0</v>
      </c>
      <c r="X304" s="6" t="s">
        <v>363</v>
      </c>
      <c r="AA304" s="11">
        <f>IF(Table13[[#This Row],[template]]="","",VLOOKUP(Table13[[#This Row],[IP]],Table51117[],2,FALSE))</f>
        <v>1</v>
      </c>
      <c r="AB304" s="13" t="str">
        <f>IF(Table13[[#This Row],[template]]="","",DEC2HEX(VLOOKUP(Table13[[#This Row],[D1-Type]],Table351218[],2,FALSE),1)&amp;DEC2HEX(VLOOKUP(Table13[[#This Row],[D2-Type]],Table31016[],2,FALSE),1)&amp; DEC2HEX(Table13[[#This Row],[D2-Offset]],2)&amp;DEC2HEX(VLOOKUP(Table13[[#This Row],[D3-Type]],Table371319[],2,FALSE),1))</f>
        <v>03000</v>
      </c>
      <c r="AC304" s="14">
        <f>IF(Table13[[#This Row],[template]]="","",HEX2DEC(Table13[[#This Row],[Addr_Hex]]))</f>
        <v>109</v>
      </c>
    </row>
    <row r="305" spans="2:29" x14ac:dyDescent="0.3">
      <c r="B305" s="4">
        <v>427</v>
      </c>
      <c r="C305" s="4" t="s">
        <v>233</v>
      </c>
      <c r="D305" s="9" t="str">
        <f>UPPER(Table13[[#This Row],[SIGNAL]])</f>
        <v>EV_TX_DBUS_SEL_1</v>
      </c>
      <c r="E305" s="9" t="str">
        <f>IF(Table13[[#This Row],[template]]="","","0x"&amp;Table13[[#This Row],[IP_Index]]&amp;DEC2HEX(Table13[[#This Row],[Addr_Dec]]*4,7))</f>
        <v>0x100001B4</v>
      </c>
      <c r="F305" s="9" t="str">
        <f>IF(Table13[[#This Row],[template]]="","",VLOOKUP(Table13[[#This Row],[template]],Table2915[],2,FALSE))</f>
        <v>asynParamInt32</v>
      </c>
      <c r="G305" s="18" t="str">
        <f>IF(Table13[[#This Row],[template]]="","","1")</f>
        <v>1</v>
      </c>
      <c r="H305" s="10"/>
      <c r="I305" s="13" t="str">
        <f>IF(Table13[[#This Row],[template]]="","","0x"&amp;Table13[[#This Row],[D_Index]]&amp;"000")</f>
        <v>0x03080000</v>
      </c>
      <c r="J305" s="18"/>
      <c r="K305" s="10">
        <v>0</v>
      </c>
      <c r="L305" s="10"/>
      <c r="M305" s="11" t="str">
        <f>IF(Table13[[#This Row],[template]]="","",VLOOKUP(Table13[[#This Row],[template]],Table2915[],3,FALSE))</f>
        <v xml:space="preserve"> </v>
      </c>
      <c r="N305" s="10"/>
      <c r="P305" s="9" t="str">
        <f>IF(Table13[[#This Row],[template]]="","",Table13[[#This Row],[IP]]&amp;"_"&amp;Table13[[#This Row],[PARAM_NAME]]&amp;IF(Table13[[#This Row],[SUB]]="","","_"&amp;Table13[[#This Row],[SUB]]))</f>
        <v>ev_TX_DBUS_SEL_1</v>
      </c>
      <c r="Q305" s="1" t="s">
        <v>262</v>
      </c>
      <c r="R305" s="1" t="s">
        <v>493</v>
      </c>
      <c r="S305" s="6" t="s">
        <v>271</v>
      </c>
      <c r="T305" s="4" t="s">
        <v>498</v>
      </c>
      <c r="U305" s="6" t="s">
        <v>363</v>
      </c>
      <c r="V305" s="1" t="s">
        <v>787</v>
      </c>
      <c r="W305" s="16">
        <v>8</v>
      </c>
      <c r="X305" s="6" t="s">
        <v>363</v>
      </c>
      <c r="AA305" s="11">
        <f>IF(Table13[[#This Row],[template]]="","",VLOOKUP(Table13[[#This Row],[IP]],Table51117[],2,FALSE))</f>
        <v>1</v>
      </c>
      <c r="AB305" s="13" t="str">
        <f>IF(Table13[[#This Row],[template]]="","",DEC2HEX(VLOOKUP(Table13[[#This Row],[D1-Type]],Table351218[],2,FALSE),1)&amp;DEC2HEX(VLOOKUP(Table13[[#This Row],[D2-Type]],Table31016[],2,FALSE),1)&amp; DEC2HEX(Table13[[#This Row],[D2-Offset]],2)&amp;DEC2HEX(VLOOKUP(Table13[[#This Row],[D3-Type]],Table371319[],2,FALSE),1))</f>
        <v>03080</v>
      </c>
      <c r="AC305" s="14">
        <f>IF(Table13[[#This Row],[template]]="","",HEX2DEC(Table13[[#This Row],[Addr_Hex]]))</f>
        <v>109</v>
      </c>
    </row>
    <row r="306" spans="2:29" x14ac:dyDescent="0.3">
      <c r="B306" s="4">
        <v>428</v>
      </c>
      <c r="C306" s="4" t="s">
        <v>233</v>
      </c>
      <c r="D306" s="9" t="str">
        <f>UPPER(Table13[[#This Row],[SIGNAL]])</f>
        <v>EV_TX_DBUS_SEL_2</v>
      </c>
      <c r="E306" s="9" t="str">
        <f>IF(Table13[[#This Row],[template]]="","","0x"&amp;Table13[[#This Row],[IP_Index]]&amp;DEC2HEX(Table13[[#This Row],[Addr_Dec]]*4,7))</f>
        <v>0x100001B4</v>
      </c>
      <c r="F306" s="9" t="str">
        <f>IF(Table13[[#This Row],[template]]="","",VLOOKUP(Table13[[#This Row],[template]],Table2915[],2,FALSE))</f>
        <v>asynParamInt32</v>
      </c>
      <c r="G306" s="18" t="str">
        <f>IF(Table13[[#This Row],[template]]="","","1")</f>
        <v>1</v>
      </c>
      <c r="H306" s="10"/>
      <c r="I306" s="13" t="str">
        <f>IF(Table13[[#This Row],[template]]="","","0x"&amp;Table13[[#This Row],[D_Index]]&amp;"000")</f>
        <v>0x03100000</v>
      </c>
      <c r="J306" s="18"/>
      <c r="K306" s="10">
        <v>0</v>
      </c>
      <c r="L306" s="10"/>
      <c r="M306" s="11" t="str">
        <f>IF(Table13[[#This Row],[template]]="","",VLOOKUP(Table13[[#This Row],[template]],Table2915[],3,FALSE))</f>
        <v xml:space="preserve"> </v>
      </c>
      <c r="N306" s="10"/>
      <c r="P306" s="9" t="str">
        <f>IF(Table13[[#This Row],[template]]="","",Table13[[#This Row],[IP]]&amp;"_"&amp;Table13[[#This Row],[PARAM_NAME]]&amp;IF(Table13[[#This Row],[SUB]]="","","_"&amp;Table13[[#This Row],[SUB]]))</f>
        <v>ev_TX_DBUS_SEL_2</v>
      </c>
      <c r="Q306" s="1" t="s">
        <v>262</v>
      </c>
      <c r="R306" s="1" t="s">
        <v>493</v>
      </c>
      <c r="S306" s="6" t="s">
        <v>243</v>
      </c>
      <c r="T306" s="4" t="s">
        <v>498</v>
      </c>
      <c r="U306" s="6" t="s">
        <v>363</v>
      </c>
      <c r="V306" s="1" t="s">
        <v>787</v>
      </c>
      <c r="W306" s="16">
        <v>16</v>
      </c>
      <c r="X306" s="6" t="s">
        <v>363</v>
      </c>
      <c r="AA306" s="11">
        <f>IF(Table13[[#This Row],[template]]="","",VLOOKUP(Table13[[#This Row],[IP]],Table51117[],2,FALSE))</f>
        <v>1</v>
      </c>
      <c r="AB306" s="13" t="str">
        <f>IF(Table13[[#This Row],[template]]="","",DEC2HEX(VLOOKUP(Table13[[#This Row],[D1-Type]],Table351218[],2,FALSE),1)&amp;DEC2HEX(VLOOKUP(Table13[[#This Row],[D2-Type]],Table31016[],2,FALSE),1)&amp; DEC2HEX(Table13[[#This Row],[D2-Offset]],2)&amp;DEC2HEX(VLOOKUP(Table13[[#This Row],[D3-Type]],Table371319[],2,FALSE),1))</f>
        <v>03100</v>
      </c>
      <c r="AC306" s="14">
        <f>IF(Table13[[#This Row],[template]]="","",HEX2DEC(Table13[[#This Row],[Addr_Hex]]))</f>
        <v>109</v>
      </c>
    </row>
    <row r="307" spans="2:29" x14ac:dyDescent="0.3">
      <c r="B307" s="4">
        <v>429</v>
      </c>
      <c r="C307" s="4" t="s">
        <v>233</v>
      </c>
      <c r="D307" s="9" t="str">
        <f>UPPER(Table13[[#This Row],[SIGNAL]])</f>
        <v>EV_TX_DBUS_SEL_3</v>
      </c>
      <c r="E307" s="9" t="str">
        <f>IF(Table13[[#This Row],[template]]="","","0x"&amp;Table13[[#This Row],[IP_Index]]&amp;DEC2HEX(Table13[[#This Row],[Addr_Dec]]*4,7))</f>
        <v>0x100001B4</v>
      </c>
      <c r="F307" s="9" t="str">
        <f>IF(Table13[[#This Row],[template]]="","",VLOOKUP(Table13[[#This Row],[template]],Table2915[],2,FALSE))</f>
        <v>asynParamInt32</v>
      </c>
      <c r="G307" s="18" t="str">
        <f>IF(Table13[[#This Row],[template]]="","","1")</f>
        <v>1</v>
      </c>
      <c r="H307" s="10"/>
      <c r="I307" s="13" t="str">
        <f>IF(Table13[[#This Row],[template]]="","","0x"&amp;Table13[[#This Row],[D_Index]]&amp;"000")</f>
        <v>0x03180000</v>
      </c>
      <c r="J307" s="18"/>
      <c r="K307" s="10">
        <v>0</v>
      </c>
      <c r="L307" s="10"/>
      <c r="M307" s="11" t="str">
        <f>IF(Table13[[#This Row],[template]]="","",VLOOKUP(Table13[[#This Row],[template]],Table2915[],3,FALSE))</f>
        <v xml:space="preserve"> </v>
      </c>
      <c r="N307" s="10"/>
      <c r="P307" s="9" t="str">
        <f>IF(Table13[[#This Row],[template]]="","",Table13[[#This Row],[IP]]&amp;"_"&amp;Table13[[#This Row],[PARAM_NAME]]&amp;IF(Table13[[#This Row],[SUB]]="","","_"&amp;Table13[[#This Row],[SUB]]))</f>
        <v>ev_TX_DBUS_SEL_3</v>
      </c>
      <c r="Q307" s="1" t="s">
        <v>262</v>
      </c>
      <c r="R307" s="1" t="s">
        <v>493</v>
      </c>
      <c r="S307" s="6" t="s">
        <v>244</v>
      </c>
      <c r="T307" s="4" t="s">
        <v>498</v>
      </c>
      <c r="U307" s="6" t="s">
        <v>363</v>
      </c>
      <c r="V307" s="1" t="s">
        <v>787</v>
      </c>
      <c r="W307" s="16">
        <v>24</v>
      </c>
      <c r="X307" s="6" t="s">
        <v>363</v>
      </c>
      <c r="AA307" s="11">
        <f>IF(Table13[[#This Row],[template]]="","",VLOOKUP(Table13[[#This Row],[IP]],Table51117[],2,FALSE))</f>
        <v>1</v>
      </c>
      <c r="AB307" s="13" t="str">
        <f>IF(Table13[[#This Row],[template]]="","",DEC2HEX(VLOOKUP(Table13[[#This Row],[D1-Type]],Table351218[],2,FALSE),1)&amp;DEC2HEX(VLOOKUP(Table13[[#This Row],[D2-Type]],Table31016[],2,FALSE),1)&amp; DEC2HEX(Table13[[#This Row],[D2-Offset]],2)&amp;DEC2HEX(VLOOKUP(Table13[[#This Row],[D3-Type]],Table371319[],2,FALSE),1))</f>
        <v>03180</v>
      </c>
      <c r="AC307" s="14">
        <f>IF(Table13[[#This Row],[template]]="","",HEX2DEC(Table13[[#This Row],[Addr_Hex]]))</f>
        <v>109</v>
      </c>
    </row>
    <row r="308" spans="2:29" x14ac:dyDescent="0.3">
      <c r="B308" s="4">
        <v>430</v>
      </c>
      <c r="C308" s="4" t="s">
        <v>233</v>
      </c>
      <c r="D308" s="9" t="str">
        <f>UPPER(Table13[[#This Row],[SIGNAL]])</f>
        <v>EV_TX_DBUS_SEL_4</v>
      </c>
      <c r="E308" s="9" t="str">
        <f>IF(Table13[[#This Row],[template]]="","","0x"&amp;Table13[[#This Row],[IP_Index]]&amp;DEC2HEX(Table13[[#This Row],[Addr_Dec]]*4,7))</f>
        <v>0x100001B8</v>
      </c>
      <c r="F308" s="9" t="str">
        <f>IF(Table13[[#This Row],[template]]="","",VLOOKUP(Table13[[#This Row],[template]],Table2915[],2,FALSE))</f>
        <v>asynParamInt32</v>
      </c>
      <c r="G308" s="18" t="str">
        <f>IF(Table13[[#This Row],[template]]="","","1")</f>
        <v>1</v>
      </c>
      <c r="H308" s="10"/>
      <c r="I308" s="13" t="str">
        <f>IF(Table13[[#This Row],[template]]="","","0x"&amp;Table13[[#This Row],[D_Index]]&amp;"000")</f>
        <v>0x03000000</v>
      </c>
      <c r="J308" s="18"/>
      <c r="K308" s="10">
        <v>0</v>
      </c>
      <c r="L308" s="10"/>
      <c r="M308" s="11" t="str">
        <f>IF(Table13[[#This Row],[template]]="","",VLOOKUP(Table13[[#This Row],[template]],Table2915[],3,FALSE))</f>
        <v xml:space="preserve"> </v>
      </c>
      <c r="N308" s="10"/>
      <c r="P308" s="9" t="str">
        <f>IF(Table13[[#This Row],[template]]="","",Table13[[#This Row],[IP]]&amp;"_"&amp;Table13[[#This Row],[PARAM_NAME]]&amp;IF(Table13[[#This Row],[SUB]]="","","_"&amp;Table13[[#This Row],[SUB]]))</f>
        <v>ev_TX_DBUS_SEL_4</v>
      </c>
      <c r="Q308" s="1" t="s">
        <v>262</v>
      </c>
      <c r="R308" s="1" t="s">
        <v>493</v>
      </c>
      <c r="S308" s="6" t="s">
        <v>245</v>
      </c>
      <c r="T308" s="4" t="s">
        <v>499</v>
      </c>
      <c r="U308" s="6" t="s">
        <v>363</v>
      </c>
      <c r="V308" s="1" t="s">
        <v>787</v>
      </c>
      <c r="W308" s="16">
        <v>0</v>
      </c>
      <c r="X308" s="6" t="s">
        <v>363</v>
      </c>
      <c r="AA308" s="11">
        <f>IF(Table13[[#This Row],[template]]="","",VLOOKUP(Table13[[#This Row],[IP]],Table51117[],2,FALSE))</f>
        <v>1</v>
      </c>
      <c r="AB308" s="13" t="str">
        <f>IF(Table13[[#This Row],[template]]="","",DEC2HEX(VLOOKUP(Table13[[#This Row],[D1-Type]],Table351218[],2,FALSE),1)&amp;DEC2HEX(VLOOKUP(Table13[[#This Row],[D2-Type]],Table31016[],2,FALSE),1)&amp; DEC2HEX(Table13[[#This Row],[D2-Offset]],2)&amp;DEC2HEX(VLOOKUP(Table13[[#This Row],[D3-Type]],Table371319[],2,FALSE),1))</f>
        <v>03000</v>
      </c>
      <c r="AC308" s="14">
        <f>IF(Table13[[#This Row],[template]]="","",HEX2DEC(Table13[[#This Row],[Addr_Hex]]))</f>
        <v>110</v>
      </c>
    </row>
    <row r="309" spans="2:29" x14ac:dyDescent="0.3">
      <c r="B309" s="4">
        <v>431</v>
      </c>
      <c r="C309" s="4" t="s">
        <v>233</v>
      </c>
      <c r="D309" s="9" t="str">
        <f>UPPER(Table13[[#This Row],[SIGNAL]])</f>
        <v>EV_TX_DBUS_SEL_5</v>
      </c>
      <c r="E309" s="9" t="str">
        <f>IF(Table13[[#This Row],[template]]="","","0x"&amp;Table13[[#This Row],[IP_Index]]&amp;DEC2HEX(Table13[[#This Row],[Addr_Dec]]*4,7))</f>
        <v>0x100001B8</v>
      </c>
      <c r="F309" s="9" t="str">
        <f>IF(Table13[[#This Row],[template]]="","",VLOOKUP(Table13[[#This Row],[template]],Table2915[],2,FALSE))</f>
        <v>asynParamInt32</v>
      </c>
      <c r="G309" s="18" t="str">
        <f>IF(Table13[[#This Row],[template]]="","","1")</f>
        <v>1</v>
      </c>
      <c r="H309" s="10"/>
      <c r="I309" s="13" t="str">
        <f>IF(Table13[[#This Row],[template]]="","","0x"&amp;Table13[[#This Row],[D_Index]]&amp;"000")</f>
        <v>0x03080000</v>
      </c>
      <c r="J309" s="18"/>
      <c r="K309" s="10">
        <v>0</v>
      </c>
      <c r="L309" s="10"/>
      <c r="M309" s="11" t="str">
        <f>IF(Table13[[#This Row],[template]]="","",VLOOKUP(Table13[[#This Row],[template]],Table2915[],3,FALSE))</f>
        <v xml:space="preserve"> </v>
      </c>
      <c r="N309" s="10"/>
      <c r="P309" s="9" t="str">
        <f>IF(Table13[[#This Row],[template]]="","",Table13[[#This Row],[IP]]&amp;"_"&amp;Table13[[#This Row],[PARAM_NAME]]&amp;IF(Table13[[#This Row],[SUB]]="","","_"&amp;Table13[[#This Row],[SUB]]))</f>
        <v>ev_TX_DBUS_SEL_5</v>
      </c>
      <c r="Q309" s="1" t="s">
        <v>262</v>
      </c>
      <c r="R309" s="1" t="s">
        <v>493</v>
      </c>
      <c r="S309" s="6" t="s">
        <v>246</v>
      </c>
      <c r="T309" s="4" t="s">
        <v>499</v>
      </c>
      <c r="U309" s="6" t="s">
        <v>363</v>
      </c>
      <c r="V309" s="1" t="s">
        <v>787</v>
      </c>
      <c r="W309" s="16">
        <v>8</v>
      </c>
      <c r="X309" s="6" t="s">
        <v>363</v>
      </c>
      <c r="AA309" s="11">
        <f>IF(Table13[[#This Row],[template]]="","",VLOOKUP(Table13[[#This Row],[IP]],Table51117[],2,FALSE))</f>
        <v>1</v>
      </c>
      <c r="AB309" s="13" t="str">
        <f>IF(Table13[[#This Row],[template]]="","",DEC2HEX(VLOOKUP(Table13[[#This Row],[D1-Type]],Table351218[],2,FALSE),1)&amp;DEC2HEX(VLOOKUP(Table13[[#This Row],[D2-Type]],Table31016[],2,FALSE),1)&amp; DEC2HEX(Table13[[#This Row],[D2-Offset]],2)&amp;DEC2HEX(VLOOKUP(Table13[[#This Row],[D3-Type]],Table371319[],2,FALSE),1))</f>
        <v>03080</v>
      </c>
      <c r="AC309" s="14">
        <f>IF(Table13[[#This Row],[template]]="","",HEX2DEC(Table13[[#This Row],[Addr_Hex]]))</f>
        <v>110</v>
      </c>
    </row>
    <row r="310" spans="2:29" x14ac:dyDescent="0.3">
      <c r="B310" s="4">
        <v>432</v>
      </c>
      <c r="C310" s="4" t="s">
        <v>233</v>
      </c>
      <c r="D310" s="9" t="str">
        <f>UPPER(Table13[[#This Row],[SIGNAL]])</f>
        <v>EV_TX_DBUS_SEL_6</v>
      </c>
      <c r="E310" s="9" t="str">
        <f>IF(Table13[[#This Row],[template]]="","","0x"&amp;Table13[[#This Row],[IP_Index]]&amp;DEC2HEX(Table13[[#This Row],[Addr_Dec]]*4,7))</f>
        <v>0x100001B8</v>
      </c>
      <c r="F310" s="9" t="str">
        <f>IF(Table13[[#This Row],[template]]="","",VLOOKUP(Table13[[#This Row],[template]],Table2915[],2,FALSE))</f>
        <v>asynParamInt32</v>
      </c>
      <c r="G310" s="18" t="str">
        <f>IF(Table13[[#This Row],[template]]="","","1")</f>
        <v>1</v>
      </c>
      <c r="H310" s="10"/>
      <c r="I310" s="13" t="str">
        <f>IF(Table13[[#This Row],[template]]="","","0x"&amp;Table13[[#This Row],[D_Index]]&amp;"000")</f>
        <v>0x03100000</v>
      </c>
      <c r="J310" s="18"/>
      <c r="K310" s="10">
        <v>0</v>
      </c>
      <c r="L310" s="10"/>
      <c r="M310" s="11" t="str">
        <f>IF(Table13[[#This Row],[template]]="","",VLOOKUP(Table13[[#This Row],[template]],Table2915[],3,FALSE))</f>
        <v xml:space="preserve"> </v>
      </c>
      <c r="N310" s="10"/>
      <c r="P310" s="9" t="str">
        <f>IF(Table13[[#This Row],[template]]="","",Table13[[#This Row],[IP]]&amp;"_"&amp;Table13[[#This Row],[PARAM_NAME]]&amp;IF(Table13[[#This Row],[SUB]]="","","_"&amp;Table13[[#This Row],[SUB]]))</f>
        <v>ev_TX_DBUS_SEL_6</v>
      </c>
      <c r="Q310" s="1" t="s">
        <v>262</v>
      </c>
      <c r="R310" s="1" t="s">
        <v>493</v>
      </c>
      <c r="S310" s="6" t="s">
        <v>247</v>
      </c>
      <c r="T310" s="4" t="s">
        <v>499</v>
      </c>
      <c r="U310" s="6" t="s">
        <v>363</v>
      </c>
      <c r="V310" s="1" t="s">
        <v>787</v>
      </c>
      <c r="W310" s="16">
        <v>16</v>
      </c>
      <c r="X310" s="6" t="s">
        <v>363</v>
      </c>
      <c r="AA310" s="11">
        <f>IF(Table13[[#This Row],[template]]="","",VLOOKUP(Table13[[#This Row],[IP]],Table51117[],2,FALSE))</f>
        <v>1</v>
      </c>
      <c r="AB310" s="13" t="str">
        <f>IF(Table13[[#This Row],[template]]="","",DEC2HEX(VLOOKUP(Table13[[#This Row],[D1-Type]],Table351218[],2,FALSE),1)&amp;DEC2HEX(VLOOKUP(Table13[[#This Row],[D2-Type]],Table31016[],2,FALSE),1)&amp; DEC2HEX(Table13[[#This Row],[D2-Offset]],2)&amp;DEC2HEX(VLOOKUP(Table13[[#This Row],[D3-Type]],Table371319[],2,FALSE),1))</f>
        <v>03100</v>
      </c>
      <c r="AC310" s="14">
        <f>IF(Table13[[#This Row],[template]]="","",HEX2DEC(Table13[[#This Row],[Addr_Hex]]))</f>
        <v>110</v>
      </c>
    </row>
    <row r="311" spans="2:29" x14ac:dyDescent="0.3">
      <c r="B311" s="4">
        <v>433</v>
      </c>
      <c r="C311" s="4" t="s">
        <v>233</v>
      </c>
      <c r="D311" s="9" t="str">
        <f>UPPER(Table13[[#This Row],[SIGNAL]])</f>
        <v>EV_TX_DBUS_SEL_7</v>
      </c>
      <c r="E311" s="9" t="str">
        <f>IF(Table13[[#This Row],[template]]="","","0x"&amp;Table13[[#This Row],[IP_Index]]&amp;DEC2HEX(Table13[[#This Row],[Addr_Dec]]*4,7))</f>
        <v>0x100001B8</v>
      </c>
      <c r="F311" s="9" t="str">
        <f>IF(Table13[[#This Row],[template]]="","",VLOOKUP(Table13[[#This Row],[template]],Table2915[],2,FALSE))</f>
        <v>asynParamInt32</v>
      </c>
      <c r="G311" s="18" t="str">
        <f>IF(Table13[[#This Row],[template]]="","","1")</f>
        <v>1</v>
      </c>
      <c r="H311" s="10"/>
      <c r="I311" s="13" t="str">
        <f>IF(Table13[[#This Row],[template]]="","","0x"&amp;Table13[[#This Row],[D_Index]]&amp;"000")</f>
        <v>0x03180000</v>
      </c>
      <c r="J311" s="18"/>
      <c r="K311" s="10">
        <v>0</v>
      </c>
      <c r="L311" s="10"/>
      <c r="M311" s="11" t="str">
        <f>IF(Table13[[#This Row],[template]]="","",VLOOKUP(Table13[[#This Row],[template]],Table2915[],3,FALSE))</f>
        <v xml:space="preserve"> </v>
      </c>
      <c r="N311" s="10"/>
      <c r="P311" s="9" t="str">
        <f>IF(Table13[[#This Row],[template]]="","",Table13[[#This Row],[IP]]&amp;"_"&amp;Table13[[#This Row],[PARAM_NAME]]&amp;IF(Table13[[#This Row],[SUB]]="","","_"&amp;Table13[[#This Row],[SUB]]))</f>
        <v>ev_TX_DBUS_SEL_7</v>
      </c>
      <c r="Q311" s="1" t="s">
        <v>262</v>
      </c>
      <c r="R311" s="1" t="s">
        <v>493</v>
      </c>
      <c r="S311" s="6" t="s">
        <v>248</v>
      </c>
      <c r="T311" s="4" t="s">
        <v>499</v>
      </c>
      <c r="U311" s="6" t="s">
        <v>363</v>
      </c>
      <c r="V311" s="1" t="s">
        <v>787</v>
      </c>
      <c r="W311" s="16">
        <v>24</v>
      </c>
      <c r="X311" s="6" t="s">
        <v>363</v>
      </c>
      <c r="AA311" s="11">
        <f>IF(Table13[[#This Row],[template]]="","",VLOOKUP(Table13[[#This Row],[IP]],Table51117[],2,FALSE))</f>
        <v>1</v>
      </c>
      <c r="AB311" s="13" t="str">
        <f>IF(Table13[[#This Row],[template]]="","",DEC2HEX(VLOOKUP(Table13[[#This Row],[D1-Type]],Table351218[],2,FALSE),1)&amp;DEC2HEX(VLOOKUP(Table13[[#This Row],[D2-Type]],Table31016[],2,FALSE),1)&amp; DEC2HEX(Table13[[#This Row],[D2-Offset]],2)&amp;DEC2HEX(VLOOKUP(Table13[[#This Row],[D3-Type]],Table371319[],2,FALSE),1))</f>
        <v>03180</v>
      </c>
      <c r="AC311" s="14">
        <f>IF(Table13[[#This Row],[template]]="","",HEX2DEC(Table13[[#This Row],[Addr_Hex]]))</f>
        <v>110</v>
      </c>
    </row>
    <row r="312" spans="2:29" x14ac:dyDescent="0.3">
      <c r="B312" s="4">
        <v>434</v>
      </c>
      <c r="C312" s="4"/>
      <c r="D312" s="2"/>
      <c r="E312" s="2"/>
      <c r="F312" s="2"/>
      <c r="M312" s="11" t="str">
        <f>IF(Table13[[#This Row],[template]]="","",VLOOKUP(Table13[[#This Row],[template]],Table2915[],3,FALSE))</f>
        <v/>
      </c>
      <c r="P312" s="9" t="str">
        <f>IF(Table13[[#This Row],[template]]="","",Table13[[#This Row],[IP]]&amp;"_"&amp;Table13[[#This Row],[PARAM_NAME]]&amp;IF(Table13[[#This Row],[SUB]]="","","_"&amp;Table13[[#This Row],[SUB]]))</f>
        <v/>
      </c>
      <c r="S312" s="6"/>
      <c r="T312" s="4"/>
      <c r="U312" s="6"/>
      <c r="W312" s="16"/>
      <c r="X312" s="6"/>
      <c r="AB312" s="4"/>
      <c r="AC312" s="17"/>
    </row>
    <row r="313" spans="2:29" x14ac:dyDescent="0.3">
      <c r="B313" s="4">
        <v>435</v>
      </c>
      <c r="C313" s="4" t="s">
        <v>233</v>
      </c>
      <c r="D313" s="9" t="str">
        <f>UPPER(Table13[[#This Row],[SIGNAL]])</f>
        <v>SYS_SEQA_CFG_SET</v>
      </c>
      <c r="E313" s="9" t="str">
        <f>IF(Table13[[#This Row],[template]]="","","0x"&amp;Table13[[#This Row],[IP_Index]]&amp;DEC2HEX(Table13[[#This Row],[Addr_Dec]]*4,7))</f>
        <v>0x00000000</v>
      </c>
      <c r="F313" s="9" t="str">
        <f>IF(Table13[[#This Row],[template]]="","",VLOOKUP(Table13[[#This Row],[template]],Table2915[],2,FALSE))</f>
        <v>asynParamInt32</v>
      </c>
      <c r="G313" s="18" t="str">
        <f>IF(Table13[[#This Row],[template]]="","","1")</f>
        <v>1</v>
      </c>
      <c r="H313" s="10"/>
      <c r="I313" s="13" t="str">
        <f>IF(Table13[[#This Row],[template]]="","","0x"&amp;Table13[[#This Row],[D_Index]]&amp;"000")</f>
        <v>0x01000000</v>
      </c>
      <c r="J313" s="18"/>
      <c r="K313" s="10" t="s">
        <v>508</v>
      </c>
      <c r="L313" s="10"/>
      <c r="M313" s="11" t="str">
        <f>IF(Table13[[#This Row],[template]]="","",VLOOKUP(Table13[[#This Row],[template]],Table2915[],3,FALSE))</f>
        <v xml:space="preserve"> </v>
      </c>
      <c r="N313" s="10"/>
      <c r="P313" s="9" t="str">
        <f>IF(Table13[[#This Row],[template]]="","",Table13[[#This Row],[IP]]&amp;"_"&amp;Table13[[#This Row],[PARAM_NAME]]&amp;IF(Table13[[#This Row],[SUB]]="","","_"&amp;Table13[[#This Row],[SUB]]))</f>
        <v>sys_seqA_Cfg_set</v>
      </c>
      <c r="Q313" s="1" t="s">
        <v>506</v>
      </c>
      <c r="R313" s="1" t="s">
        <v>472</v>
      </c>
      <c r="S313" s="6" t="s">
        <v>507</v>
      </c>
      <c r="T313" s="4">
        <v>0</v>
      </c>
      <c r="U313" s="6" t="s">
        <v>363</v>
      </c>
      <c r="V313" s="1" t="s">
        <v>254</v>
      </c>
      <c r="W313" s="16">
        <v>0</v>
      </c>
      <c r="X313" s="6" t="s">
        <v>363</v>
      </c>
      <c r="AA313" s="11">
        <f>IF(Table13[[#This Row],[template]]="","",VLOOKUP(Table13[[#This Row],[IP]],Table51117[],2,FALSE))</f>
        <v>0</v>
      </c>
      <c r="AB313" s="13" t="str">
        <f>IF(Table13[[#This Row],[template]]="","",DEC2HEX(VLOOKUP(Table13[[#This Row],[D1-Type]],Table351218[],2,FALSE),1)&amp;DEC2HEX(VLOOKUP(Table13[[#This Row],[D2-Type]],Table31016[],2,FALSE),1)&amp; DEC2HEX(Table13[[#This Row],[D2-Offset]],2)&amp;DEC2HEX(VLOOKUP(Table13[[#This Row],[D3-Type]],Table371319[],2,FALSE),1))</f>
        <v>01000</v>
      </c>
      <c r="AC313" s="14">
        <f>IF(Table13[[#This Row],[template]]="","",HEX2DEC(Table13[[#This Row],[Addr_Hex]]))</f>
        <v>0</v>
      </c>
    </row>
    <row r="314" spans="2:29" x14ac:dyDescent="0.3">
      <c r="B314" s="4">
        <v>436</v>
      </c>
      <c r="C314" s="4" t="s">
        <v>233</v>
      </c>
      <c r="D314" s="9" t="str">
        <f>UPPER(Table13[[#This Row],[SIGNAL]])</f>
        <v>SYS_SEQA_TSTAMP_SET</v>
      </c>
      <c r="E314" s="9" t="str">
        <f>IF(Table13[[#This Row],[template]]="","","0x"&amp;Table13[[#This Row],[IP_Index]]&amp;DEC2HEX(Table13[[#This Row],[Addr_Dec]]*4,7))</f>
        <v>0x00000000</v>
      </c>
      <c r="F314" s="9" t="str">
        <f>IF(Table13[[#This Row],[template]]="","",VLOOKUP(Table13[[#This Row],[template]],Table2915[],2,FALSE))</f>
        <v>asynParamInt32</v>
      </c>
      <c r="G314" s="18" t="str">
        <f>IF(Table13[[#This Row],[template]]="","","1")</f>
        <v>1</v>
      </c>
      <c r="H314" s="10"/>
      <c r="I314" s="13" t="str">
        <f>IF(Table13[[#This Row],[template]]="","","0x"&amp;Table13[[#This Row],[D_Index]]&amp;"000")</f>
        <v>0x01000000</v>
      </c>
      <c r="J314" s="18"/>
      <c r="K314" s="10" t="s">
        <v>509</v>
      </c>
      <c r="L314" s="10"/>
      <c r="M314" s="11" t="str">
        <f>IF(Table13[[#This Row],[template]]="","",VLOOKUP(Table13[[#This Row],[template]],Table2915[],3,FALSE))</f>
        <v xml:space="preserve"> </v>
      </c>
      <c r="N314" s="10"/>
      <c r="P314" s="9" t="str">
        <f>IF(Table13[[#This Row],[template]]="","",Table13[[#This Row],[IP]]&amp;"_"&amp;Table13[[#This Row],[PARAM_NAME]]&amp;IF(Table13[[#This Row],[SUB]]="","","_"&amp;Table13[[#This Row],[SUB]]))</f>
        <v>sys_seqA_TStamp_set</v>
      </c>
      <c r="Q314" s="1" t="s">
        <v>506</v>
      </c>
      <c r="R314" s="1" t="s">
        <v>474</v>
      </c>
      <c r="S314" s="6" t="s">
        <v>507</v>
      </c>
      <c r="T314" s="4">
        <v>0</v>
      </c>
      <c r="U314" s="6" t="s">
        <v>363</v>
      </c>
      <c r="V314" s="1" t="s">
        <v>254</v>
      </c>
      <c r="W314" s="16">
        <v>0</v>
      </c>
      <c r="X314" s="6" t="s">
        <v>363</v>
      </c>
      <c r="AA314" s="11">
        <f>IF(Table13[[#This Row],[template]]="","",VLOOKUP(Table13[[#This Row],[IP]],Table51117[],2,FALSE))</f>
        <v>0</v>
      </c>
      <c r="AB314" s="13" t="str">
        <f>IF(Table13[[#This Row],[template]]="","",DEC2HEX(VLOOKUP(Table13[[#This Row],[D1-Type]],Table351218[],2,FALSE),1)&amp;DEC2HEX(VLOOKUP(Table13[[#This Row],[D2-Type]],Table31016[],2,FALSE),1)&amp; DEC2HEX(Table13[[#This Row],[D2-Offset]],2)&amp;DEC2HEX(VLOOKUP(Table13[[#This Row],[D3-Type]],Table371319[],2,FALSE),1))</f>
        <v>01000</v>
      </c>
      <c r="AC314" s="14">
        <f>IF(Table13[[#This Row],[template]]="","",HEX2DEC(Table13[[#This Row],[Addr_Hex]]))</f>
        <v>0</v>
      </c>
    </row>
    <row r="315" spans="2:29" x14ac:dyDescent="0.3">
      <c r="B315" s="4">
        <v>437</v>
      </c>
      <c r="C315" s="4" t="s">
        <v>233</v>
      </c>
      <c r="D315" s="9" t="str">
        <f>UPPER(Table13[[#This Row],[SIGNAL]])</f>
        <v>SYS_SEQB_CFG_SET</v>
      </c>
      <c r="E315" s="9" t="str">
        <f>IF(Table13[[#This Row],[template]]="","","0x"&amp;Table13[[#This Row],[IP_Index]]&amp;DEC2HEX(Table13[[#This Row],[Addr_Dec]]*4,7))</f>
        <v>0x00000000</v>
      </c>
      <c r="F315" s="9" t="str">
        <f>IF(Table13[[#This Row],[template]]="","",VLOOKUP(Table13[[#This Row],[template]],Table2915[],2,FALSE))</f>
        <v>asynParamInt32</v>
      </c>
      <c r="G315" s="18" t="str">
        <f>IF(Table13[[#This Row],[template]]="","","1")</f>
        <v>1</v>
      </c>
      <c r="H315" s="10"/>
      <c r="I315" s="13" t="str">
        <f>IF(Table13[[#This Row],[template]]="","","0x"&amp;Table13[[#This Row],[D_Index]]&amp;"000")</f>
        <v>0x01000000</v>
      </c>
      <c r="J315" s="18"/>
      <c r="K315" s="10" t="s">
        <v>510</v>
      </c>
      <c r="L315" s="10"/>
      <c r="M315" s="11" t="str">
        <f>IF(Table13[[#This Row],[template]]="","",VLOOKUP(Table13[[#This Row],[template]],Table2915[],3,FALSE))</f>
        <v xml:space="preserve"> </v>
      </c>
      <c r="N315" s="10"/>
      <c r="P315" s="9" t="str">
        <f>IF(Table13[[#This Row],[template]]="","",Table13[[#This Row],[IP]]&amp;"_"&amp;Table13[[#This Row],[PARAM_NAME]]&amp;IF(Table13[[#This Row],[SUB]]="","","_"&amp;Table13[[#This Row],[SUB]]))</f>
        <v>sys_seqB_Cfg_set</v>
      </c>
      <c r="Q315" s="1" t="s">
        <v>506</v>
      </c>
      <c r="R315" s="1" t="s">
        <v>476</v>
      </c>
      <c r="S315" s="6" t="s">
        <v>507</v>
      </c>
      <c r="T315" s="4">
        <v>0</v>
      </c>
      <c r="U315" s="6" t="s">
        <v>363</v>
      </c>
      <c r="V315" s="1" t="s">
        <v>254</v>
      </c>
      <c r="W315" s="16">
        <v>0</v>
      </c>
      <c r="X315" s="6" t="s">
        <v>363</v>
      </c>
      <c r="AA315" s="11">
        <f>IF(Table13[[#This Row],[template]]="","",VLOOKUP(Table13[[#This Row],[IP]],Table51117[],2,FALSE))</f>
        <v>0</v>
      </c>
      <c r="AB315" s="13" t="str">
        <f>IF(Table13[[#This Row],[template]]="","",DEC2HEX(VLOOKUP(Table13[[#This Row],[D1-Type]],Table351218[],2,FALSE),1)&amp;DEC2HEX(VLOOKUP(Table13[[#This Row],[D2-Type]],Table31016[],2,FALSE),1)&amp; DEC2HEX(Table13[[#This Row],[D2-Offset]],2)&amp;DEC2HEX(VLOOKUP(Table13[[#This Row],[D3-Type]],Table371319[],2,FALSE),1))</f>
        <v>01000</v>
      </c>
      <c r="AC315" s="14">
        <f>IF(Table13[[#This Row],[template]]="","",HEX2DEC(Table13[[#This Row],[Addr_Hex]]))</f>
        <v>0</v>
      </c>
    </row>
    <row r="316" spans="2:29" x14ac:dyDescent="0.3">
      <c r="B316" s="4">
        <v>438</v>
      </c>
      <c r="C316" s="4" t="s">
        <v>233</v>
      </c>
      <c r="D316" s="9" t="str">
        <f>UPPER(Table13[[#This Row],[SIGNAL]])</f>
        <v>SYS_SEQB_TSTAMP_SET</v>
      </c>
      <c r="E316" s="9" t="str">
        <f>IF(Table13[[#This Row],[template]]="","","0x"&amp;Table13[[#This Row],[IP_Index]]&amp;DEC2HEX(Table13[[#This Row],[Addr_Dec]]*4,7))</f>
        <v>0x00000000</v>
      </c>
      <c r="F316" s="9" t="str">
        <f>IF(Table13[[#This Row],[template]]="","",VLOOKUP(Table13[[#This Row],[template]],Table2915[],2,FALSE))</f>
        <v>asynParamInt32</v>
      </c>
      <c r="G316" s="18" t="str">
        <f>IF(Table13[[#This Row],[template]]="","","1")</f>
        <v>1</v>
      </c>
      <c r="H316" s="10"/>
      <c r="I316" s="13" t="str">
        <f>IF(Table13[[#This Row],[template]]="","","0x"&amp;Table13[[#This Row],[D_Index]]&amp;"000")</f>
        <v>0x01000000</v>
      </c>
      <c r="J316" s="18"/>
      <c r="K316" s="10" t="s">
        <v>511</v>
      </c>
      <c r="L316" s="10"/>
      <c r="M316" s="11" t="str">
        <f>IF(Table13[[#This Row],[template]]="","",VLOOKUP(Table13[[#This Row],[template]],Table2915[],3,FALSE))</f>
        <v xml:space="preserve"> </v>
      </c>
      <c r="N316" s="10"/>
      <c r="P316" s="9" t="str">
        <f>IF(Table13[[#This Row],[template]]="","",Table13[[#This Row],[IP]]&amp;"_"&amp;Table13[[#This Row],[PARAM_NAME]]&amp;IF(Table13[[#This Row],[SUB]]="","","_"&amp;Table13[[#This Row],[SUB]]))</f>
        <v>sys_seqB_TStamp_set</v>
      </c>
      <c r="Q316" s="1" t="s">
        <v>506</v>
      </c>
      <c r="R316" s="1" t="s">
        <v>478</v>
      </c>
      <c r="S316" s="6" t="s">
        <v>507</v>
      </c>
      <c r="T316" s="4">
        <v>0</v>
      </c>
      <c r="U316" s="6" t="s">
        <v>363</v>
      </c>
      <c r="V316" s="1" t="s">
        <v>254</v>
      </c>
      <c r="W316" s="16">
        <v>0</v>
      </c>
      <c r="X316" s="6" t="s">
        <v>363</v>
      </c>
      <c r="AA316" s="11">
        <f>IF(Table13[[#This Row],[template]]="","",VLOOKUP(Table13[[#This Row],[IP]],Table51117[],2,FALSE))</f>
        <v>0</v>
      </c>
      <c r="AB316" s="13" t="str">
        <f>IF(Table13[[#This Row],[template]]="","",DEC2HEX(VLOOKUP(Table13[[#This Row],[D1-Type]],Table351218[],2,FALSE),1)&amp;DEC2HEX(VLOOKUP(Table13[[#This Row],[D2-Type]],Table31016[],2,FALSE),1)&amp; DEC2HEX(Table13[[#This Row],[D2-Offset]],2)&amp;DEC2HEX(VLOOKUP(Table13[[#This Row],[D3-Type]],Table371319[],2,FALSE),1))</f>
        <v>01000</v>
      </c>
      <c r="AC316" s="14">
        <f>IF(Table13[[#This Row],[template]]="","",HEX2DEC(Table13[[#This Row],[Addr_Hex]]))</f>
        <v>0</v>
      </c>
    </row>
    <row r="317" spans="2:29" x14ac:dyDescent="0.3">
      <c r="B317" s="4">
        <v>439</v>
      </c>
      <c r="C317" s="4" t="s">
        <v>233</v>
      </c>
      <c r="D317" s="9" t="str">
        <f>UPPER(Table13[[#This Row],[SIGNAL]])</f>
        <v>SYS_MAP_RAM_SET</v>
      </c>
      <c r="E317" s="9" t="str">
        <f>IF(Table13[[#This Row],[template]]="","","0x"&amp;Table13[[#This Row],[IP_Index]]&amp;DEC2HEX(Table13[[#This Row],[Addr_Dec]]*4,7))</f>
        <v>0x00000000</v>
      </c>
      <c r="F317" s="9" t="str">
        <f>IF(Table13[[#This Row],[template]]="","",VLOOKUP(Table13[[#This Row],[template]],Table2915[],2,FALSE))</f>
        <v>asynParamInt32</v>
      </c>
      <c r="G317" s="18" t="str">
        <f>IF(Table13[[#This Row],[template]]="","","1")</f>
        <v>1</v>
      </c>
      <c r="H317" s="10"/>
      <c r="I317" s="13" t="str">
        <f>IF(Table13[[#This Row],[template]]="","","0x"&amp;Table13[[#This Row],[D_Index]]&amp;"000")</f>
        <v>0x01000000</v>
      </c>
      <c r="J317" s="18"/>
      <c r="K317" s="10" t="s">
        <v>512</v>
      </c>
      <c r="L317" s="10"/>
      <c r="M317" s="11" t="str">
        <f>IF(Table13[[#This Row],[template]]="","",VLOOKUP(Table13[[#This Row],[template]],Table2915[],3,FALSE))</f>
        <v xml:space="preserve"> </v>
      </c>
      <c r="N317" s="10"/>
      <c r="P317" s="9" t="str">
        <f>IF(Table13[[#This Row],[template]]="","",Table13[[#This Row],[IP]]&amp;"_"&amp;Table13[[#This Row],[PARAM_NAME]]&amp;IF(Table13[[#This Row],[SUB]]="","","_"&amp;Table13[[#This Row],[SUB]]))</f>
        <v>sys_map_Ram_set</v>
      </c>
      <c r="Q317" s="1" t="s">
        <v>506</v>
      </c>
      <c r="R317" s="1" t="s">
        <v>481</v>
      </c>
      <c r="S317" s="6" t="s">
        <v>507</v>
      </c>
      <c r="T317" s="4">
        <v>0</v>
      </c>
      <c r="U317" s="6" t="s">
        <v>363</v>
      </c>
      <c r="V317" s="1" t="s">
        <v>254</v>
      </c>
      <c r="W317" s="16">
        <v>0</v>
      </c>
      <c r="X317" s="6" t="s">
        <v>363</v>
      </c>
      <c r="AA317" s="11">
        <f>IF(Table13[[#This Row],[template]]="","",VLOOKUP(Table13[[#This Row],[IP]],Table51117[],2,FALSE))</f>
        <v>0</v>
      </c>
      <c r="AB317" s="13" t="str">
        <f>IF(Table13[[#This Row],[template]]="","",DEC2HEX(VLOOKUP(Table13[[#This Row],[D1-Type]],Table351218[],2,FALSE),1)&amp;DEC2HEX(VLOOKUP(Table13[[#This Row],[D2-Type]],Table31016[],2,FALSE),1)&amp; DEC2HEX(Table13[[#This Row],[D2-Offset]],2)&amp;DEC2HEX(VLOOKUP(Table13[[#This Row],[D3-Type]],Table371319[],2,FALSE),1))</f>
        <v>01000</v>
      </c>
      <c r="AC317" s="14">
        <f>IF(Table13[[#This Row],[template]]="","",HEX2DEC(Table13[[#This Row],[Addr_Hex]]))</f>
        <v>0</v>
      </c>
    </row>
    <row r="318" spans="2:29" x14ac:dyDescent="0.3">
      <c r="B318" s="4"/>
      <c r="C318" s="4"/>
      <c r="D318" s="9"/>
      <c r="E318" s="9"/>
      <c r="F318" s="9"/>
      <c r="G318" s="18"/>
      <c r="H318" s="10"/>
      <c r="I318" s="13"/>
      <c r="J318" s="18"/>
      <c r="K318" s="10"/>
      <c r="L318" s="10"/>
      <c r="M318" s="11"/>
      <c r="N318" s="10"/>
      <c r="P318" s="9"/>
      <c r="S318" s="6"/>
      <c r="T318" s="4"/>
      <c r="U318" s="6"/>
      <c r="W318" s="16"/>
      <c r="X318" s="6"/>
      <c r="AB318" s="4"/>
      <c r="AC318" s="17"/>
    </row>
    <row r="319" spans="2:29" x14ac:dyDescent="0.3">
      <c r="B319" s="4"/>
      <c r="C319" s="4"/>
      <c r="D319" s="9"/>
      <c r="E319" s="9"/>
      <c r="F319" s="9"/>
      <c r="G319" s="18"/>
      <c r="H319" s="10"/>
      <c r="I319" s="13"/>
      <c r="J319" s="18"/>
      <c r="K319" s="10"/>
      <c r="L319" s="10"/>
      <c r="M319" s="11"/>
      <c r="N319" s="10"/>
      <c r="P319" s="9"/>
      <c r="S319" s="6"/>
      <c r="T319" s="4"/>
      <c r="U319" s="6"/>
      <c r="W319" s="16"/>
      <c r="X319" s="6"/>
      <c r="AA319" s="11"/>
      <c r="AB319" s="13"/>
      <c r="AC319" s="14"/>
    </row>
    <row r="320" spans="2:29" x14ac:dyDescent="0.3">
      <c r="B320" s="4"/>
      <c r="C320" s="4"/>
      <c r="D320" s="2"/>
      <c r="E320" s="2"/>
      <c r="F320" s="2"/>
      <c r="M320" s="11" t="str">
        <f>IF(Table13[[#This Row],[template]]="","",VLOOKUP(Table13[[#This Row],[template]],Table2915[],3,FALSE))</f>
        <v/>
      </c>
      <c r="P320" s="9" t="str">
        <f>IF(Table13[[#This Row],[template]]="","",Table13[[#This Row],[IP]]&amp;"_"&amp;Table13[[#This Row],[PARAM_NAME]]&amp;IF(Table13[[#This Row],[SUB]]="","","_"&amp;Table13[[#This Row],[SUB]]))</f>
        <v/>
      </c>
      <c r="S320" s="6"/>
      <c r="T320" s="4"/>
      <c r="U320" s="6"/>
      <c r="W320" s="16"/>
      <c r="X320" s="6"/>
      <c r="AB320" s="4"/>
      <c r="AC320" s="17"/>
    </row>
    <row r="321" spans="2:29" x14ac:dyDescent="0.3">
      <c r="B321" s="4"/>
      <c r="C321" s="4"/>
      <c r="D321" s="2"/>
      <c r="E321" s="2"/>
      <c r="F321" s="2"/>
      <c r="M321" s="11" t="str">
        <f>IF(Table13[[#This Row],[template]]="","",VLOOKUP(Table13[[#This Row],[template]],Table2915[],3,FALSE))</f>
        <v/>
      </c>
      <c r="P321" s="9" t="str">
        <f>IF(Table13[[#This Row],[template]]="","",Table13[[#This Row],[IP]]&amp;"_"&amp;Table13[[#This Row],[PARAM_NAME]]&amp;IF(Table13[[#This Row],[SUB]]="","","_"&amp;Table13[[#This Row],[SUB]]))</f>
        <v/>
      </c>
      <c r="S321" s="6"/>
      <c r="T321" s="4"/>
      <c r="U321" s="6"/>
      <c r="W321" s="16"/>
      <c r="X321" s="6"/>
      <c r="AB321" s="4"/>
      <c r="AC321" s="17"/>
    </row>
    <row r="322" spans="2:29" x14ac:dyDescent="0.3">
      <c r="B322" s="4"/>
      <c r="C322" s="4"/>
      <c r="D322" s="2"/>
      <c r="E322" s="2"/>
      <c r="F322" s="2"/>
      <c r="M322" s="11" t="str">
        <f>IF(Table13[[#This Row],[template]]="","",VLOOKUP(Table13[[#This Row],[template]],Table2915[],3,FALSE))</f>
        <v/>
      </c>
      <c r="P322" s="9" t="str">
        <f>IF(Table13[[#This Row],[template]]="","",Table13[[#This Row],[IP]]&amp;"_"&amp;Table13[[#This Row],[PARAM_NAME]]&amp;IF(Table13[[#This Row],[SUB]]="","","_"&amp;Table13[[#This Row],[SUB]]))</f>
        <v/>
      </c>
      <c r="S322" s="6"/>
      <c r="T322" s="4"/>
      <c r="U322" s="6"/>
      <c r="W322" s="16"/>
      <c r="X322" s="6"/>
      <c r="AB322" s="4"/>
      <c r="AC322" s="17"/>
    </row>
    <row r="323" spans="2:29" x14ac:dyDescent="0.3">
      <c r="B323" s="4"/>
      <c r="C323" s="4"/>
      <c r="D323" s="2"/>
      <c r="E323" s="2"/>
      <c r="F323" s="2"/>
      <c r="M323" s="11" t="str">
        <f>IF(Table13[[#This Row],[template]]="","",VLOOKUP(Table13[[#This Row],[template]],Table2915[],3,FALSE))</f>
        <v/>
      </c>
      <c r="P323" s="9" t="str">
        <f>IF(Table13[[#This Row],[template]]="","",Table13[[#This Row],[IP]]&amp;"_"&amp;Table13[[#This Row],[PARAM_NAME]]&amp;IF(Table13[[#This Row],[SUB]]="","","_"&amp;Table13[[#This Row],[SUB]]))</f>
        <v/>
      </c>
      <c r="S323" s="6"/>
      <c r="T323" s="4"/>
      <c r="U323" s="6"/>
      <c r="W323" s="16"/>
      <c r="X323" s="6"/>
      <c r="AB323" s="4"/>
      <c r="AC323" s="17"/>
    </row>
    <row r="324" spans="2:29" x14ac:dyDescent="0.3">
      <c r="B324" s="4"/>
      <c r="C324" s="4"/>
      <c r="D324" s="2"/>
      <c r="E324" s="2"/>
      <c r="F324" s="2"/>
      <c r="M324" s="11" t="str">
        <f>IF(Table13[[#This Row],[template]]="","",VLOOKUP(Table13[[#This Row],[template]],Table2915[],3,FALSE))</f>
        <v/>
      </c>
      <c r="P324" s="9" t="str">
        <f>IF(Table13[[#This Row],[template]]="","",Table13[[#This Row],[IP]]&amp;"_"&amp;Table13[[#This Row],[PARAM_NAME]]&amp;IF(Table13[[#This Row],[SUB]]="","","_"&amp;Table13[[#This Row],[SUB]]))</f>
        <v/>
      </c>
      <c r="S324" s="6"/>
      <c r="T324" s="4"/>
      <c r="U324" s="6"/>
      <c r="W324" s="16"/>
      <c r="X324" s="6"/>
      <c r="AB324" s="4"/>
      <c r="AC324" s="17"/>
    </row>
    <row r="326" spans="2:29" x14ac:dyDescent="0.3">
      <c r="C326" s="19" t="s">
        <v>361</v>
      </c>
    </row>
    <row r="334" spans="2:29" x14ac:dyDescent="0.3">
      <c r="B334" s="2" t="s">
        <v>257</v>
      </c>
      <c r="C334" s="2" t="s">
        <v>266</v>
      </c>
      <c r="E334" s="6"/>
    </row>
    <row r="335" spans="2:29" x14ac:dyDescent="0.3">
      <c r="B335" s="2" t="s">
        <v>263</v>
      </c>
      <c r="C335" s="2">
        <v>0</v>
      </c>
      <c r="E335" s="6"/>
    </row>
    <row r="336" spans="2:29" x14ac:dyDescent="0.3">
      <c r="B336" s="2" t="s">
        <v>262</v>
      </c>
      <c r="C336" s="2">
        <v>1</v>
      </c>
      <c r="E336" s="6"/>
    </row>
    <row r="337" spans="2:6" x14ac:dyDescent="0.3">
      <c r="B337" s="2" t="s">
        <v>261</v>
      </c>
      <c r="C337" s="2">
        <v>2</v>
      </c>
      <c r="E337" s="6"/>
    </row>
    <row r="338" spans="2:6" x14ac:dyDescent="0.3">
      <c r="B338" s="4"/>
      <c r="E338" s="6"/>
    </row>
    <row r="339" spans="2:6" x14ac:dyDescent="0.3">
      <c r="B339" s="1" t="s">
        <v>241</v>
      </c>
      <c r="C339" s="6" t="s">
        <v>242</v>
      </c>
      <c r="D339" s="23" t="s">
        <v>488</v>
      </c>
    </row>
    <row r="340" spans="2:6" x14ac:dyDescent="0.3">
      <c r="B340" s="4" t="s">
        <v>230</v>
      </c>
      <c r="C340" s="22" t="s">
        <v>252</v>
      </c>
      <c r="D340" s="25" t="s">
        <v>492</v>
      </c>
      <c r="F340" s="1" t="s">
        <v>253</v>
      </c>
    </row>
    <row r="341" spans="2:6" x14ac:dyDescent="0.3">
      <c r="B341" s="4" t="s">
        <v>231</v>
      </c>
      <c r="C341" s="22" t="s">
        <v>5</v>
      </c>
      <c r="D341" s="25" t="s">
        <v>492</v>
      </c>
      <c r="F341" s="1" t="s">
        <v>252</v>
      </c>
    </row>
    <row r="342" spans="2:6" x14ac:dyDescent="0.3">
      <c r="B342" s="4" t="s">
        <v>240</v>
      </c>
      <c r="C342" s="22" t="s">
        <v>7</v>
      </c>
      <c r="D342" s="25" t="s">
        <v>492</v>
      </c>
      <c r="F342" s="1" t="s">
        <v>222</v>
      </c>
    </row>
    <row r="343" spans="2:6" x14ac:dyDescent="0.3">
      <c r="B343" s="4" t="s">
        <v>233</v>
      </c>
      <c r="C343" s="22" t="s">
        <v>7</v>
      </c>
      <c r="D343" s="25" t="s">
        <v>492</v>
      </c>
      <c r="F343" s="1" t="s">
        <v>30</v>
      </c>
    </row>
    <row r="344" spans="2:6" x14ac:dyDescent="0.3">
      <c r="B344" s="4" t="s">
        <v>235</v>
      </c>
      <c r="C344" s="22" t="s">
        <v>5</v>
      </c>
      <c r="D344" s="25" t="s">
        <v>492</v>
      </c>
      <c r="F344" s="1" t="s">
        <v>5</v>
      </c>
    </row>
    <row r="345" spans="2:6" x14ac:dyDescent="0.3">
      <c r="B345" s="4" t="s">
        <v>232</v>
      </c>
      <c r="C345" s="22" t="s">
        <v>30</v>
      </c>
      <c r="D345" s="25" t="s">
        <v>492</v>
      </c>
      <c r="F345" s="1" t="s">
        <v>223</v>
      </c>
    </row>
    <row r="346" spans="2:6" x14ac:dyDescent="0.3">
      <c r="B346" s="4" t="s">
        <v>236</v>
      </c>
      <c r="C346" s="22" t="s">
        <v>30</v>
      </c>
      <c r="D346" s="25" t="s">
        <v>492</v>
      </c>
      <c r="F346" s="1" t="s">
        <v>224</v>
      </c>
    </row>
    <row r="347" spans="2:6" x14ac:dyDescent="0.3">
      <c r="B347" s="4" t="s">
        <v>237</v>
      </c>
      <c r="C347" s="22" t="s">
        <v>5</v>
      </c>
      <c r="D347" s="25" t="s">
        <v>492</v>
      </c>
      <c r="F347" s="1" t="s">
        <v>225</v>
      </c>
    </row>
    <row r="348" spans="2:6" x14ac:dyDescent="0.3">
      <c r="B348" s="4" t="s">
        <v>234</v>
      </c>
      <c r="C348" s="22" t="s">
        <v>5</v>
      </c>
      <c r="D348" s="25" t="s">
        <v>492</v>
      </c>
      <c r="F348" s="1" t="s">
        <v>226</v>
      </c>
    </row>
    <row r="349" spans="2:6" x14ac:dyDescent="0.3">
      <c r="B349" s="6" t="s">
        <v>486</v>
      </c>
      <c r="C349" s="15" t="s">
        <v>7</v>
      </c>
      <c r="D349" s="24" t="s">
        <v>487</v>
      </c>
    </row>
    <row r="350" spans="2:6" x14ac:dyDescent="0.3">
      <c r="B350" s="4"/>
      <c r="E350" s="6"/>
      <c r="F350" s="1" t="s">
        <v>227</v>
      </c>
    </row>
    <row r="351" spans="2:6" x14ac:dyDescent="0.3">
      <c r="B351" s="2" t="s">
        <v>318</v>
      </c>
      <c r="C351" s="2" t="s">
        <v>320</v>
      </c>
      <c r="E351" s="6"/>
    </row>
    <row r="352" spans="2:6" x14ac:dyDescent="0.3">
      <c r="B352" s="6" t="s">
        <v>316</v>
      </c>
      <c r="C352" s="1">
        <v>0</v>
      </c>
      <c r="E352" s="6"/>
    </row>
    <row r="353" spans="2:5" x14ac:dyDescent="0.3">
      <c r="B353" s="6" t="s">
        <v>317</v>
      </c>
      <c r="C353" s="1">
        <v>1</v>
      </c>
      <c r="E353" s="6"/>
    </row>
    <row r="354" spans="2:5" x14ac:dyDescent="0.3">
      <c r="B354" s="6"/>
      <c r="C354" s="1">
        <v>2</v>
      </c>
      <c r="E354" s="6"/>
    </row>
    <row r="355" spans="2:5" x14ac:dyDescent="0.3">
      <c r="B355" s="6"/>
      <c r="C355" s="1">
        <v>3</v>
      </c>
      <c r="E355" s="6"/>
    </row>
    <row r="356" spans="2:5" x14ac:dyDescent="0.3">
      <c r="B356" s="6"/>
      <c r="C356" s="1">
        <v>4</v>
      </c>
      <c r="E356" s="6"/>
    </row>
    <row r="357" spans="2:5" x14ac:dyDescent="0.3">
      <c r="B357" s="6"/>
      <c r="C357" s="1">
        <v>5</v>
      </c>
      <c r="E357" s="6"/>
    </row>
    <row r="358" spans="2:5" x14ac:dyDescent="0.3">
      <c r="B358" s="6"/>
      <c r="C358" s="1">
        <v>6</v>
      </c>
      <c r="E358" s="6"/>
    </row>
    <row r="359" spans="2:5" x14ac:dyDescent="0.3">
      <c r="B359" s="6"/>
      <c r="C359" s="1">
        <v>7</v>
      </c>
      <c r="E359" s="6"/>
    </row>
    <row r="360" spans="2:5" x14ac:dyDescent="0.3">
      <c r="B360" s="6"/>
      <c r="C360" s="1">
        <v>8</v>
      </c>
      <c r="E360" s="6"/>
    </row>
    <row r="361" spans="2:5" x14ac:dyDescent="0.3">
      <c r="B361" s="6"/>
      <c r="C361" s="1">
        <v>9</v>
      </c>
      <c r="E361" s="6"/>
    </row>
    <row r="362" spans="2:5" x14ac:dyDescent="0.3">
      <c r="B362" s="6"/>
      <c r="C362" s="1">
        <v>10</v>
      </c>
      <c r="E362" s="6"/>
    </row>
    <row r="363" spans="2:5" x14ac:dyDescent="0.3">
      <c r="B363" s="6"/>
      <c r="C363" s="1">
        <v>11</v>
      </c>
      <c r="E363" s="6"/>
    </row>
    <row r="364" spans="2:5" x14ac:dyDescent="0.3">
      <c r="B364" s="15"/>
      <c r="C364" s="1">
        <v>12</v>
      </c>
      <c r="E364" s="6"/>
    </row>
    <row r="365" spans="2:5" x14ac:dyDescent="0.3">
      <c r="B365" s="15"/>
      <c r="C365" s="1">
        <v>13</v>
      </c>
      <c r="E365" s="6"/>
    </row>
    <row r="366" spans="2:5" x14ac:dyDescent="0.3">
      <c r="B366" s="15"/>
      <c r="C366" s="1">
        <v>14</v>
      </c>
      <c r="E366" s="6"/>
    </row>
    <row r="367" spans="2:5" x14ac:dyDescent="0.3">
      <c r="B367" s="15"/>
      <c r="C367" s="1">
        <v>15</v>
      </c>
      <c r="E367" s="6"/>
    </row>
    <row r="368" spans="2:5" x14ac:dyDescent="0.3">
      <c r="B368" s="4"/>
      <c r="E368" s="6"/>
    </row>
    <row r="369" spans="2:5" x14ac:dyDescent="0.3">
      <c r="B369" s="2" t="s">
        <v>319</v>
      </c>
      <c r="C369" s="2" t="s">
        <v>320</v>
      </c>
      <c r="E369" s="6"/>
    </row>
    <row r="370" spans="2:5" x14ac:dyDescent="0.3">
      <c r="B370" s="6" t="s">
        <v>310</v>
      </c>
      <c r="C370" s="1">
        <v>0</v>
      </c>
      <c r="E370" s="6"/>
    </row>
    <row r="371" spans="2:5" x14ac:dyDescent="0.3">
      <c r="B371" s="6" t="s">
        <v>254</v>
      </c>
      <c r="C371" s="1">
        <v>1</v>
      </c>
      <c r="E371" s="6"/>
    </row>
    <row r="372" spans="2:5" x14ac:dyDescent="0.3">
      <c r="B372" s="6" t="s">
        <v>311</v>
      </c>
      <c r="C372" s="1">
        <v>2</v>
      </c>
      <c r="E372" s="6"/>
    </row>
    <row r="373" spans="2:5" x14ac:dyDescent="0.3">
      <c r="B373" s="6" t="s">
        <v>312</v>
      </c>
      <c r="C373" s="1">
        <v>3</v>
      </c>
      <c r="E373" s="6"/>
    </row>
    <row r="374" spans="2:5" x14ac:dyDescent="0.3">
      <c r="B374" s="6" t="s">
        <v>313</v>
      </c>
      <c r="C374" s="1">
        <v>4</v>
      </c>
      <c r="E374" s="6"/>
    </row>
    <row r="375" spans="2:5" x14ac:dyDescent="0.3">
      <c r="B375" s="6" t="s">
        <v>314</v>
      </c>
      <c r="C375" s="1">
        <v>5</v>
      </c>
      <c r="E375" s="6"/>
    </row>
    <row r="376" spans="2:5" x14ac:dyDescent="0.3">
      <c r="B376" s="6" t="s">
        <v>315</v>
      </c>
      <c r="C376" s="1">
        <v>6</v>
      </c>
      <c r="E376" s="6"/>
    </row>
    <row r="377" spans="2:5" x14ac:dyDescent="0.3">
      <c r="B377" s="6"/>
      <c r="C377" s="1">
        <v>7</v>
      </c>
      <c r="E377" s="6"/>
    </row>
    <row r="378" spans="2:5" x14ac:dyDescent="0.3">
      <c r="B378" s="6"/>
      <c r="C378" s="1">
        <v>8</v>
      </c>
      <c r="E378" s="6"/>
    </row>
    <row r="379" spans="2:5" x14ac:dyDescent="0.3">
      <c r="B379" s="6"/>
      <c r="C379" s="1">
        <v>9</v>
      </c>
      <c r="E379" s="6"/>
    </row>
    <row r="380" spans="2:5" x14ac:dyDescent="0.3">
      <c r="B380" s="6"/>
      <c r="C380" s="1">
        <v>10</v>
      </c>
      <c r="E380" s="6"/>
    </row>
    <row r="381" spans="2:5" x14ac:dyDescent="0.3">
      <c r="B381" s="6"/>
      <c r="C381" s="1">
        <v>11</v>
      </c>
      <c r="E381" s="6"/>
    </row>
    <row r="382" spans="2:5" x14ac:dyDescent="0.3">
      <c r="B382" s="15"/>
      <c r="C382" s="1">
        <v>12</v>
      </c>
      <c r="E382" s="6"/>
    </row>
    <row r="383" spans="2:5" x14ac:dyDescent="0.3">
      <c r="B383" s="15"/>
      <c r="C383" s="1">
        <v>13</v>
      </c>
      <c r="E383" s="6"/>
    </row>
    <row r="384" spans="2:5" x14ac:dyDescent="0.3">
      <c r="B384" s="15"/>
      <c r="C384" s="1">
        <v>14</v>
      </c>
      <c r="E384" s="6"/>
    </row>
    <row r="385" spans="2:5" x14ac:dyDescent="0.3">
      <c r="B385" s="15"/>
      <c r="C385" s="1">
        <v>15</v>
      </c>
      <c r="E385" s="6"/>
    </row>
    <row r="386" spans="2:5" x14ac:dyDescent="0.3">
      <c r="B386" s="2" t="s">
        <v>255</v>
      </c>
      <c r="C386" s="15" t="s">
        <v>256</v>
      </c>
      <c r="E386" s="6"/>
    </row>
    <row r="387" spans="2:5" x14ac:dyDescent="0.3">
      <c r="B387" s="4"/>
      <c r="E387" s="6"/>
    </row>
    <row r="388" spans="2:5" x14ac:dyDescent="0.3">
      <c r="B388" s="2" t="s">
        <v>324</v>
      </c>
      <c r="C388" s="2" t="s">
        <v>320</v>
      </c>
      <c r="D388" s="27" t="s">
        <v>517</v>
      </c>
      <c r="E388" s="6"/>
    </row>
    <row r="389" spans="2:5" x14ac:dyDescent="0.3">
      <c r="B389" s="6" t="s">
        <v>316</v>
      </c>
      <c r="C389" s="1">
        <v>0</v>
      </c>
      <c r="D389" s="27"/>
      <c r="E389" s="6"/>
    </row>
    <row r="390" spans="2:5" x14ac:dyDescent="0.3">
      <c r="B390" s="6" t="s">
        <v>325</v>
      </c>
      <c r="C390" s="1">
        <v>1</v>
      </c>
      <c r="D390" s="27"/>
      <c r="E390" s="6"/>
    </row>
    <row r="391" spans="2:5" x14ac:dyDescent="0.3">
      <c r="B391" s="6" t="s">
        <v>353</v>
      </c>
      <c r="C391" s="1">
        <v>2</v>
      </c>
      <c r="D391" s="27"/>
      <c r="E391" s="6"/>
    </row>
    <row r="392" spans="2:5" x14ac:dyDescent="0.3">
      <c r="B392" s="6" t="s">
        <v>355</v>
      </c>
      <c r="C392" s="1">
        <v>3</v>
      </c>
      <c r="D392" s="27"/>
      <c r="E392" s="6"/>
    </row>
    <row r="393" spans="2:5" x14ac:dyDescent="0.3">
      <c r="B393" s="6" t="s">
        <v>357</v>
      </c>
      <c r="C393" s="1">
        <v>4</v>
      </c>
      <c r="D393" s="27" t="s">
        <v>516</v>
      </c>
      <c r="E393" s="6"/>
    </row>
    <row r="394" spans="2:5" x14ac:dyDescent="0.3">
      <c r="B394" s="6" t="s">
        <v>359</v>
      </c>
      <c r="C394" s="1">
        <v>5</v>
      </c>
      <c r="D394" s="27"/>
      <c r="E394" s="6"/>
    </row>
    <row r="395" spans="2:5" x14ac:dyDescent="0.3">
      <c r="B395" s="6"/>
      <c r="C395" s="1">
        <v>6</v>
      </c>
      <c r="D395" s="27"/>
      <c r="E395" s="6"/>
    </row>
    <row r="396" spans="2:5" x14ac:dyDescent="0.3">
      <c r="B396" s="6"/>
      <c r="C396" s="1">
        <v>7</v>
      </c>
      <c r="D396" s="27"/>
      <c r="E396" s="6"/>
    </row>
    <row r="397" spans="2:5" x14ac:dyDescent="0.3">
      <c r="B397" s="6"/>
      <c r="C397" s="1">
        <v>8</v>
      </c>
      <c r="D397" s="27"/>
      <c r="E397" s="6"/>
    </row>
    <row r="398" spans="2:5" x14ac:dyDescent="0.3">
      <c r="B398" s="6"/>
      <c r="C398" s="1">
        <v>9</v>
      </c>
      <c r="D398" s="27"/>
      <c r="E398" s="6"/>
    </row>
    <row r="399" spans="2:5" x14ac:dyDescent="0.3">
      <c r="B399" s="6"/>
      <c r="C399" s="1">
        <v>10</v>
      </c>
      <c r="D399" s="27"/>
      <c r="E399" s="6"/>
    </row>
    <row r="400" spans="2:5" x14ac:dyDescent="0.3">
      <c r="B400" s="6"/>
      <c r="C400" s="1">
        <v>11</v>
      </c>
      <c r="D400" s="27"/>
      <c r="E400" s="6"/>
    </row>
    <row r="401" spans="2:5" x14ac:dyDescent="0.3">
      <c r="B401" s="15"/>
      <c r="C401" s="1">
        <v>12</v>
      </c>
      <c r="D401" s="27"/>
      <c r="E401" s="6"/>
    </row>
    <row r="402" spans="2:5" x14ac:dyDescent="0.3">
      <c r="B402" s="15"/>
      <c r="C402" s="1">
        <v>13</v>
      </c>
      <c r="D402" s="27"/>
      <c r="E402" s="6"/>
    </row>
    <row r="403" spans="2:5" x14ac:dyDescent="0.3">
      <c r="B403" s="15"/>
      <c r="C403" s="1">
        <v>14</v>
      </c>
      <c r="D403" s="27"/>
      <c r="E403" s="6"/>
    </row>
    <row r="404" spans="2:5" x14ac:dyDescent="0.3">
      <c r="B404" s="15"/>
      <c r="C404" s="1">
        <v>15</v>
      </c>
      <c r="D404" s="27"/>
      <c r="E404" s="6"/>
    </row>
  </sheetData>
  <phoneticPr fontId="1" type="noConversion"/>
  <dataValidations count="5">
    <dataValidation type="list" allowBlank="1" showInputMessage="1" showErrorMessage="1" sqref="X3:X324">
      <formula1>$B$389:$B$404</formula1>
    </dataValidation>
    <dataValidation type="list" allowBlank="1" showInputMessage="1" showErrorMessage="1" sqref="C3:C324">
      <formula1>$B$340:$B$349</formula1>
    </dataValidation>
    <dataValidation type="list" allowBlank="1" showInputMessage="1" showErrorMessage="1" sqref="V3:V324">
      <formula1>$B$370:$B$385</formula1>
    </dataValidation>
    <dataValidation type="list" allowBlank="1" showInputMessage="1" showErrorMessage="1" sqref="U3:U324">
      <formula1>$B$352:$B$367</formula1>
    </dataValidation>
    <dataValidation type="list" allowBlank="1" showInputMessage="1" showErrorMessage="1" sqref="Q3:Q324">
      <formula1>$B$335:$B$337</formula1>
    </dataValidation>
  </dataValidations>
  <pageMargins left="0.7" right="0.7" top="0.75" bottom="0.75" header="0.3" footer="0.3"/>
  <pageSetup paperSize="9" orientation="portrait" verticalDpi="0" r:id="rId1"/>
  <drawing r:id="rId2"/>
  <tableParts count="6">
    <tablePart r:id="rId3"/>
    <tablePart r:id="rId4"/>
    <tablePart r:id="rId5"/>
    <tablePart r:id="rId6"/>
    <tablePart r:id="rId7"/>
    <tablePart r:id="rId8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250"/>
  <sheetViews>
    <sheetView workbookViewId="0">
      <selection activeCell="J69" sqref="J69"/>
    </sheetView>
  </sheetViews>
  <sheetFormatPr defaultRowHeight="16.5" x14ac:dyDescent="0.3"/>
  <cols>
    <col min="1" max="2" width="10.5" customWidth="1"/>
    <col min="3" max="3" width="29.25" bestFit="1" customWidth="1"/>
    <col min="4" max="4" width="12.5" bestFit="1" customWidth="1"/>
    <col min="5" max="5" width="11.125" bestFit="1" customWidth="1"/>
    <col min="6" max="6" width="34.25" customWidth="1"/>
    <col min="7" max="7" width="23.875" customWidth="1"/>
    <col min="8" max="8" width="10.5" customWidth="1"/>
    <col min="9" max="9" width="57.375" customWidth="1"/>
    <col min="10" max="10" width="91.625" customWidth="1"/>
  </cols>
  <sheetData>
    <row r="1" spans="1:10" x14ac:dyDescent="0.3">
      <c r="A1" t="s">
        <v>765</v>
      </c>
      <c r="B1" t="s">
        <v>766</v>
      </c>
      <c r="C1" t="s">
        <v>767</v>
      </c>
      <c r="D1" t="s">
        <v>768</v>
      </c>
      <c r="E1" t="s">
        <v>769</v>
      </c>
      <c r="F1" t="s">
        <v>770</v>
      </c>
      <c r="G1" t="s">
        <v>771</v>
      </c>
      <c r="H1" t="s">
        <v>772</v>
      </c>
      <c r="I1" t="s">
        <v>773</v>
      </c>
      <c r="J1" t="s">
        <v>774</v>
      </c>
    </row>
    <row r="2" spans="1:10" x14ac:dyDescent="0.3">
      <c r="A2">
        <v>1</v>
      </c>
      <c r="B2" t="s">
        <v>237</v>
      </c>
      <c r="C2" t="s">
        <v>268</v>
      </c>
      <c r="D2" s="4">
        <v>0</v>
      </c>
      <c r="E2" t="s">
        <v>453</v>
      </c>
      <c r="F2" t="s">
        <v>763</v>
      </c>
      <c r="G2" t="s">
        <v>762</v>
      </c>
      <c r="I2" t="str">
        <f>G2&amp;C2</f>
        <v>$(SYS):$(SUBSYS):$(DEV):IOCSTARTTIME</v>
      </c>
    </row>
    <row r="3" spans="1:10" x14ac:dyDescent="0.3">
      <c r="A3">
        <v>2</v>
      </c>
      <c r="B3" t="s">
        <v>237</v>
      </c>
      <c r="C3" t="s">
        <v>269</v>
      </c>
      <c r="D3" s="4">
        <v>0</v>
      </c>
      <c r="E3" t="s">
        <v>453</v>
      </c>
      <c r="F3" t="s">
        <v>764</v>
      </c>
      <c r="G3" t="s">
        <v>762</v>
      </c>
      <c r="I3" t="str">
        <f>G3&amp;C3</f>
        <v>$(SYS):$(SUBSYS):$(DEV):FIRMWARE</v>
      </c>
    </row>
    <row r="4" spans="1:10" x14ac:dyDescent="0.3">
      <c r="A4">
        <v>3</v>
      </c>
      <c r="B4" t="s">
        <v>237</v>
      </c>
      <c r="C4" t="s">
        <v>270</v>
      </c>
      <c r="D4" s="4">
        <v>0</v>
      </c>
      <c r="E4" t="s">
        <v>453</v>
      </c>
      <c r="G4" t="s">
        <v>762</v>
      </c>
      <c r="I4" t="str">
        <f>G4&amp;C4</f>
        <v>$(SYS):$(SUBSYS):$(DEV):SOFTWARE</v>
      </c>
    </row>
    <row r="5" spans="1:10" x14ac:dyDescent="0.3">
      <c r="A5">
        <v>4</v>
      </c>
      <c r="B5" t="s">
        <v>237</v>
      </c>
      <c r="C5" t="s">
        <v>518</v>
      </c>
      <c r="D5" s="4">
        <v>0</v>
      </c>
      <c r="E5" t="s">
        <v>453</v>
      </c>
      <c r="G5" t="s">
        <v>762</v>
      </c>
      <c r="I5" s="31" t="str">
        <f>G5&amp;C5</f>
        <v>$(SYS):$(SUBSYS):$(DEV):SYS_EVNAME</v>
      </c>
    </row>
    <row r="6" spans="1:10" x14ac:dyDescent="0.3">
      <c r="A6">
        <v>5</v>
      </c>
      <c r="B6" t="s">
        <v>456</v>
      </c>
      <c r="C6" t="s">
        <v>519</v>
      </c>
      <c r="D6" s="4">
        <v>0</v>
      </c>
      <c r="E6" t="s">
        <v>453</v>
      </c>
      <c r="G6" t="s">
        <v>762</v>
      </c>
      <c r="I6" s="31" t="str">
        <f>G6&amp;C6</f>
        <v>$(SYS):$(SUBSYS):$(DEV):SYS_OPMODE</v>
      </c>
    </row>
    <row r="7" spans="1:10" x14ac:dyDescent="0.3">
      <c r="A7">
        <v>6</v>
      </c>
      <c r="B7" t="s">
        <v>456</v>
      </c>
      <c r="C7" t="s">
        <v>520</v>
      </c>
      <c r="D7" s="4">
        <v>10</v>
      </c>
      <c r="E7" t="s">
        <v>454</v>
      </c>
      <c r="G7" t="s">
        <v>762</v>
      </c>
      <c r="I7" s="33" t="str">
        <f>G7&amp;C7</f>
        <v>$(SYS):$(SUBSYS):$(DEV):GT_TRACKOK</v>
      </c>
      <c r="J7" t="s">
        <v>776</v>
      </c>
    </row>
    <row r="8" spans="1:10" x14ac:dyDescent="0.3">
      <c r="A8">
        <v>7</v>
      </c>
      <c r="B8" t="s">
        <v>237</v>
      </c>
      <c r="C8" t="s">
        <v>521</v>
      </c>
      <c r="D8" s="20">
        <v>2</v>
      </c>
      <c r="E8" t="s">
        <v>453</v>
      </c>
      <c r="G8" t="s">
        <v>762</v>
      </c>
      <c r="I8" t="str">
        <f>G8&amp;C8</f>
        <v>$(SYS):$(SUBSYS):$(DEV):EV_BUILDTIME</v>
      </c>
    </row>
    <row r="9" spans="1:10" x14ac:dyDescent="0.3">
      <c r="A9">
        <v>8</v>
      </c>
      <c r="B9" t="s">
        <v>456</v>
      </c>
      <c r="C9" t="s">
        <v>522</v>
      </c>
      <c r="D9" s="20">
        <v>12</v>
      </c>
      <c r="E9" t="s">
        <v>453</v>
      </c>
      <c r="G9" t="s">
        <v>762</v>
      </c>
      <c r="I9" s="30" t="str">
        <f>G9&amp;C9</f>
        <v>$(SYS):$(SUBSYS):$(DEV):EV_ISMASTER</v>
      </c>
      <c r="J9" t="s">
        <v>775</v>
      </c>
    </row>
    <row r="10" spans="1:10" x14ac:dyDescent="0.3">
      <c r="A10">
        <v>9</v>
      </c>
      <c r="B10" t="s">
        <v>456</v>
      </c>
      <c r="C10" t="s">
        <v>523</v>
      </c>
      <c r="D10" s="20">
        <v>10</v>
      </c>
      <c r="E10" t="s">
        <v>454</v>
      </c>
      <c r="G10" t="s">
        <v>762</v>
      </c>
      <c r="I10" t="str">
        <f>G10&amp;C10</f>
        <v>$(SYS):$(SUBSYS):$(DEV):EV_FAN_A</v>
      </c>
    </row>
    <row r="11" spans="1:10" x14ac:dyDescent="0.3">
      <c r="A11">
        <v>10</v>
      </c>
      <c r="B11" t="s">
        <v>456</v>
      </c>
      <c r="C11" t="s">
        <v>524</v>
      </c>
      <c r="D11" s="20">
        <v>11</v>
      </c>
      <c r="E11" t="s">
        <v>454</v>
      </c>
      <c r="G11" t="s">
        <v>762</v>
      </c>
      <c r="I11" t="str">
        <f>G11&amp;C11</f>
        <v>$(SYS):$(SUBSYS):$(DEV):EV_FAN_B</v>
      </c>
    </row>
    <row r="12" spans="1:10" x14ac:dyDescent="0.3">
      <c r="A12">
        <v>11</v>
      </c>
      <c r="B12" t="s">
        <v>456</v>
      </c>
      <c r="C12" t="s">
        <v>525</v>
      </c>
      <c r="D12" s="20">
        <v>18</v>
      </c>
      <c r="E12" t="s">
        <v>454</v>
      </c>
      <c r="G12" t="s">
        <v>762</v>
      </c>
      <c r="I12" s="33" t="str">
        <f>G12&amp;C12</f>
        <v>$(SYS):$(SUBSYS):$(DEV):EV_EVG_STATUS</v>
      </c>
      <c r="J12" t="s">
        <v>776</v>
      </c>
    </row>
    <row r="13" spans="1:10" x14ac:dyDescent="0.3">
      <c r="A13">
        <v>12</v>
      </c>
      <c r="B13" t="s">
        <v>456</v>
      </c>
      <c r="C13" t="s">
        <v>526</v>
      </c>
      <c r="D13" s="20" t="s">
        <v>373</v>
      </c>
      <c r="E13" t="s">
        <v>454</v>
      </c>
      <c r="G13" t="s">
        <v>762</v>
      </c>
      <c r="I13" s="33" t="str">
        <f>G13&amp;C13</f>
        <v>$(SYS):$(SUBSYS):$(DEV):EV_TX_EVCODE_CNTR</v>
      </c>
      <c r="J13" t="s">
        <v>776</v>
      </c>
    </row>
    <row r="14" spans="1:10" x14ac:dyDescent="0.3">
      <c r="A14">
        <v>13</v>
      </c>
      <c r="B14" t="s">
        <v>456</v>
      </c>
      <c r="C14" t="s">
        <v>527</v>
      </c>
      <c r="D14" s="20">
        <v>20</v>
      </c>
      <c r="E14" t="s">
        <v>454</v>
      </c>
      <c r="G14" t="s">
        <v>762</v>
      </c>
      <c r="I14" s="33" t="str">
        <f>G14&amp;C14</f>
        <v>$(SYS):$(SUBSYS):$(DEV):EV_RX_EVCODE_CNTR</v>
      </c>
      <c r="J14" t="s">
        <v>776</v>
      </c>
    </row>
    <row r="15" spans="1:10" x14ac:dyDescent="0.3">
      <c r="A15">
        <v>14</v>
      </c>
      <c r="B15" t="s">
        <v>456</v>
      </c>
      <c r="C15" t="s">
        <v>528</v>
      </c>
      <c r="D15" s="20">
        <v>22</v>
      </c>
      <c r="E15" t="s">
        <v>454</v>
      </c>
      <c r="G15" t="s">
        <v>762</v>
      </c>
      <c r="I15" t="str">
        <f>G15&amp;C15</f>
        <v>$(SYS):$(SUBSYS):$(DEV):EV_EMERGENCYSTOPCNTR</v>
      </c>
    </row>
    <row r="16" spans="1:10" x14ac:dyDescent="0.3">
      <c r="A16">
        <v>15</v>
      </c>
      <c r="B16" t="s">
        <v>456</v>
      </c>
      <c r="C16" t="s">
        <v>529</v>
      </c>
      <c r="D16" s="20">
        <v>23</v>
      </c>
      <c r="E16" t="s">
        <v>454</v>
      </c>
      <c r="G16" t="s">
        <v>762</v>
      </c>
      <c r="I16" s="35" t="str">
        <f>G16&amp;C16</f>
        <v>$(SYS):$(SUBSYS):$(DEV):EV_PDPRUNSTT</v>
      </c>
      <c r="J16" t="s">
        <v>777</v>
      </c>
    </row>
    <row r="17" spans="1:10" x14ac:dyDescent="0.3">
      <c r="A17">
        <v>16</v>
      </c>
      <c r="B17" t="s">
        <v>237</v>
      </c>
      <c r="C17" t="s">
        <v>530</v>
      </c>
      <c r="D17" s="20" t="s">
        <v>380</v>
      </c>
      <c r="E17" t="s">
        <v>455</v>
      </c>
      <c r="G17" t="s">
        <v>762</v>
      </c>
      <c r="I17" t="str">
        <f>G17&amp;C17</f>
        <v>$(SYS):$(SUBSYS):$(DEV):EV_EVG_CURRTIME</v>
      </c>
    </row>
    <row r="18" spans="1:10" x14ac:dyDescent="0.3">
      <c r="A18">
        <v>17</v>
      </c>
      <c r="B18" t="s">
        <v>237</v>
      </c>
      <c r="C18" t="s">
        <v>531</v>
      </c>
      <c r="D18" s="20">
        <v>24</v>
      </c>
      <c r="E18" t="s">
        <v>455</v>
      </c>
      <c r="G18" t="s">
        <v>762</v>
      </c>
      <c r="I18" t="str">
        <f>G18&amp;C18</f>
        <v>$(SYS):$(SUBSYS):$(DEV):EV_EVR_CURRTIME</v>
      </c>
    </row>
    <row r="19" spans="1:10" x14ac:dyDescent="0.3">
      <c r="A19">
        <v>18</v>
      </c>
      <c r="B19" t="s">
        <v>233</v>
      </c>
      <c r="C19" t="s">
        <v>532</v>
      </c>
      <c r="D19" s="20">
        <v>30</v>
      </c>
      <c r="G19" t="s">
        <v>762</v>
      </c>
      <c r="I19" s="30" t="str">
        <f>G19&amp;C19</f>
        <v>$(SYS):$(SUBSYS):$(DEV):EV_EVGW_RST</v>
      </c>
      <c r="J19" t="s">
        <v>775</v>
      </c>
    </row>
    <row r="20" spans="1:10" x14ac:dyDescent="0.3">
      <c r="A20">
        <v>19</v>
      </c>
      <c r="B20" t="s">
        <v>233</v>
      </c>
      <c r="C20" t="s">
        <v>533</v>
      </c>
      <c r="D20" s="20">
        <v>30</v>
      </c>
      <c r="G20" t="s">
        <v>762</v>
      </c>
      <c r="I20" s="30" t="str">
        <f>G20&amp;C20</f>
        <v>$(SYS):$(SUBSYS):$(DEV):EV_IGEN_RST</v>
      </c>
      <c r="J20" t="s">
        <v>775</v>
      </c>
    </row>
    <row r="21" spans="1:10" x14ac:dyDescent="0.3">
      <c r="A21">
        <v>20</v>
      </c>
      <c r="B21" t="s">
        <v>233</v>
      </c>
      <c r="C21" t="s">
        <v>534</v>
      </c>
      <c r="D21" s="20">
        <v>30</v>
      </c>
      <c r="G21" t="s">
        <v>762</v>
      </c>
      <c r="I21" s="30" t="str">
        <f>G21&amp;C21</f>
        <v>$(SYS):$(SUBSYS):$(DEV):EV_IDEC_RST</v>
      </c>
      <c r="J21" t="s">
        <v>775</v>
      </c>
    </row>
    <row r="22" spans="1:10" x14ac:dyDescent="0.3">
      <c r="A22">
        <v>21</v>
      </c>
      <c r="B22" t="s">
        <v>233</v>
      </c>
      <c r="C22" t="s">
        <v>535</v>
      </c>
      <c r="D22" s="20">
        <v>30</v>
      </c>
      <c r="G22" t="s">
        <v>762</v>
      </c>
      <c r="I22" t="str">
        <f>G22&amp;C22</f>
        <v>$(SYS):$(SUBSYS):$(DEV):EV_USRTRG</v>
      </c>
    </row>
    <row r="23" spans="1:10" x14ac:dyDescent="0.3">
      <c r="A23">
        <v>22</v>
      </c>
      <c r="B23" t="s">
        <v>233</v>
      </c>
      <c r="C23" t="s">
        <v>352</v>
      </c>
      <c r="D23" s="20">
        <v>30</v>
      </c>
      <c r="G23" t="s">
        <v>762</v>
      </c>
      <c r="I23" s="30" t="str">
        <f>G23&amp;C23</f>
        <v>$(SYS):$(SUBSYS):$(DEV):EV_GETTIME</v>
      </c>
      <c r="J23" t="s">
        <v>775</v>
      </c>
    </row>
    <row r="24" spans="1:10" x14ac:dyDescent="0.3">
      <c r="A24">
        <v>23</v>
      </c>
      <c r="B24" t="s">
        <v>233</v>
      </c>
      <c r="C24" t="s">
        <v>536</v>
      </c>
      <c r="D24" s="20">
        <v>30</v>
      </c>
      <c r="G24" t="s">
        <v>762</v>
      </c>
      <c r="I24" s="30" t="str">
        <f>G24&amp;C24</f>
        <v>$(SYS):$(SUBSYS):$(DEV):EV_IGEN_SET_TIME</v>
      </c>
      <c r="J24" t="s">
        <v>775</v>
      </c>
    </row>
    <row r="25" spans="1:10" x14ac:dyDescent="0.3">
      <c r="A25">
        <v>24</v>
      </c>
      <c r="B25" t="s">
        <v>233</v>
      </c>
      <c r="C25" t="s">
        <v>537</v>
      </c>
      <c r="D25" s="20">
        <v>30</v>
      </c>
      <c r="G25" t="s">
        <v>762</v>
      </c>
      <c r="I25" s="30" t="str">
        <f>G25&amp;C25</f>
        <v>$(SYS):$(SUBSYS):$(DEV):EV_SW_EVGW_SET_TIME</v>
      </c>
      <c r="J25" t="s">
        <v>775</v>
      </c>
    </row>
    <row r="26" spans="1:10" x14ac:dyDescent="0.3">
      <c r="A26">
        <v>25</v>
      </c>
      <c r="B26" t="s">
        <v>233</v>
      </c>
      <c r="C26" t="s">
        <v>538</v>
      </c>
      <c r="D26" s="20">
        <v>30</v>
      </c>
      <c r="G26" t="s">
        <v>762</v>
      </c>
      <c r="I26" t="str">
        <f>G26&amp;C26</f>
        <v>$(SYS):$(SUBSYS):$(DEV):EV_SEQTRG_RESUME_0</v>
      </c>
    </row>
    <row r="27" spans="1:10" x14ac:dyDescent="0.3">
      <c r="A27">
        <v>26</v>
      </c>
      <c r="B27" t="s">
        <v>233</v>
      </c>
      <c r="C27" t="s">
        <v>539</v>
      </c>
      <c r="D27" s="20">
        <v>30</v>
      </c>
      <c r="G27" t="s">
        <v>762</v>
      </c>
      <c r="I27" t="str">
        <f>G27&amp;C27</f>
        <v>$(SYS):$(SUBSYS):$(DEV):EV_SEQTRG_RESUME_1</v>
      </c>
    </row>
    <row r="28" spans="1:10" x14ac:dyDescent="0.3">
      <c r="A28">
        <v>27</v>
      </c>
      <c r="B28" t="s">
        <v>233</v>
      </c>
      <c r="C28" t="s">
        <v>540</v>
      </c>
      <c r="D28" s="20">
        <v>38</v>
      </c>
      <c r="G28" t="s">
        <v>762</v>
      </c>
      <c r="I28" t="str">
        <f>G28&amp;C28</f>
        <v>$(SYS):$(SUBSYS):$(DEV):EV_TXENABLE_DBUS</v>
      </c>
    </row>
    <row r="29" spans="1:10" x14ac:dyDescent="0.3">
      <c r="A29">
        <v>28</v>
      </c>
      <c r="B29" t="s">
        <v>233</v>
      </c>
      <c r="C29" t="s">
        <v>541</v>
      </c>
      <c r="D29" s="20">
        <v>38</v>
      </c>
      <c r="G29" t="s">
        <v>762</v>
      </c>
      <c r="I29" t="str">
        <f>G29&amp;C29</f>
        <v>$(SYS):$(SUBSYS):$(DEV):EV_TXENABLE_EVCODEA</v>
      </c>
    </row>
    <row r="30" spans="1:10" x14ac:dyDescent="0.3">
      <c r="A30">
        <v>29</v>
      </c>
      <c r="B30" t="s">
        <v>233</v>
      </c>
      <c r="C30" t="s">
        <v>542</v>
      </c>
      <c r="D30" s="20">
        <v>38</v>
      </c>
      <c r="G30" t="s">
        <v>762</v>
      </c>
      <c r="I30" t="str">
        <f>G30&amp;C30</f>
        <v>$(SYS):$(SUBSYS):$(DEV):EV_TXENABLE_EVCODEB</v>
      </c>
    </row>
    <row r="31" spans="1:10" x14ac:dyDescent="0.3">
      <c r="A31">
        <v>30</v>
      </c>
      <c r="B31" t="s">
        <v>233</v>
      </c>
      <c r="C31" t="s">
        <v>543</v>
      </c>
      <c r="D31" s="20">
        <v>38</v>
      </c>
      <c r="G31" t="s">
        <v>762</v>
      </c>
      <c r="I31" t="str">
        <f>G31&amp;C31</f>
        <v>$(SYS):$(SUBSYS):$(DEV):EV_TXENABLE_MEVCODEA</v>
      </c>
    </row>
    <row r="32" spans="1:10" x14ac:dyDescent="0.3">
      <c r="A32">
        <v>31</v>
      </c>
      <c r="B32" t="s">
        <v>233</v>
      </c>
      <c r="C32" t="s">
        <v>544</v>
      </c>
      <c r="D32" s="20">
        <v>38</v>
      </c>
      <c r="G32" t="s">
        <v>762</v>
      </c>
      <c r="I32" t="str">
        <f>G32&amp;C32</f>
        <v>$(SYS):$(SUBSYS):$(DEV):EV_SEQTRG_EN_0</v>
      </c>
    </row>
    <row r="33" spans="1:10" x14ac:dyDescent="0.3">
      <c r="A33">
        <v>32</v>
      </c>
      <c r="B33" t="s">
        <v>233</v>
      </c>
      <c r="C33" t="s">
        <v>545</v>
      </c>
      <c r="D33" s="20">
        <v>38</v>
      </c>
      <c r="G33" t="s">
        <v>762</v>
      </c>
      <c r="I33" t="str">
        <f>G33&amp;C33</f>
        <v>$(SYS):$(SUBSYS):$(DEV):EV_SEQTRG_EN_1</v>
      </c>
    </row>
    <row r="34" spans="1:10" x14ac:dyDescent="0.3">
      <c r="A34">
        <v>33</v>
      </c>
      <c r="B34" t="s">
        <v>233</v>
      </c>
      <c r="C34" t="s">
        <v>546</v>
      </c>
      <c r="D34" s="20">
        <v>38</v>
      </c>
      <c r="G34" t="s">
        <v>762</v>
      </c>
      <c r="I34" t="str">
        <f>G34&amp;C34</f>
        <v>$(SYS):$(SUBSYS):$(DEV):EV_MXC14ENABLE</v>
      </c>
    </row>
    <row r="35" spans="1:10" x14ac:dyDescent="0.3">
      <c r="A35">
        <v>34</v>
      </c>
      <c r="B35" t="s">
        <v>233</v>
      </c>
      <c r="C35" t="s">
        <v>547</v>
      </c>
      <c r="D35" s="20">
        <v>79</v>
      </c>
      <c r="G35" t="s">
        <v>762</v>
      </c>
      <c r="I35" s="34" t="str">
        <f>G35&amp;C35</f>
        <v>$(SYS):$(SUBSYS):$(DEV):EV_EVUSER</v>
      </c>
      <c r="J35" t="s">
        <v>781</v>
      </c>
    </row>
    <row r="36" spans="1:10" x14ac:dyDescent="0.3">
      <c r="A36">
        <v>35</v>
      </c>
      <c r="B36" t="s">
        <v>233</v>
      </c>
      <c r="C36" t="s">
        <v>548</v>
      </c>
      <c r="D36" s="20">
        <v>41</v>
      </c>
      <c r="G36" t="s">
        <v>762</v>
      </c>
      <c r="I36" s="32" t="str">
        <f>G36&amp;C36</f>
        <v>$(SYS):$(SUBSYS):$(DEV):EV_EVTRGMSK</v>
      </c>
      <c r="J36" s="36" t="s">
        <v>780</v>
      </c>
    </row>
    <row r="37" spans="1:10" x14ac:dyDescent="0.3">
      <c r="A37">
        <v>36</v>
      </c>
      <c r="B37" t="s">
        <v>233</v>
      </c>
      <c r="C37" t="s">
        <v>549</v>
      </c>
      <c r="D37" s="20">
        <v>43</v>
      </c>
      <c r="G37" t="s">
        <v>762</v>
      </c>
      <c r="I37" s="34" t="str">
        <f>G37&amp;C37</f>
        <v>$(SYS):$(SUBSYS):$(DEV):EV_SEQTRGSEL_0</v>
      </c>
      <c r="J37" t="s">
        <v>782</v>
      </c>
    </row>
    <row r="38" spans="1:10" x14ac:dyDescent="0.3">
      <c r="A38">
        <v>37</v>
      </c>
      <c r="B38" t="s">
        <v>233</v>
      </c>
      <c r="C38" t="s">
        <v>550</v>
      </c>
      <c r="D38" s="20">
        <v>43</v>
      </c>
      <c r="G38" t="s">
        <v>762</v>
      </c>
      <c r="I38" s="34" t="str">
        <f>G38&amp;C38</f>
        <v>$(SYS):$(SUBSYS):$(DEV):EV_SEQTRGSEL_1</v>
      </c>
      <c r="J38" t="s">
        <v>782</v>
      </c>
    </row>
    <row r="39" spans="1:10" x14ac:dyDescent="0.3">
      <c r="A39">
        <v>38</v>
      </c>
      <c r="B39" t="s">
        <v>233</v>
      </c>
      <c r="C39" t="s">
        <v>551</v>
      </c>
      <c r="D39" s="20">
        <v>44</v>
      </c>
      <c r="G39" t="s">
        <v>762</v>
      </c>
      <c r="I39" s="32" t="str">
        <f>G39&amp;C39</f>
        <v>$(SYS):$(SUBSYS):$(DEV):EV_SEQTRGMSKA_0</v>
      </c>
      <c r="J39" t="s">
        <v>779</v>
      </c>
    </row>
    <row r="40" spans="1:10" x14ac:dyDescent="0.3">
      <c r="A40">
        <v>39</v>
      </c>
      <c r="B40" t="s">
        <v>233</v>
      </c>
      <c r="C40" t="s">
        <v>552</v>
      </c>
      <c r="D40" s="20">
        <v>45</v>
      </c>
      <c r="G40" t="s">
        <v>762</v>
      </c>
      <c r="I40" s="32" t="str">
        <f>G40&amp;C40</f>
        <v>$(SYS):$(SUBSYS):$(DEV):EV_SEQTRGMSKA_1</v>
      </c>
      <c r="J40" t="s">
        <v>778</v>
      </c>
    </row>
    <row r="41" spans="1:10" x14ac:dyDescent="0.3">
      <c r="A41">
        <v>40</v>
      </c>
      <c r="B41" t="s">
        <v>233</v>
      </c>
      <c r="C41" t="s">
        <v>553</v>
      </c>
      <c r="D41" s="20">
        <v>46</v>
      </c>
      <c r="G41" t="s">
        <v>762</v>
      </c>
      <c r="I41" s="32" t="str">
        <f>G41&amp;C41</f>
        <v>$(SYS):$(SUBSYS):$(DEV):EV_SEQTRGMSKB_0</v>
      </c>
      <c r="J41" t="s">
        <v>778</v>
      </c>
    </row>
    <row r="42" spans="1:10" x14ac:dyDescent="0.3">
      <c r="A42">
        <v>41</v>
      </c>
      <c r="B42" t="s">
        <v>233</v>
      </c>
      <c r="C42" t="s">
        <v>554</v>
      </c>
      <c r="D42" s="20">
        <v>47</v>
      </c>
      <c r="G42" t="s">
        <v>762</v>
      </c>
      <c r="I42" s="32" t="str">
        <f>G42&amp;C42</f>
        <v>$(SYS):$(SUBSYS):$(DEV):EV_SEQTRGMSKB_1</v>
      </c>
      <c r="J42" t="s">
        <v>778</v>
      </c>
    </row>
    <row r="43" spans="1:10" x14ac:dyDescent="0.3">
      <c r="A43">
        <v>42</v>
      </c>
      <c r="B43" t="s">
        <v>233</v>
      </c>
      <c r="C43" t="s">
        <v>555</v>
      </c>
      <c r="D43" s="20">
        <v>48</v>
      </c>
      <c r="G43" t="s">
        <v>762</v>
      </c>
      <c r="I43" s="37" t="str">
        <f>G43&amp;C43</f>
        <v>$(SYS):$(SUBSYS):$(DEV):EV_SEQ_REPEATREG_0</v>
      </c>
    </row>
    <row r="44" spans="1:10" x14ac:dyDescent="0.3">
      <c r="A44">
        <v>43</v>
      </c>
      <c r="B44" t="s">
        <v>233</v>
      </c>
      <c r="C44" t="s">
        <v>556</v>
      </c>
      <c r="D44" s="20">
        <v>49</v>
      </c>
      <c r="G44" t="s">
        <v>762</v>
      </c>
      <c r="I44" s="37" t="str">
        <f>G44&amp;C44</f>
        <v>$(SYS):$(SUBSYS):$(DEV):EV_SEQ_REPEATREG_1</v>
      </c>
    </row>
    <row r="45" spans="1:10" x14ac:dyDescent="0.3">
      <c r="A45">
        <v>44</v>
      </c>
      <c r="B45" t="s">
        <v>233</v>
      </c>
      <c r="C45" t="s">
        <v>557</v>
      </c>
      <c r="D45" s="20">
        <v>50</v>
      </c>
      <c r="G45" t="s">
        <v>762</v>
      </c>
      <c r="I45" t="str">
        <f>G45&amp;C45</f>
        <v>$(SYS):$(SUBSYS):$(DEV):EV_MXC14_PRESCALERREG_0</v>
      </c>
    </row>
    <row r="46" spans="1:10" x14ac:dyDescent="0.3">
      <c r="A46">
        <v>45</v>
      </c>
      <c r="B46" t="s">
        <v>233</v>
      </c>
      <c r="C46" t="s">
        <v>558</v>
      </c>
      <c r="D46" s="20">
        <v>51</v>
      </c>
      <c r="G46" t="s">
        <v>762</v>
      </c>
      <c r="I46" t="str">
        <f>G46&amp;C46</f>
        <v>$(SYS):$(SUBSYS):$(DEV):EV_MXC14_PRESCALERREG_1</v>
      </c>
    </row>
    <row r="47" spans="1:10" x14ac:dyDescent="0.3">
      <c r="A47">
        <v>46</v>
      </c>
      <c r="B47" t="s">
        <v>233</v>
      </c>
      <c r="C47" t="s">
        <v>559</v>
      </c>
      <c r="D47" s="20">
        <v>52</v>
      </c>
      <c r="G47" t="s">
        <v>762</v>
      </c>
      <c r="I47" t="str">
        <f>G47&amp;C47</f>
        <v>$(SYS):$(SUBSYS):$(DEV):EV_MXC14_PRESCALERREG_2</v>
      </c>
    </row>
    <row r="48" spans="1:10" x14ac:dyDescent="0.3">
      <c r="A48">
        <v>47</v>
      </c>
      <c r="B48" t="s">
        <v>233</v>
      </c>
      <c r="C48" t="s">
        <v>560</v>
      </c>
      <c r="D48" s="20">
        <v>53</v>
      </c>
      <c r="G48" t="s">
        <v>762</v>
      </c>
      <c r="I48" t="str">
        <f>G48&amp;C48</f>
        <v>$(SYS):$(SUBSYS):$(DEV):EV_MXC14_PRESCALERREG_3</v>
      </c>
    </row>
    <row r="49" spans="1:10" x14ac:dyDescent="0.3">
      <c r="A49">
        <v>48</v>
      </c>
      <c r="B49" t="s">
        <v>233</v>
      </c>
      <c r="C49" t="s">
        <v>561</v>
      </c>
      <c r="D49" s="20">
        <v>54</v>
      </c>
      <c r="G49" t="s">
        <v>762</v>
      </c>
      <c r="I49" t="str">
        <f>G49&amp;C49</f>
        <v>$(SYS):$(SUBSYS):$(DEV):EV_MXC14_PRESCALERREG_4</v>
      </c>
    </row>
    <row r="50" spans="1:10" x14ac:dyDescent="0.3">
      <c r="A50">
        <v>49</v>
      </c>
      <c r="B50" t="s">
        <v>233</v>
      </c>
      <c r="C50" t="s">
        <v>562</v>
      </c>
      <c r="D50" s="20">
        <v>55</v>
      </c>
      <c r="G50" t="s">
        <v>762</v>
      </c>
      <c r="I50" t="str">
        <f>G50&amp;C50</f>
        <v>$(SYS):$(SUBSYS):$(DEV):EV_MXC14_PRESCALERREG_5</v>
      </c>
    </row>
    <row r="51" spans="1:10" x14ac:dyDescent="0.3">
      <c r="A51">
        <v>50</v>
      </c>
      <c r="B51" t="s">
        <v>233</v>
      </c>
      <c r="C51" t="s">
        <v>563</v>
      </c>
      <c r="D51" s="20">
        <v>56</v>
      </c>
      <c r="G51" t="s">
        <v>762</v>
      </c>
      <c r="I51" t="str">
        <f>G51&amp;C51</f>
        <v>$(SYS):$(SUBSYS):$(DEV):EV_MXC14_PRESCALERREG_6</v>
      </c>
    </row>
    <row r="52" spans="1:10" x14ac:dyDescent="0.3">
      <c r="A52">
        <v>51</v>
      </c>
      <c r="B52" t="s">
        <v>233</v>
      </c>
      <c r="C52" t="s">
        <v>564</v>
      </c>
      <c r="D52" s="20">
        <v>57</v>
      </c>
      <c r="G52" t="s">
        <v>762</v>
      </c>
      <c r="I52" t="str">
        <f>G52&amp;C52</f>
        <v>$(SYS):$(SUBSYS):$(DEV):EV_MXC14_PRESCALERREG_7</v>
      </c>
    </row>
    <row r="53" spans="1:10" x14ac:dyDescent="0.3">
      <c r="A53">
        <v>52</v>
      </c>
      <c r="B53" t="s">
        <v>233</v>
      </c>
      <c r="C53" t="s">
        <v>565</v>
      </c>
      <c r="D53" s="20">
        <v>58</v>
      </c>
      <c r="G53" t="s">
        <v>762</v>
      </c>
      <c r="I53" t="str">
        <f>G53&amp;C53</f>
        <v>$(SYS):$(SUBSYS):$(DEV):EV_MXC14_PRESCALERREG_8</v>
      </c>
    </row>
    <row r="54" spans="1:10" x14ac:dyDescent="0.3">
      <c r="A54">
        <v>53</v>
      </c>
      <c r="B54" t="s">
        <v>233</v>
      </c>
      <c r="C54" t="s">
        <v>566</v>
      </c>
      <c r="D54" s="20">
        <v>59</v>
      </c>
      <c r="G54" t="s">
        <v>762</v>
      </c>
      <c r="I54" t="str">
        <f>G54&amp;C54</f>
        <v>$(SYS):$(SUBSYS):$(DEV):EV_MXC14_PRESCALERREG_9</v>
      </c>
    </row>
    <row r="55" spans="1:10" x14ac:dyDescent="0.3">
      <c r="A55">
        <v>54</v>
      </c>
      <c r="B55" t="s">
        <v>233</v>
      </c>
      <c r="C55" t="s">
        <v>567</v>
      </c>
      <c r="D55" s="20" t="s">
        <v>399</v>
      </c>
      <c r="G55" t="s">
        <v>762</v>
      </c>
      <c r="I55" t="str">
        <f>G55&amp;C55</f>
        <v>$(SYS):$(SUBSYS):$(DEV):EV_MXC14_PRESCALERREG_10</v>
      </c>
    </row>
    <row r="56" spans="1:10" x14ac:dyDescent="0.3">
      <c r="A56">
        <v>55</v>
      </c>
      <c r="B56" t="s">
        <v>233</v>
      </c>
      <c r="C56" t="s">
        <v>568</v>
      </c>
      <c r="D56" s="20" t="s">
        <v>400</v>
      </c>
      <c r="G56" t="s">
        <v>762</v>
      </c>
      <c r="I56" t="str">
        <f>G56&amp;C56</f>
        <v>$(SYS):$(SUBSYS):$(DEV):EV_MXC14_PRESCALERREG_11</v>
      </c>
    </row>
    <row r="57" spans="1:10" x14ac:dyDescent="0.3">
      <c r="A57">
        <v>56</v>
      </c>
      <c r="B57" t="s">
        <v>233</v>
      </c>
      <c r="C57" t="s">
        <v>569</v>
      </c>
      <c r="D57" s="20" t="s">
        <v>401</v>
      </c>
      <c r="G57" t="s">
        <v>762</v>
      </c>
      <c r="I57" t="str">
        <f>G57&amp;C57</f>
        <v>$(SYS):$(SUBSYS):$(DEV):EV_MXC14_PRESCALERREG_12</v>
      </c>
    </row>
    <row r="58" spans="1:10" x14ac:dyDescent="0.3">
      <c r="A58">
        <v>57</v>
      </c>
      <c r="B58" t="s">
        <v>233</v>
      </c>
      <c r="C58" t="s">
        <v>570</v>
      </c>
      <c r="D58" s="20" t="s">
        <v>402</v>
      </c>
      <c r="G58" t="s">
        <v>762</v>
      </c>
      <c r="I58" t="str">
        <f>G58&amp;C58</f>
        <v>$(SYS):$(SUBSYS):$(DEV):EV_MXC14_PRESCALERREG_13</v>
      </c>
    </row>
    <row r="59" spans="1:10" x14ac:dyDescent="0.3">
      <c r="A59">
        <v>58</v>
      </c>
      <c r="B59" t="s">
        <v>233</v>
      </c>
      <c r="C59" t="s">
        <v>571</v>
      </c>
      <c r="D59" s="20">
        <v>60</v>
      </c>
      <c r="G59" t="s">
        <v>762</v>
      </c>
      <c r="I59" s="30" t="str">
        <f>G59&amp;C59</f>
        <v>$(SYS):$(SUBSYS):$(DEV):EV_EVRW_RST</v>
      </c>
      <c r="J59" t="s">
        <v>775</v>
      </c>
    </row>
    <row r="60" spans="1:10" x14ac:dyDescent="0.3">
      <c r="A60">
        <v>59</v>
      </c>
      <c r="B60" t="s">
        <v>233</v>
      </c>
      <c r="C60" t="s">
        <v>572</v>
      </c>
      <c r="D60" s="20">
        <v>60</v>
      </c>
      <c r="G60" t="s">
        <v>762</v>
      </c>
      <c r="I60" s="30" t="str">
        <f>G60&amp;C60</f>
        <v>$(SYS):$(SUBSYS):$(DEV):EV_EVR_GETSTATREG</v>
      </c>
      <c r="J60" t="s">
        <v>775</v>
      </c>
    </row>
    <row r="61" spans="1:10" x14ac:dyDescent="0.3">
      <c r="A61">
        <v>60</v>
      </c>
      <c r="B61" t="s">
        <v>233</v>
      </c>
      <c r="C61" t="s">
        <v>573</v>
      </c>
      <c r="D61" s="20">
        <v>60</v>
      </c>
      <c r="G61" t="s">
        <v>762</v>
      </c>
      <c r="I61" s="30" t="str">
        <f>G61&amp;C61</f>
        <v>$(SYS):$(SUBSYS):$(DEV):EV_EVR_SETCTRLREG</v>
      </c>
      <c r="J61" t="s">
        <v>775</v>
      </c>
    </row>
    <row r="62" spans="1:10" x14ac:dyDescent="0.3">
      <c r="A62">
        <v>61</v>
      </c>
      <c r="B62" t="s">
        <v>233</v>
      </c>
      <c r="C62" t="s">
        <v>574</v>
      </c>
      <c r="D62" s="20">
        <v>61</v>
      </c>
      <c r="G62" t="s">
        <v>762</v>
      </c>
      <c r="I62" t="str">
        <f>G62&amp;C62</f>
        <v>$(SYS):$(SUBSYS):$(DEV):EV_RXENABLE_DBUS</v>
      </c>
    </row>
    <row r="63" spans="1:10" x14ac:dyDescent="0.3">
      <c r="A63">
        <v>62</v>
      </c>
      <c r="B63" t="s">
        <v>233</v>
      </c>
      <c r="C63" t="s">
        <v>575</v>
      </c>
      <c r="D63" s="20">
        <v>61</v>
      </c>
      <c r="G63" t="s">
        <v>762</v>
      </c>
      <c r="I63" t="str">
        <f>G63&amp;C63</f>
        <v>$(SYS):$(SUBSYS):$(DEV):EV_RXENABLE_EVCODEA</v>
      </c>
    </row>
    <row r="64" spans="1:10" x14ac:dyDescent="0.3">
      <c r="A64">
        <v>63</v>
      </c>
      <c r="B64" t="s">
        <v>233</v>
      </c>
      <c r="C64" t="s">
        <v>576</v>
      </c>
      <c r="D64" s="20">
        <v>61</v>
      </c>
      <c r="G64" t="s">
        <v>762</v>
      </c>
      <c r="I64" t="str">
        <f>G64&amp;C64</f>
        <v>$(SYS):$(SUBSYS):$(DEV):EV_RXENABLE_EVCODEB</v>
      </c>
    </row>
    <row r="65" spans="1:10" x14ac:dyDescent="0.3">
      <c r="A65">
        <v>64</v>
      </c>
      <c r="B65" t="s">
        <v>233</v>
      </c>
      <c r="C65" t="s">
        <v>577</v>
      </c>
      <c r="D65" s="20">
        <v>61</v>
      </c>
      <c r="G65" t="s">
        <v>762</v>
      </c>
      <c r="I65" t="str">
        <f>G65&amp;C65</f>
        <v>$(SYS):$(SUBSYS):$(DEV):EV_RXENABLE_STREAMDATA</v>
      </c>
    </row>
    <row r="66" spans="1:10" x14ac:dyDescent="0.3">
      <c r="A66">
        <v>65</v>
      </c>
      <c r="B66" t="s">
        <v>233</v>
      </c>
      <c r="C66" t="s">
        <v>578</v>
      </c>
      <c r="D66" s="20">
        <v>61</v>
      </c>
      <c r="G66" t="s">
        <v>762</v>
      </c>
      <c r="I66" t="str">
        <f>G66&amp;C66</f>
        <v>$(SYS):$(SUBSYS):$(DEV):EV_PDPENABLE</v>
      </c>
    </row>
    <row r="67" spans="1:10" x14ac:dyDescent="0.3">
      <c r="A67">
        <v>66</v>
      </c>
      <c r="B67" t="s">
        <v>233</v>
      </c>
      <c r="C67" t="s">
        <v>579</v>
      </c>
      <c r="D67" s="20">
        <v>62</v>
      </c>
      <c r="G67" t="s">
        <v>762</v>
      </c>
      <c r="I67" t="str">
        <f>G67&amp;C67</f>
        <v>$(SYS):$(SUBSYS):$(DEV):EV_EXTOUTSEL_1PPS</v>
      </c>
    </row>
    <row r="68" spans="1:10" x14ac:dyDescent="0.3">
      <c r="A68">
        <v>67</v>
      </c>
      <c r="B68" t="s">
        <v>233</v>
      </c>
      <c r="C68" t="s">
        <v>580</v>
      </c>
      <c r="D68" s="20">
        <v>62</v>
      </c>
      <c r="G68" t="s">
        <v>762</v>
      </c>
      <c r="I68" t="str">
        <f>G68&amp;C68</f>
        <v>$(SYS):$(SUBSYS):$(DEV):EV_EVR_PDPTRGSRCSEL</v>
      </c>
    </row>
    <row r="69" spans="1:10" x14ac:dyDescent="0.3">
      <c r="A69">
        <v>68</v>
      </c>
      <c r="B69" t="s">
        <v>233</v>
      </c>
      <c r="C69" t="s">
        <v>581</v>
      </c>
      <c r="D69" s="20">
        <v>62</v>
      </c>
      <c r="G69" t="s">
        <v>762</v>
      </c>
      <c r="I69" t="str">
        <f>G69&amp;C69</f>
        <v>$(SYS):$(SUBSYS):$(DEV):EV_RX_DBUSSEL8</v>
      </c>
    </row>
    <row r="70" spans="1:10" x14ac:dyDescent="0.3">
      <c r="A70">
        <v>69</v>
      </c>
      <c r="B70" t="s">
        <v>233</v>
      </c>
      <c r="C70" t="s">
        <v>582</v>
      </c>
      <c r="D70" s="20">
        <v>63</v>
      </c>
      <c r="G70" t="s">
        <v>762</v>
      </c>
      <c r="I70" t="str">
        <f>G70&amp;C70</f>
        <v>$(SYS):$(SUBSYS):$(DEV):EV_EVLOGFIFO_ENABLE_USER</v>
      </c>
    </row>
    <row r="71" spans="1:10" x14ac:dyDescent="0.3">
      <c r="A71">
        <v>70</v>
      </c>
      <c r="B71" t="s">
        <v>233</v>
      </c>
      <c r="C71" t="s">
        <v>583</v>
      </c>
      <c r="D71" s="20">
        <v>64</v>
      </c>
      <c r="G71" t="s">
        <v>762</v>
      </c>
      <c r="I71" s="32" t="str">
        <f>G71&amp;C71</f>
        <v>$(SYS):$(SUBSYS):$(DEV):EV_PDPPOLARITY_0</v>
      </c>
      <c r="J71" t="s">
        <v>778</v>
      </c>
    </row>
    <row r="72" spans="1:10" x14ac:dyDescent="0.3">
      <c r="A72">
        <v>71</v>
      </c>
      <c r="B72" t="s">
        <v>233</v>
      </c>
      <c r="C72" t="s">
        <v>584</v>
      </c>
      <c r="D72" s="20">
        <v>64</v>
      </c>
      <c r="G72" t="s">
        <v>762</v>
      </c>
      <c r="I72" s="32" t="str">
        <f>G72&amp;C72</f>
        <v>$(SYS):$(SUBSYS):$(DEV):EV_PDPPOLARITY_1</v>
      </c>
      <c r="J72" t="s">
        <v>778</v>
      </c>
    </row>
    <row r="73" spans="1:10" x14ac:dyDescent="0.3">
      <c r="A73">
        <v>72</v>
      </c>
      <c r="B73" t="s">
        <v>233</v>
      </c>
      <c r="C73" t="s">
        <v>585</v>
      </c>
      <c r="D73" s="20">
        <v>64</v>
      </c>
      <c r="G73" t="s">
        <v>762</v>
      </c>
      <c r="I73" s="32" t="str">
        <f>G73&amp;C73</f>
        <v>$(SYS):$(SUBSYS):$(DEV):EV_PDPPOLARITY_2</v>
      </c>
      <c r="J73" t="s">
        <v>778</v>
      </c>
    </row>
    <row r="74" spans="1:10" x14ac:dyDescent="0.3">
      <c r="A74">
        <v>73</v>
      </c>
      <c r="B74" t="s">
        <v>233</v>
      </c>
      <c r="C74" t="s">
        <v>586</v>
      </c>
      <c r="D74" s="20">
        <v>64</v>
      </c>
      <c r="G74" t="s">
        <v>762</v>
      </c>
      <c r="I74" s="32" t="str">
        <f>G74&amp;C74</f>
        <v>$(SYS):$(SUBSYS):$(DEV):EV_PDPPOLARITY_3</v>
      </c>
      <c r="J74" t="s">
        <v>778</v>
      </c>
    </row>
    <row r="75" spans="1:10" x14ac:dyDescent="0.3">
      <c r="A75">
        <v>74</v>
      </c>
      <c r="B75" t="s">
        <v>233</v>
      </c>
      <c r="C75" t="s">
        <v>587</v>
      </c>
      <c r="D75" s="20">
        <v>64</v>
      </c>
      <c r="G75" t="s">
        <v>762</v>
      </c>
      <c r="I75" s="32" t="str">
        <f>G75&amp;C75</f>
        <v>$(SYS):$(SUBSYS):$(DEV):EV_PDPPOLARITY_4</v>
      </c>
      <c r="J75" t="s">
        <v>778</v>
      </c>
    </row>
    <row r="76" spans="1:10" x14ac:dyDescent="0.3">
      <c r="A76">
        <v>75</v>
      </c>
      <c r="B76" t="s">
        <v>233</v>
      </c>
      <c r="C76" t="s">
        <v>588</v>
      </c>
      <c r="D76" s="20">
        <v>64</v>
      </c>
      <c r="G76" t="s">
        <v>762</v>
      </c>
      <c r="I76" s="32" t="str">
        <f>G76&amp;C76</f>
        <v>$(SYS):$(SUBSYS):$(DEV):EV_PDPPOLARITY_5</v>
      </c>
      <c r="J76" t="s">
        <v>778</v>
      </c>
    </row>
    <row r="77" spans="1:10" x14ac:dyDescent="0.3">
      <c r="A77">
        <v>76</v>
      </c>
      <c r="B77" t="s">
        <v>233</v>
      </c>
      <c r="C77" t="s">
        <v>589</v>
      </c>
      <c r="D77" s="20">
        <v>64</v>
      </c>
      <c r="G77" t="s">
        <v>762</v>
      </c>
      <c r="I77" s="32" t="str">
        <f>G77&amp;C77</f>
        <v>$(SYS):$(SUBSYS):$(DEV):EV_PDPPOLARITY_6</v>
      </c>
      <c r="J77" t="s">
        <v>778</v>
      </c>
    </row>
    <row r="78" spans="1:10" x14ac:dyDescent="0.3">
      <c r="A78">
        <v>77</v>
      </c>
      <c r="B78" t="s">
        <v>233</v>
      </c>
      <c r="C78" t="s">
        <v>590</v>
      </c>
      <c r="D78" s="20">
        <v>64</v>
      </c>
      <c r="G78" t="s">
        <v>762</v>
      </c>
      <c r="I78" s="32" t="str">
        <f>G78&amp;C78</f>
        <v>$(SYS):$(SUBSYS):$(DEV):EV_PDPPOLARITY_7</v>
      </c>
      <c r="J78" t="s">
        <v>778</v>
      </c>
    </row>
    <row r="79" spans="1:10" x14ac:dyDescent="0.3">
      <c r="A79">
        <v>78</v>
      </c>
      <c r="B79" t="s">
        <v>233</v>
      </c>
      <c r="C79" t="s">
        <v>591</v>
      </c>
      <c r="D79" s="20">
        <v>64</v>
      </c>
      <c r="G79" t="s">
        <v>762</v>
      </c>
      <c r="I79" s="32" t="str">
        <f>G79&amp;C79</f>
        <v>$(SYS):$(SUBSYS):$(DEV):EV_PDPPOLARITY_8</v>
      </c>
      <c r="J79" t="s">
        <v>778</v>
      </c>
    </row>
    <row r="80" spans="1:10" x14ac:dyDescent="0.3">
      <c r="A80">
        <v>79</v>
      </c>
      <c r="B80" t="s">
        <v>233</v>
      </c>
      <c r="C80" t="s">
        <v>592</v>
      </c>
      <c r="D80" s="20">
        <v>64</v>
      </c>
      <c r="G80" t="s">
        <v>762</v>
      </c>
      <c r="I80" s="32" t="str">
        <f>G80&amp;C80</f>
        <v>$(SYS):$(SUBSYS):$(DEV):EV_PDPPOLARITY_9</v>
      </c>
      <c r="J80" t="s">
        <v>778</v>
      </c>
    </row>
    <row r="81" spans="1:10" x14ac:dyDescent="0.3">
      <c r="A81">
        <v>80</v>
      </c>
      <c r="B81" t="s">
        <v>233</v>
      </c>
      <c r="C81" t="s">
        <v>593</v>
      </c>
      <c r="D81" s="20">
        <v>64</v>
      </c>
      <c r="G81" t="s">
        <v>762</v>
      </c>
      <c r="I81" s="32" t="str">
        <f>G81&amp;C81</f>
        <v>$(SYS):$(SUBSYS):$(DEV):EV_PDPPOLARITY_10</v>
      </c>
      <c r="J81" t="s">
        <v>778</v>
      </c>
    </row>
    <row r="82" spans="1:10" x14ac:dyDescent="0.3">
      <c r="A82">
        <v>81</v>
      </c>
      <c r="B82" t="s">
        <v>233</v>
      </c>
      <c r="C82" t="s">
        <v>594</v>
      </c>
      <c r="D82" s="20">
        <v>64</v>
      </c>
      <c r="G82" t="s">
        <v>762</v>
      </c>
      <c r="I82" s="32" t="str">
        <f>G82&amp;C82</f>
        <v>$(SYS):$(SUBSYS):$(DEV):EV_PDPPOLARITY_11</v>
      </c>
      <c r="J82" t="s">
        <v>778</v>
      </c>
    </row>
    <row r="83" spans="1:10" x14ac:dyDescent="0.3">
      <c r="A83">
        <v>82</v>
      </c>
      <c r="B83" t="s">
        <v>233</v>
      </c>
      <c r="C83" t="s">
        <v>595</v>
      </c>
      <c r="D83" s="20">
        <v>64</v>
      </c>
      <c r="G83" t="s">
        <v>762</v>
      </c>
      <c r="I83" s="32" t="str">
        <f>G83&amp;C83</f>
        <v>$(SYS):$(SUBSYS):$(DEV):EV_PDPPOLARITY_12</v>
      </c>
      <c r="J83" t="s">
        <v>778</v>
      </c>
    </row>
    <row r="84" spans="1:10" x14ac:dyDescent="0.3">
      <c r="A84">
        <v>83</v>
      </c>
      <c r="B84" t="s">
        <v>233</v>
      </c>
      <c r="C84" t="s">
        <v>596</v>
      </c>
      <c r="D84" s="20">
        <v>64</v>
      </c>
      <c r="G84" t="s">
        <v>762</v>
      </c>
      <c r="I84" s="32" t="str">
        <f>G84&amp;C84</f>
        <v>$(SYS):$(SUBSYS):$(DEV):EV_PDPPOLARITY_13</v>
      </c>
      <c r="J84" t="s">
        <v>778</v>
      </c>
    </row>
    <row r="85" spans="1:10" x14ac:dyDescent="0.3">
      <c r="A85">
        <v>84</v>
      </c>
      <c r="B85" t="s">
        <v>233</v>
      </c>
      <c r="C85" t="s">
        <v>597</v>
      </c>
      <c r="D85" s="20">
        <v>64</v>
      </c>
      <c r="G85" t="s">
        <v>762</v>
      </c>
      <c r="I85" s="32" t="str">
        <f>G85&amp;C85</f>
        <v>$(SYS):$(SUBSYS):$(DEV):EV_PDPPOLARITY_14</v>
      </c>
      <c r="J85" t="s">
        <v>778</v>
      </c>
    </row>
    <row r="86" spans="1:10" x14ac:dyDescent="0.3">
      <c r="A86">
        <v>85</v>
      </c>
      <c r="B86" t="s">
        <v>233</v>
      </c>
      <c r="C86" t="s">
        <v>598</v>
      </c>
      <c r="D86" s="20">
        <v>64</v>
      </c>
      <c r="G86" t="s">
        <v>762</v>
      </c>
      <c r="I86" s="32" t="str">
        <f>G86&amp;C86</f>
        <v>$(SYS):$(SUBSYS):$(DEV):EV_PDPPOLARITY_15</v>
      </c>
      <c r="J86" t="s">
        <v>778</v>
      </c>
    </row>
    <row r="87" spans="1:10" x14ac:dyDescent="0.3">
      <c r="A87">
        <v>86</v>
      </c>
      <c r="B87" t="s">
        <v>233</v>
      </c>
      <c r="C87" t="s">
        <v>599</v>
      </c>
      <c r="D87" s="20">
        <v>64</v>
      </c>
      <c r="G87" t="s">
        <v>762</v>
      </c>
      <c r="I87" s="32" t="str">
        <f>G87&amp;C87</f>
        <v>$(SYS):$(SUBSYS):$(DEV):EV_PDPPOLARITY_16</v>
      </c>
      <c r="J87" t="s">
        <v>778</v>
      </c>
    </row>
    <row r="88" spans="1:10" x14ac:dyDescent="0.3">
      <c r="A88">
        <v>87</v>
      </c>
      <c r="B88" t="s">
        <v>233</v>
      </c>
      <c r="C88" t="s">
        <v>600</v>
      </c>
      <c r="D88" s="20">
        <v>64</v>
      </c>
      <c r="G88" t="s">
        <v>762</v>
      </c>
      <c r="I88" s="32" t="str">
        <f>G88&amp;C88</f>
        <v>$(SYS):$(SUBSYS):$(DEV):EV_PDPPOLARITY_17</v>
      </c>
      <c r="J88" t="s">
        <v>778</v>
      </c>
    </row>
    <row r="89" spans="1:10" x14ac:dyDescent="0.3">
      <c r="A89">
        <v>88</v>
      </c>
      <c r="B89" t="s">
        <v>233</v>
      </c>
      <c r="C89" t="s">
        <v>601</v>
      </c>
      <c r="D89" s="20">
        <v>64</v>
      </c>
      <c r="G89" t="s">
        <v>762</v>
      </c>
      <c r="I89" s="32" t="str">
        <f>G89&amp;C89</f>
        <v>$(SYS):$(SUBSYS):$(DEV):EV_PDPPOLARITY_18</v>
      </c>
      <c r="J89" t="s">
        <v>778</v>
      </c>
    </row>
    <row r="90" spans="1:10" x14ac:dyDescent="0.3">
      <c r="A90">
        <v>89</v>
      </c>
      <c r="B90" t="s">
        <v>233</v>
      </c>
      <c r="C90" t="s">
        <v>602</v>
      </c>
      <c r="D90" s="20">
        <v>64</v>
      </c>
      <c r="G90" t="s">
        <v>762</v>
      </c>
      <c r="I90" s="32" t="str">
        <f>G90&amp;C90</f>
        <v>$(SYS):$(SUBSYS):$(DEV):EV_PDPPOLARITY_19</v>
      </c>
      <c r="J90" t="s">
        <v>778</v>
      </c>
    </row>
    <row r="91" spans="1:10" x14ac:dyDescent="0.3">
      <c r="A91">
        <v>90</v>
      </c>
      <c r="B91" t="s">
        <v>233</v>
      </c>
      <c r="C91" t="s">
        <v>603</v>
      </c>
      <c r="D91" s="20">
        <v>64</v>
      </c>
      <c r="G91" t="s">
        <v>762</v>
      </c>
      <c r="I91" s="32" t="str">
        <f>G91&amp;C91</f>
        <v>$(SYS):$(SUBSYS):$(DEV):EV_PDPPOLARITY_20</v>
      </c>
      <c r="J91" t="s">
        <v>778</v>
      </c>
    </row>
    <row r="92" spans="1:10" x14ac:dyDescent="0.3">
      <c r="A92">
        <v>91</v>
      </c>
      <c r="B92" t="s">
        <v>233</v>
      </c>
      <c r="C92" t="s">
        <v>604</v>
      </c>
      <c r="D92" s="20">
        <v>64</v>
      </c>
      <c r="G92" t="s">
        <v>762</v>
      </c>
      <c r="I92" s="32" t="str">
        <f>G92&amp;C92</f>
        <v>$(SYS):$(SUBSYS):$(DEV):EV_PDPPOLARITY_21</v>
      </c>
      <c r="J92" t="s">
        <v>778</v>
      </c>
    </row>
    <row r="93" spans="1:10" x14ac:dyDescent="0.3">
      <c r="A93">
        <v>92</v>
      </c>
      <c r="B93" t="s">
        <v>233</v>
      </c>
      <c r="C93" t="s">
        <v>605</v>
      </c>
      <c r="D93" s="20">
        <v>64</v>
      </c>
      <c r="G93" t="s">
        <v>762</v>
      </c>
      <c r="I93" s="32" t="str">
        <f>G93&amp;C93</f>
        <v>$(SYS):$(SUBSYS):$(DEV):EV_PDPPOLARITY_22</v>
      </c>
      <c r="J93" t="s">
        <v>778</v>
      </c>
    </row>
    <row r="94" spans="1:10" x14ac:dyDescent="0.3">
      <c r="A94">
        <v>93</v>
      </c>
      <c r="B94" t="s">
        <v>233</v>
      </c>
      <c r="C94" t="s">
        <v>606</v>
      </c>
      <c r="D94" s="20">
        <v>64</v>
      </c>
      <c r="G94" t="s">
        <v>762</v>
      </c>
      <c r="I94" s="32" t="str">
        <f>G94&amp;C94</f>
        <v>$(SYS):$(SUBSYS):$(DEV):EV_PDPPOLARITY_23</v>
      </c>
      <c r="J94" t="s">
        <v>778</v>
      </c>
    </row>
    <row r="95" spans="1:10" x14ac:dyDescent="0.3">
      <c r="A95">
        <v>94</v>
      </c>
      <c r="B95" t="s">
        <v>233</v>
      </c>
      <c r="C95" t="s">
        <v>607</v>
      </c>
      <c r="D95" s="20">
        <v>64</v>
      </c>
      <c r="G95" t="s">
        <v>762</v>
      </c>
      <c r="I95" s="32" t="str">
        <f>G95&amp;C95</f>
        <v>$(SYS):$(SUBSYS):$(DEV):EV_PDPPOLARITY_24</v>
      </c>
      <c r="J95" t="s">
        <v>778</v>
      </c>
    </row>
    <row r="96" spans="1:10" x14ac:dyDescent="0.3">
      <c r="A96">
        <v>95</v>
      </c>
      <c r="B96" t="s">
        <v>233</v>
      </c>
      <c r="C96" t="s">
        <v>608</v>
      </c>
      <c r="D96" s="20">
        <v>64</v>
      </c>
      <c r="G96" t="s">
        <v>762</v>
      </c>
      <c r="I96" s="32" t="str">
        <f>G96&amp;C96</f>
        <v>$(SYS):$(SUBSYS):$(DEV):EV_PDPPOLARITY_25</v>
      </c>
      <c r="J96" t="s">
        <v>778</v>
      </c>
    </row>
    <row r="97" spans="1:10" x14ac:dyDescent="0.3">
      <c r="A97">
        <v>96</v>
      </c>
      <c r="B97" t="s">
        <v>233</v>
      </c>
      <c r="C97" t="s">
        <v>609</v>
      </c>
      <c r="D97" s="20">
        <v>64</v>
      </c>
      <c r="G97" t="s">
        <v>762</v>
      </c>
      <c r="I97" s="32" t="str">
        <f>G97&amp;C97</f>
        <v>$(SYS):$(SUBSYS):$(DEV):EV_PDPPOLARITY_26</v>
      </c>
      <c r="J97" t="s">
        <v>778</v>
      </c>
    </row>
    <row r="98" spans="1:10" x14ac:dyDescent="0.3">
      <c r="A98">
        <v>97</v>
      </c>
      <c r="B98" t="s">
        <v>233</v>
      </c>
      <c r="C98" t="s">
        <v>610</v>
      </c>
      <c r="D98" s="20">
        <v>64</v>
      </c>
      <c r="G98" t="s">
        <v>762</v>
      </c>
      <c r="I98" s="32" t="str">
        <f>G98&amp;C98</f>
        <v>$(SYS):$(SUBSYS):$(DEV):EV_PDPPOLARITY_27</v>
      </c>
      <c r="J98" t="s">
        <v>778</v>
      </c>
    </row>
    <row r="99" spans="1:10" x14ac:dyDescent="0.3">
      <c r="A99">
        <v>98</v>
      </c>
      <c r="B99" t="s">
        <v>233</v>
      </c>
      <c r="C99" t="s">
        <v>611</v>
      </c>
      <c r="D99" s="20">
        <v>64</v>
      </c>
      <c r="G99" t="s">
        <v>762</v>
      </c>
      <c r="I99" s="32" t="str">
        <f>G99&amp;C99</f>
        <v>$(SYS):$(SUBSYS):$(DEV):EV_PDPPOLARITY_28</v>
      </c>
      <c r="J99" t="s">
        <v>778</v>
      </c>
    </row>
    <row r="100" spans="1:10" x14ac:dyDescent="0.3">
      <c r="A100">
        <v>99</v>
      </c>
      <c r="B100" t="s">
        <v>233</v>
      </c>
      <c r="C100" t="s">
        <v>612</v>
      </c>
      <c r="D100" s="20">
        <v>64</v>
      </c>
      <c r="G100" t="s">
        <v>762</v>
      </c>
      <c r="I100" s="32" t="str">
        <f>G100&amp;C100</f>
        <v>$(SYS):$(SUBSYS):$(DEV):EV_PDPPOLARITY_29</v>
      </c>
      <c r="J100" t="s">
        <v>778</v>
      </c>
    </row>
    <row r="101" spans="1:10" x14ac:dyDescent="0.3">
      <c r="A101">
        <v>100</v>
      </c>
      <c r="B101" t="s">
        <v>233</v>
      </c>
      <c r="C101" t="s">
        <v>613</v>
      </c>
      <c r="D101" s="20">
        <v>64</v>
      </c>
      <c r="G101" t="s">
        <v>762</v>
      </c>
      <c r="I101" s="32" t="str">
        <f>G101&amp;C101</f>
        <v>$(SYS):$(SUBSYS):$(DEV):EV_PDPPOLARITY_30</v>
      </c>
      <c r="J101" t="s">
        <v>778</v>
      </c>
    </row>
    <row r="102" spans="1:10" x14ac:dyDescent="0.3">
      <c r="A102">
        <v>101</v>
      </c>
      <c r="B102" t="s">
        <v>233</v>
      </c>
      <c r="C102" t="s">
        <v>614</v>
      </c>
      <c r="D102" s="20">
        <v>64</v>
      </c>
      <c r="G102" t="s">
        <v>762</v>
      </c>
      <c r="I102" s="32" t="str">
        <f>G102&amp;C102</f>
        <v>$(SYS):$(SUBSYS):$(DEV):EV_PDPPOLARITY_31</v>
      </c>
      <c r="J102" t="s">
        <v>784</v>
      </c>
    </row>
    <row r="103" spans="1:10" x14ac:dyDescent="0.3">
      <c r="A103">
        <v>102</v>
      </c>
      <c r="B103" t="s">
        <v>233</v>
      </c>
      <c r="C103" t="s">
        <v>615</v>
      </c>
      <c r="D103" s="20">
        <v>0</v>
      </c>
      <c r="G103" t="s">
        <v>762</v>
      </c>
      <c r="I103" t="str">
        <f>G103&amp;C103</f>
        <v>$(SYS):$(SUBSYS):$(DEV):SYS_BIST</v>
      </c>
    </row>
    <row r="104" spans="1:10" x14ac:dyDescent="0.3">
      <c r="A104">
        <v>103</v>
      </c>
      <c r="B104" t="s">
        <v>233</v>
      </c>
      <c r="C104" t="s">
        <v>616</v>
      </c>
      <c r="D104" s="20" t="str">
        <f>DEC2HEX(HEX2DEC(Table13[[#This Row],[Index]])/4+Table13[[#This Row],[SUB]],4)</f>
        <v>005B</v>
      </c>
      <c r="G104" t="s">
        <v>762</v>
      </c>
      <c r="I104" s="32" t="str">
        <f>G104&amp;C104</f>
        <v>$(SYS):$(SUBSYS):$(DEV):EV_PDPDELAY_0</v>
      </c>
      <c r="J104" t="s">
        <v>785</v>
      </c>
    </row>
    <row r="105" spans="1:10" x14ac:dyDescent="0.3">
      <c r="A105">
        <v>104</v>
      </c>
      <c r="B105" t="s">
        <v>233</v>
      </c>
      <c r="C105" t="s">
        <v>617</v>
      </c>
      <c r="D105" s="20" t="str">
        <f>DEC2HEX(HEX2DEC(Table13[[#This Row],[Index]])/4+Table13[[#This Row],[SUB]],4)</f>
        <v>005D</v>
      </c>
      <c r="G105" t="s">
        <v>762</v>
      </c>
      <c r="I105" s="32" t="str">
        <f>G105&amp;C105</f>
        <v>$(SYS):$(SUBSYS):$(DEV):EV_PDPDELAY_1</v>
      </c>
      <c r="J105" t="s">
        <v>785</v>
      </c>
    </row>
    <row r="106" spans="1:10" x14ac:dyDescent="0.3">
      <c r="A106">
        <v>105</v>
      </c>
      <c r="B106" t="s">
        <v>233</v>
      </c>
      <c r="C106" t="s">
        <v>618</v>
      </c>
      <c r="D106" s="20" t="str">
        <f>DEC2HEX(HEX2DEC(Table13[[#This Row],[Index]])/4+Table13[[#This Row],[SUB]],4)</f>
        <v>005E</v>
      </c>
      <c r="G106" t="s">
        <v>762</v>
      </c>
      <c r="I106" s="32" t="str">
        <f>G106&amp;C106</f>
        <v>$(SYS):$(SUBSYS):$(DEV):EV_PDPDELAY_2</v>
      </c>
      <c r="J106" t="s">
        <v>785</v>
      </c>
    </row>
    <row r="107" spans="1:10" x14ac:dyDescent="0.3">
      <c r="A107">
        <v>106</v>
      </c>
      <c r="B107" t="s">
        <v>233</v>
      </c>
      <c r="C107" t="s">
        <v>619</v>
      </c>
      <c r="D107" s="20" t="str">
        <f>DEC2HEX(HEX2DEC(Table13[[#This Row],[Index]])/4+Table13[[#This Row],[SUB]],4)</f>
        <v>0061</v>
      </c>
      <c r="G107" t="s">
        <v>762</v>
      </c>
      <c r="I107" s="32" t="str">
        <f>G107&amp;C107</f>
        <v>$(SYS):$(SUBSYS):$(DEV):EV_PDPDELAY_3</v>
      </c>
      <c r="J107" t="s">
        <v>785</v>
      </c>
    </row>
    <row r="108" spans="1:10" x14ac:dyDescent="0.3">
      <c r="A108">
        <v>107</v>
      </c>
      <c r="B108" t="s">
        <v>233</v>
      </c>
      <c r="C108" t="s">
        <v>620</v>
      </c>
      <c r="D108" s="20" t="str">
        <f>DEC2HEX(HEX2DEC(Table13[[#This Row],[Index]])/4+Table13[[#This Row],[SUB]],4)</f>
        <v>0062</v>
      </c>
      <c r="G108" t="s">
        <v>762</v>
      </c>
      <c r="I108" s="32" t="str">
        <f>G108&amp;C108</f>
        <v>$(SYS):$(SUBSYS):$(DEV):EV_PDPDELAY_4</v>
      </c>
      <c r="J108" t="s">
        <v>785</v>
      </c>
    </row>
    <row r="109" spans="1:10" x14ac:dyDescent="0.3">
      <c r="A109">
        <v>108</v>
      </c>
      <c r="B109" t="s">
        <v>233</v>
      </c>
      <c r="C109" t="s">
        <v>621</v>
      </c>
      <c r="D109" s="20" t="str">
        <f>DEC2HEX(HEX2DEC(Table13[[#This Row],[Index]])/4+Table13[[#This Row],[SUB]],4)</f>
        <v>0063</v>
      </c>
      <c r="G109" t="s">
        <v>762</v>
      </c>
      <c r="I109" s="32" t="str">
        <f>G109&amp;C109</f>
        <v>$(SYS):$(SUBSYS):$(DEV):EV_PDPDELAY_5</v>
      </c>
      <c r="J109" t="s">
        <v>785</v>
      </c>
    </row>
    <row r="110" spans="1:10" x14ac:dyDescent="0.3">
      <c r="A110">
        <v>109</v>
      </c>
      <c r="B110" t="s">
        <v>233</v>
      </c>
      <c r="C110" t="s">
        <v>622</v>
      </c>
      <c r="D110" s="20" t="str">
        <f>DEC2HEX(HEX2DEC(Table13[[#This Row],[Index]])/4+Table13[[#This Row],[SUB]],4)</f>
        <v>0064</v>
      </c>
      <c r="G110" t="s">
        <v>762</v>
      </c>
      <c r="I110" s="32" t="str">
        <f>G110&amp;C110</f>
        <v>$(SYS):$(SUBSYS):$(DEV):EV_PDPDELAY_6</v>
      </c>
      <c r="J110" t="s">
        <v>785</v>
      </c>
    </row>
    <row r="111" spans="1:10" x14ac:dyDescent="0.3">
      <c r="A111">
        <v>110</v>
      </c>
      <c r="B111" t="s">
        <v>233</v>
      </c>
      <c r="C111" t="s">
        <v>623</v>
      </c>
      <c r="D111" s="20" t="str">
        <f>DEC2HEX(HEX2DEC(Table13[[#This Row],[Index]])/4+Table13[[#This Row],[SUB]],4)</f>
        <v>0066</v>
      </c>
      <c r="G111" t="s">
        <v>762</v>
      </c>
      <c r="I111" s="32" t="str">
        <f>G111&amp;C111</f>
        <v>$(SYS):$(SUBSYS):$(DEV):EV_PDPDELAY_7</v>
      </c>
      <c r="J111" t="s">
        <v>785</v>
      </c>
    </row>
    <row r="112" spans="1:10" x14ac:dyDescent="0.3">
      <c r="A112">
        <v>111</v>
      </c>
      <c r="B112" t="s">
        <v>233</v>
      </c>
      <c r="C112" t="s">
        <v>624</v>
      </c>
      <c r="D112" s="20" t="str">
        <f>DEC2HEX(HEX2DEC(Table13[[#This Row],[Index]])/4+Table13[[#This Row],[SUB]],4)</f>
        <v>0067</v>
      </c>
      <c r="G112" t="s">
        <v>762</v>
      </c>
      <c r="I112" s="32" t="str">
        <f>G112&amp;C112</f>
        <v>$(SYS):$(SUBSYS):$(DEV):EV_PDPDELAY_8</v>
      </c>
      <c r="J112" t="s">
        <v>785</v>
      </c>
    </row>
    <row r="113" spans="1:10" x14ac:dyDescent="0.3">
      <c r="A113">
        <v>112</v>
      </c>
      <c r="B113" t="s">
        <v>233</v>
      </c>
      <c r="C113" t="s">
        <v>625</v>
      </c>
      <c r="D113" s="20" t="str">
        <f>DEC2HEX(HEX2DEC(Table13[[#This Row],[Index]])/4+Table13[[#This Row],[SUB]],4)</f>
        <v>0068</v>
      </c>
      <c r="G113" t="s">
        <v>762</v>
      </c>
      <c r="I113" s="32" t="str">
        <f>G113&amp;C113</f>
        <v>$(SYS):$(SUBSYS):$(DEV):EV_PDPDELAY_9</v>
      </c>
      <c r="J113" t="s">
        <v>785</v>
      </c>
    </row>
    <row r="114" spans="1:10" x14ac:dyDescent="0.3">
      <c r="A114">
        <v>113</v>
      </c>
      <c r="B114" t="s">
        <v>233</v>
      </c>
      <c r="C114" t="s">
        <v>626</v>
      </c>
      <c r="D114" s="20" t="str">
        <f>DEC2HEX(HEX2DEC(Table13[[#This Row],[Index]])/4+Table13[[#This Row],[SUB]],4)</f>
        <v>0069</v>
      </c>
      <c r="G114" t="s">
        <v>762</v>
      </c>
      <c r="I114" s="32" t="str">
        <f>G114&amp;C114</f>
        <v>$(SYS):$(SUBSYS):$(DEV):EV_PDPDELAY_10</v>
      </c>
      <c r="J114" t="s">
        <v>785</v>
      </c>
    </row>
    <row r="115" spans="1:10" x14ac:dyDescent="0.3">
      <c r="A115">
        <v>114</v>
      </c>
      <c r="B115" t="s">
        <v>233</v>
      </c>
      <c r="C115" t="s">
        <v>627</v>
      </c>
      <c r="D115" s="20" t="str">
        <f>DEC2HEX(HEX2DEC(Table13[[#This Row],[Index]])/4+Table13[[#This Row],[SUB]],4)</f>
        <v>006B</v>
      </c>
      <c r="G115" t="s">
        <v>762</v>
      </c>
      <c r="I115" s="32" t="str">
        <f>G115&amp;C115</f>
        <v>$(SYS):$(SUBSYS):$(DEV):EV_PDPDELAY_11</v>
      </c>
      <c r="J115" t="s">
        <v>785</v>
      </c>
    </row>
    <row r="116" spans="1:10" x14ac:dyDescent="0.3">
      <c r="A116">
        <v>115</v>
      </c>
      <c r="B116" t="s">
        <v>233</v>
      </c>
      <c r="C116" t="s">
        <v>628</v>
      </c>
      <c r="D116" s="20" t="str">
        <f>DEC2HEX(HEX2DEC(Table13[[#This Row],[Index]])/4+Table13[[#This Row],[SUB]],4)</f>
        <v>006C</v>
      </c>
      <c r="G116" t="s">
        <v>762</v>
      </c>
      <c r="I116" s="32" t="str">
        <f>G116&amp;C116</f>
        <v>$(SYS):$(SUBSYS):$(DEV):EV_PDPDELAY_12</v>
      </c>
      <c r="J116" t="s">
        <v>785</v>
      </c>
    </row>
    <row r="117" spans="1:10" x14ac:dyDescent="0.3">
      <c r="A117">
        <v>116</v>
      </c>
      <c r="B117" t="s">
        <v>233</v>
      </c>
      <c r="C117" t="s">
        <v>629</v>
      </c>
      <c r="D117" s="20" t="str">
        <f>DEC2HEX(HEX2DEC(Table13[[#This Row],[Index]])/4+Table13[[#This Row],[SUB]],4)</f>
        <v>006F</v>
      </c>
      <c r="G117" t="s">
        <v>762</v>
      </c>
      <c r="I117" s="32" t="str">
        <f>G117&amp;C117</f>
        <v>$(SYS):$(SUBSYS):$(DEV):EV_PDPDELAY_13</v>
      </c>
      <c r="J117" t="s">
        <v>785</v>
      </c>
    </row>
    <row r="118" spans="1:10" x14ac:dyDescent="0.3">
      <c r="A118">
        <v>117</v>
      </c>
      <c r="B118" t="s">
        <v>233</v>
      </c>
      <c r="C118" t="s">
        <v>630</v>
      </c>
      <c r="D118" s="20" t="str">
        <f>DEC2HEX(HEX2DEC(Table13[[#This Row],[Index]])/4+Table13[[#This Row],[SUB]],4)</f>
        <v>0070</v>
      </c>
      <c r="G118" t="s">
        <v>762</v>
      </c>
      <c r="I118" s="32" t="str">
        <f>G118&amp;C118</f>
        <v>$(SYS):$(SUBSYS):$(DEV):EV_PDPDELAY_14</v>
      </c>
      <c r="J118" t="s">
        <v>785</v>
      </c>
    </row>
    <row r="119" spans="1:10" x14ac:dyDescent="0.3">
      <c r="A119">
        <v>118</v>
      </c>
      <c r="B119" t="s">
        <v>233</v>
      </c>
      <c r="C119" t="s">
        <v>631</v>
      </c>
      <c r="D119" s="20" t="str">
        <f>DEC2HEX(HEX2DEC(Table13[[#This Row],[Index]])/4+Table13[[#This Row],[SUB]],4)</f>
        <v>0071</v>
      </c>
      <c r="G119" t="s">
        <v>762</v>
      </c>
      <c r="I119" s="32" t="str">
        <f>G119&amp;C119</f>
        <v>$(SYS):$(SUBSYS):$(DEV):EV_PDPDELAY_15</v>
      </c>
      <c r="J119" t="s">
        <v>785</v>
      </c>
    </row>
    <row r="120" spans="1:10" x14ac:dyDescent="0.3">
      <c r="A120">
        <v>119</v>
      </c>
      <c r="B120" t="s">
        <v>233</v>
      </c>
      <c r="C120" t="s">
        <v>632</v>
      </c>
      <c r="D120" s="20" t="str">
        <f>DEC2HEX(HEX2DEC(Table13[[#This Row],[Index]])/4+Table13[[#This Row],[SUB]],4)</f>
        <v>0072</v>
      </c>
      <c r="G120" t="s">
        <v>762</v>
      </c>
      <c r="I120" s="32" t="str">
        <f>G120&amp;C120</f>
        <v>$(SYS):$(SUBSYS):$(DEV):EV_PDPDELAY_16</v>
      </c>
      <c r="J120" t="s">
        <v>785</v>
      </c>
    </row>
    <row r="121" spans="1:10" x14ac:dyDescent="0.3">
      <c r="A121">
        <v>120</v>
      </c>
      <c r="B121" t="s">
        <v>233</v>
      </c>
      <c r="C121" t="s">
        <v>633</v>
      </c>
      <c r="D121" s="20" t="str">
        <f>DEC2HEX(HEX2DEC(Table13[[#This Row],[Index]])/4+Table13[[#This Row],[SUB]],4)</f>
        <v>0074</v>
      </c>
      <c r="G121" t="s">
        <v>762</v>
      </c>
      <c r="I121" s="32" t="str">
        <f>G121&amp;C121</f>
        <v>$(SYS):$(SUBSYS):$(DEV):EV_PDPDELAY_17</v>
      </c>
      <c r="J121" t="s">
        <v>785</v>
      </c>
    </row>
    <row r="122" spans="1:10" x14ac:dyDescent="0.3">
      <c r="A122">
        <v>121</v>
      </c>
      <c r="B122" t="s">
        <v>233</v>
      </c>
      <c r="C122" t="s">
        <v>634</v>
      </c>
      <c r="D122" s="20" t="str">
        <f>DEC2HEX(HEX2DEC(Table13[[#This Row],[Index]])/4+Table13[[#This Row],[SUB]],4)</f>
        <v>0075</v>
      </c>
      <c r="G122" t="s">
        <v>762</v>
      </c>
      <c r="I122" s="32" t="str">
        <f>G122&amp;C122</f>
        <v>$(SYS):$(SUBSYS):$(DEV):EV_PDPDELAY_18</v>
      </c>
      <c r="J122" t="s">
        <v>785</v>
      </c>
    </row>
    <row r="123" spans="1:10" x14ac:dyDescent="0.3">
      <c r="A123">
        <v>122</v>
      </c>
      <c r="B123" t="s">
        <v>233</v>
      </c>
      <c r="C123" t="s">
        <v>635</v>
      </c>
      <c r="D123" s="20" t="str">
        <f>DEC2HEX(HEX2DEC(Table13[[#This Row],[Index]])/4+Table13[[#This Row],[SUB]],4)</f>
        <v>0076</v>
      </c>
      <c r="G123" t="s">
        <v>762</v>
      </c>
      <c r="I123" s="32" t="str">
        <f>G123&amp;C123</f>
        <v>$(SYS):$(SUBSYS):$(DEV):EV_PDPDELAY_19</v>
      </c>
      <c r="J123" t="s">
        <v>785</v>
      </c>
    </row>
    <row r="124" spans="1:10" x14ac:dyDescent="0.3">
      <c r="A124">
        <v>123</v>
      </c>
      <c r="B124" t="s">
        <v>233</v>
      </c>
      <c r="C124" t="s">
        <v>636</v>
      </c>
      <c r="D124" s="20" t="str">
        <f>DEC2HEX(HEX2DEC(Table13[[#This Row],[Index]])/4+Table13[[#This Row],[SUB]],4)</f>
        <v>0077</v>
      </c>
      <c r="G124" t="s">
        <v>762</v>
      </c>
      <c r="I124" s="32" t="str">
        <f>G124&amp;C124</f>
        <v>$(SYS):$(SUBSYS):$(DEV):EV_PDPDELAY_20</v>
      </c>
      <c r="J124" t="s">
        <v>785</v>
      </c>
    </row>
    <row r="125" spans="1:10" x14ac:dyDescent="0.3">
      <c r="A125">
        <v>124</v>
      </c>
      <c r="B125" t="s">
        <v>233</v>
      </c>
      <c r="C125" t="s">
        <v>637</v>
      </c>
      <c r="D125" s="20" t="str">
        <f>DEC2HEX(HEX2DEC(Table13[[#This Row],[Index]])/4+Table13[[#This Row],[SUB]],4)</f>
        <v>0079</v>
      </c>
      <c r="G125" t="s">
        <v>762</v>
      </c>
      <c r="I125" s="32" t="str">
        <f>G125&amp;C125</f>
        <v>$(SYS):$(SUBSYS):$(DEV):EV_PDPDELAY_21</v>
      </c>
      <c r="J125" t="s">
        <v>785</v>
      </c>
    </row>
    <row r="126" spans="1:10" x14ac:dyDescent="0.3">
      <c r="A126">
        <v>125</v>
      </c>
      <c r="B126" t="s">
        <v>233</v>
      </c>
      <c r="C126" t="s">
        <v>638</v>
      </c>
      <c r="D126" s="20" t="str">
        <f>DEC2HEX(HEX2DEC(Table13[[#This Row],[Index]])/4+Table13[[#This Row],[SUB]],4)</f>
        <v>007A</v>
      </c>
      <c r="G126" t="s">
        <v>762</v>
      </c>
      <c r="I126" s="32" t="str">
        <f>G126&amp;C126</f>
        <v>$(SYS):$(SUBSYS):$(DEV):EV_PDPDELAY_22</v>
      </c>
      <c r="J126" t="s">
        <v>785</v>
      </c>
    </row>
    <row r="127" spans="1:10" x14ac:dyDescent="0.3">
      <c r="A127">
        <v>126</v>
      </c>
      <c r="B127" t="s">
        <v>233</v>
      </c>
      <c r="C127" t="s">
        <v>639</v>
      </c>
      <c r="D127" s="20" t="str">
        <f>DEC2HEX(HEX2DEC(Table13[[#This Row],[Index]])/4+Table13[[#This Row],[SUB]],4)</f>
        <v>007D</v>
      </c>
      <c r="G127" t="s">
        <v>762</v>
      </c>
      <c r="I127" s="32" t="str">
        <f>G127&amp;C127</f>
        <v>$(SYS):$(SUBSYS):$(DEV):EV_PDPDELAY_23</v>
      </c>
      <c r="J127" t="s">
        <v>785</v>
      </c>
    </row>
    <row r="128" spans="1:10" x14ac:dyDescent="0.3">
      <c r="A128">
        <v>127</v>
      </c>
      <c r="B128" t="s">
        <v>233</v>
      </c>
      <c r="C128" t="s">
        <v>640</v>
      </c>
      <c r="D128" s="20" t="str">
        <f>DEC2HEX(HEX2DEC(Table13[[#This Row],[Index]])/4+Table13[[#This Row],[SUB]],4)</f>
        <v>007E</v>
      </c>
      <c r="G128" t="s">
        <v>762</v>
      </c>
      <c r="I128" s="32" t="str">
        <f>G128&amp;C128</f>
        <v>$(SYS):$(SUBSYS):$(DEV):EV_PDPDELAY_24</v>
      </c>
      <c r="J128" t="s">
        <v>785</v>
      </c>
    </row>
    <row r="129" spans="1:10" x14ac:dyDescent="0.3">
      <c r="A129">
        <v>128</v>
      </c>
      <c r="B129" t="s">
        <v>233</v>
      </c>
      <c r="C129" t="s">
        <v>641</v>
      </c>
      <c r="D129" s="20" t="str">
        <f>DEC2HEX(HEX2DEC(Table13[[#This Row],[Index]])/4+Table13[[#This Row],[SUB]],4)</f>
        <v>007F</v>
      </c>
      <c r="G129" t="s">
        <v>762</v>
      </c>
      <c r="I129" s="32" t="str">
        <f>G129&amp;C129</f>
        <v>$(SYS):$(SUBSYS):$(DEV):EV_PDPDELAY_25</v>
      </c>
      <c r="J129" t="s">
        <v>785</v>
      </c>
    </row>
    <row r="130" spans="1:10" x14ac:dyDescent="0.3">
      <c r="A130">
        <v>129</v>
      </c>
      <c r="B130" t="s">
        <v>233</v>
      </c>
      <c r="C130" t="s">
        <v>642</v>
      </c>
      <c r="D130" s="20" t="str">
        <f>DEC2HEX(HEX2DEC(Table13[[#This Row],[Index]])/4+Table13[[#This Row],[SUB]],4)</f>
        <v>0060</v>
      </c>
      <c r="G130" t="s">
        <v>762</v>
      </c>
      <c r="I130" s="32" t="str">
        <f>G130&amp;C130</f>
        <v>$(SYS):$(SUBSYS):$(DEV):EV_PDPDELAY_26</v>
      </c>
      <c r="J130" t="s">
        <v>785</v>
      </c>
    </row>
    <row r="131" spans="1:10" x14ac:dyDescent="0.3">
      <c r="A131">
        <v>130</v>
      </c>
      <c r="B131" t="s">
        <v>233</v>
      </c>
      <c r="C131" t="s">
        <v>643</v>
      </c>
      <c r="D131" s="20" t="str">
        <f>DEC2HEX(HEX2DEC(Table13[[#This Row],[Index]])/4+Table13[[#This Row],[SUB]],4)</f>
        <v>0061</v>
      </c>
      <c r="G131" t="s">
        <v>762</v>
      </c>
      <c r="I131" s="32" t="str">
        <f>G131&amp;C131</f>
        <v>$(SYS):$(SUBSYS):$(DEV):EV_PDPDELAY_27</v>
      </c>
      <c r="J131" t="s">
        <v>785</v>
      </c>
    </row>
    <row r="132" spans="1:10" x14ac:dyDescent="0.3">
      <c r="A132">
        <v>131</v>
      </c>
      <c r="B132" t="s">
        <v>233</v>
      </c>
      <c r="C132" t="s">
        <v>644</v>
      </c>
      <c r="D132" s="20" t="str">
        <f>DEC2HEX(HEX2DEC(Table13[[#This Row],[Index]])/4+Table13[[#This Row],[SUB]],4)</f>
        <v>0061</v>
      </c>
      <c r="G132" t="s">
        <v>762</v>
      </c>
      <c r="I132" s="32" t="str">
        <f>G132&amp;C132</f>
        <v>$(SYS):$(SUBSYS):$(DEV):EV_PDPDELAY_28</v>
      </c>
      <c r="J132" t="s">
        <v>785</v>
      </c>
    </row>
    <row r="133" spans="1:10" x14ac:dyDescent="0.3">
      <c r="A133">
        <v>132</v>
      </c>
      <c r="B133" t="s">
        <v>233</v>
      </c>
      <c r="C133" t="s">
        <v>645</v>
      </c>
      <c r="D133" s="20" t="str">
        <f>DEC2HEX(HEX2DEC(Table13[[#This Row],[Index]])/4+Table13[[#This Row],[SUB]],4)</f>
        <v>3100</v>
      </c>
      <c r="G133" t="s">
        <v>762</v>
      </c>
      <c r="I133" s="32" t="str">
        <f>G133&amp;C133</f>
        <v>$(SYS):$(SUBSYS):$(DEV):EV_PDPDELAY_29</v>
      </c>
      <c r="J133" t="s">
        <v>785</v>
      </c>
    </row>
    <row r="134" spans="1:10" x14ac:dyDescent="0.3">
      <c r="A134">
        <v>133</v>
      </c>
      <c r="B134" t="s">
        <v>233</v>
      </c>
      <c r="C134" t="s">
        <v>646</v>
      </c>
      <c r="D134" s="20" t="str">
        <f>DEC2HEX(HEX2DEC(Table13[[#This Row],[Index]])/4+Table13[[#This Row],[SUB]],4)</f>
        <v>3101</v>
      </c>
      <c r="G134" t="s">
        <v>762</v>
      </c>
      <c r="I134" s="32" t="str">
        <f>G134&amp;C134</f>
        <v>$(SYS):$(SUBSYS):$(DEV):EV_PDPDELAY_30</v>
      </c>
      <c r="J134" t="s">
        <v>785</v>
      </c>
    </row>
    <row r="135" spans="1:10" x14ac:dyDescent="0.3">
      <c r="A135">
        <v>134</v>
      </c>
      <c r="B135" t="s">
        <v>233</v>
      </c>
      <c r="C135" t="s">
        <v>647</v>
      </c>
      <c r="D135" s="20" t="str">
        <f>DEC2HEX(HEX2DEC(Table13[[#This Row],[Index]])/4+Table13[[#This Row],[SUB]],4)</f>
        <v>3102</v>
      </c>
      <c r="G135" t="s">
        <v>762</v>
      </c>
      <c r="I135" s="32" t="str">
        <f>G135&amp;C135</f>
        <v>$(SYS):$(SUBSYS):$(DEV):EV_PDPDELAY_31</v>
      </c>
      <c r="J135" t="s">
        <v>785</v>
      </c>
    </row>
    <row r="136" spans="1:10" x14ac:dyDescent="0.3">
      <c r="A136">
        <v>135</v>
      </c>
      <c r="B136" t="s">
        <v>233</v>
      </c>
      <c r="C136" t="s">
        <v>648</v>
      </c>
      <c r="D136" s="20" t="str">
        <f>DEC2HEX(HEX2DEC(Table13[[#This Row],[Index]])/4+Table13[[#This Row],[SUB]],4)</f>
        <v>3103</v>
      </c>
      <c r="G136" t="s">
        <v>762</v>
      </c>
      <c r="I136" s="32" t="str">
        <f>G136&amp;C136</f>
        <v>$(SYS):$(SUBSYS):$(DEV):EV_PDPWIDTH_0</v>
      </c>
      <c r="J136" t="s">
        <v>785</v>
      </c>
    </row>
    <row r="137" spans="1:10" x14ac:dyDescent="0.3">
      <c r="A137">
        <v>136</v>
      </c>
      <c r="B137" t="s">
        <v>233</v>
      </c>
      <c r="C137" t="s">
        <v>649</v>
      </c>
      <c r="D137" s="20" t="s">
        <v>419</v>
      </c>
      <c r="G137" t="s">
        <v>762</v>
      </c>
      <c r="I137" s="32" t="str">
        <f>G137&amp;C137</f>
        <v>$(SYS):$(SUBSYS):$(DEV):EV_PDPWIDTH_1</v>
      </c>
      <c r="J137" t="s">
        <v>785</v>
      </c>
    </row>
    <row r="138" spans="1:10" x14ac:dyDescent="0.3">
      <c r="A138">
        <v>137</v>
      </c>
      <c r="B138" t="s">
        <v>233</v>
      </c>
      <c r="C138" t="s">
        <v>650</v>
      </c>
      <c r="D138" s="20" t="s">
        <v>420</v>
      </c>
      <c r="G138" t="s">
        <v>762</v>
      </c>
      <c r="I138" s="32" t="str">
        <f>G138&amp;C138</f>
        <v>$(SYS):$(SUBSYS):$(DEV):EV_PDPWIDTH_2</v>
      </c>
      <c r="J138" t="s">
        <v>785</v>
      </c>
    </row>
    <row r="139" spans="1:10" x14ac:dyDescent="0.3">
      <c r="A139">
        <v>138</v>
      </c>
      <c r="B139" t="s">
        <v>233</v>
      </c>
      <c r="C139" t="s">
        <v>651</v>
      </c>
      <c r="D139" s="20" t="s">
        <v>421</v>
      </c>
      <c r="G139" t="s">
        <v>762</v>
      </c>
      <c r="I139" s="32" t="str">
        <f>G139&amp;C139</f>
        <v>$(SYS):$(SUBSYS):$(DEV):EV_PDPWIDTH_3</v>
      </c>
      <c r="J139" t="s">
        <v>785</v>
      </c>
    </row>
    <row r="140" spans="1:10" x14ac:dyDescent="0.3">
      <c r="A140">
        <v>139</v>
      </c>
      <c r="B140" t="s">
        <v>233</v>
      </c>
      <c r="C140" t="s">
        <v>652</v>
      </c>
      <c r="D140" s="20" t="s">
        <v>422</v>
      </c>
      <c r="G140" t="s">
        <v>762</v>
      </c>
      <c r="I140" s="32" t="str">
        <f>G140&amp;C140</f>
        <v>$(SYS):$(SUBSYS):$(DEV):EV_PDPWIDTH_4</v>
      </c>
      <c r="J140" t="s">
        <v>785</v>
      </c>
    </row>
    <row r="141" spans="1:10" x14ac:dyDescent="0.3">
      <c r="A141">
        <v>140</v>
      </c>
      <c r="B141" t="s">
        <v>233</v>
      </c>
      <c r="C141" t="s">
        <v>653</v>
      </c>
      <c r="D141" s="20" t="s">
        <v>423</v>
      </c>
      <c r="G141" t="s">
        <v>762</v>
      </c>
      <c r="I141" s="32" t="str">
        <f>G141&amp;C141</f>
        <v>$(SYS):$(SUBSYS):$(DEV):EV_PDPWIDTH_5</v>
      </c>
      <c r="J141" t="s">
        <v>785</v>
      </c>
    </row>
    <row r="142" spans="1:10" x14ac:dyDescent="0.3">
      <c r="A142">
        <v>141</v>
      </c>
      <c r="B142" t="s">
        <v>233</v>
      </c>
      <c r="C142" t="s">
        <v>654</v>
      </c>
      <c r="D142" s="20" t="s">
        <v>424</v>
      </c>
      <c r="G142" t="s">
        <v>762</v>
      </c>
      <c r="I142" s="32" t="str">
        <f>G142&amp;C142</f>
        <v>$(SYS):$(SUBSYS):$(DEV):EV_PDPWIDTH_6</v>
      </c>
      <c r="J142" t="s">
        <v>785</v>
      </c>
    </row>
    <row r="143" spans="1:10" x14ac:dyDescent="0.3">
      <c r="A143">
        <v>142</v>
      </c>
      <c r="B143" t="s">
        <v>233</v>
      </c>
      <c r="C143" t="s">
        <v>655</v>
      </c>
      <c r="D143" s="20" t="s">
        <v>425</v>
      </c>
      <c r="G143" t="s">
        <v>762</v>
      </c>
      <c r="I143" s="32" t="str">
        <f>G143&amp;C143</f>
        <v>$(SYS):$(SUBSYS):$(DEV):EV_PDPWIDTH_7</v>
      </c>
      <c r="J143" t="s">
        <v>785</v>
      </c>
    </row>
    <row r="144" spans="1:10" x14ac:dyDescent="0.3">
      <c r="A144">
        <v>143</v>
      </c>
      <c r="B144" t="s">
        <v>233</v>
      </c>
      <c r="C144" t="s">
        <v>656</v>
      </c>
      <c r="D144" s="20" t="s">
        <v>426</v>
      </c>
      <c r="G144" t="s">
        <v>762</v>
      </c>
      <c r="I144" s="32" t="str">
        <f>G144&amp;C144</f>
        <v>$(SYS):$(SUBSYS):$(DEV):EV_PDPWIDTH_8</v>
      </c>
      <c r="J144" t="s">
        <v>785</v>
      </c>
    </row>
    <row r="145" spans="1:10" x14ac:dyDescent="0.3">
      <c r="A145">
        <v>144</v>
      </c>
      <c r="B145" t="s">
        <v>233</v>
      </c>
      <c r="C145" t="s">
        <v>657</v>
      </c>
      <c r="D145" s="20" t="s">
        <v>427</v>
      </c>
      <c r="G145" t="s">
        <v>762</v>
      </c>
      <c r="I145" s="32" t="str">
        <f>G145&amp;C145</f>
        <v>$(SYS):$(SUBSYS):$(DEV):EV_PDPWIDTH_9</v>
      </c>
      <c r="J145" t="s">
        <v>785</v>
      </c>
    </row>
    <row r="146" spans="1:10" x14ac:dyDescent="0.3">
      <c r="A146">
        <v>145</v>
      </c>
      <c r="B146" t="s">
        <v>233</v>
      </c>
      <c r="C146" t="s">
        <v>658</v>
      </c>
      <c r="D146" s="20" t="s">
        <v>428</v>
      </c>
      <c r="G146" t="s">
        <v>762</v>
      </c>
      <c r="I146" s="32" t="str">
        <f>G146&amp;C146</f>
        <v>$(SYS):$(SUBSYS):$(DEV):EV_PDPWIDTH_10</v>
      </c>
      <c r="J146" t="s">
        <v>785</v>
      </c>
    </row>
    <row r="147" spans="1:10" x14ac:dyDescent="0.3">
      <c r="A147">
        <v>146</v>
      </c>
      <c r="B147" t="s">
        <v>233</v>
      </c>
      <c r="C147" t="s">
        <v>659</v>
      </c>
      <c r="D147" s="20" t="s">
        <v>429</v>
      </c>
      <c r="G147" t="s">
        <v>762</v>
      </c>
      <c r="I147" s="32" t="str">
        <f>G147&amp;C147</f>
        <v>$(SYS):$(SUBSYS):$(DEV):EV_PDPWIDTH_11</v>
      </c>
      <c r="J147" t="s">
        <v>785</v>
      </c>
    </row>
    <row r="148" spans="1:10" x14ac:dyDescent="0.3">
      <c r="A148">
        <v>147</v>
      </c>
      <c r="B148" t="s">
        <v>233</v>
      </c>
      <c r="C148" t="s">
        <v>660</v>
      </c>
      <c r="D148" s="20" t="s">
        <v>430</v>
      </c>
      <c r="G148" t="s">
        <v>762</v>
      </c>
      <c r="I148" s="32" t="str">
        <f>G148&amp;C148</f>
        <v>$(SYS):$(SUBSYS):$(DEV):EV_PDPWIDTH_12</v>
      </c>
      <c r="J148" t="s">
        <v>785</v>
      </c>
    </row>
    <row r="149" spans="1:10" x14ac:dyDescent="0.3">
      <c r="A149">
        <v>148</v>
      </c>
      <c r="B149" t="s">
        <v>233</v>
      </c>
      <c r="C149" t="s">
        <v>661</v>
      </c>
      <c r="D149" s="20" t="s">
        <v>431</v>
      </c>
      <c r="G149" t="s">
        <v>762</v>
      </c>
      <c r="I149" s="32" t="str">
        <f>G149&amp;C149</f>
        <v>$(SYS):$(SUBSYS):$(DEV):EV_PDPWIDTH_13</v>
      </c>
      <c r="J149" t="s">
        <v>785</v>
      </c>
    </row>
    <row r="150" spans="1:10" x14ac:dyDescent="0.3">
      <c r="A150">
        <v>149</v>
      </c>
      <c r="B150" t="s">
        <v>233</v>
      </c>
      <c r="C150" t="s">
        <v>662</v>
      </c>
      <c r="D150" s="20" t="s">
        <v>432</v>
      </c>
      <c r="G150" t="s">
        <v>762</v>
      </c>
      <c r="I150" s="32" t="str">
        <f>G150&amp;C150</f>
        <v>$(SYS):$(SUBSYS):$(DEV):EV_PDPWIDTH_14</v>
      </c>
      <c r="J150" t="s">
        <v>785</v>
      </c>
    </row>
    <row r="151" spans="1:10" x14ac:dyDescent="0.3">
      <c r="A151">
        <v>150</v>
      </c>
      <c r="B151" t="s">
        <v>233</v>
      </c>
      <c r="C151" t="s">
        <v>663</v>
      </c>
      <c r="D151" s="20" t="s">
        <v>433</v>
      </c>
      <c r="G151" t="s">
        <v>762</v>
      </c>
      <c r="I151" s="32" t="str">
        <f>G151&amp;C151</f>
        <v>$(SYS):$(SUBSYS):$(DEV):EV_PDPWIDTH_15</v>
      </c>
      <c r="J151" t="s">
        <v>785</v>
      </c>
    </row>
    <row r="152" spans="1:10" x14ac:dyDescent="0.3">
      <c r="A152">
        <v>151</v>
      </c>
      <c r="B152" t="s">
        <v>233</v>
      </c>
      <c r="C152" t="s">
        <v>664</v>
      </c>
      <c r="D152" s="20" t="s">
        <v>434</v>
      </c>
      <c r="G152" t="s">
        <v>762</v>
      </c>
      <c r="I152" s="32" t="str">
        <f>G152&amp;C152</f>
        <v>$(SYS):$(SUBSYS):$(DEV):EV_PDPWIDTH_16</v>
      </c>
      <c r="J152" t="s">
        <v>785</v>
      </c>
    </row>
    <row r="153" spans="1:10" x14ac:dyDescent="0.3">
      <c r="A153">
        <v>152</v>
      </c>
      <c r="B153" t="s">
        <v>233</v>
      </c>
      <c r="C153" t="s">
        <v>665</v>
      </c>
      <c r="D153" s="20" t="s">
        <v>435</v>
      </c>
      <c r="G153" t="s">
        <v>762</v>
      </c>
      <c r="I153" s="32" t="str">
        <f>G153&amp;C153</f>
        <v>$(SYS):$(SUBSYS):$(DEV):EV_PDPWIDTH_17</v>
      </c>
      <c r="J153" t="s">
        <v>785</v>
      </c>
    </row>
    <row r="154" spans="1:10" x14ac:dyDescent="0.3">
      <c r="A154">
        <v>153</v>
      </c>
      <c r="B154" t="s">
        <v>233</v>
      </c>
      <c r="C154" t="s">
        <v>666</v>
      </c>
      <c r="D154" s="20" t="s">
        <v>436</v>
      </c>
      <c r="G154" t="s">
        <v>762</v>
      </c>
      <c r="I154" s="32" t="str">
        <f>G154&amp;C154</f>
        <v>$(SYS):$(SUBSYS):$(DEV):EV_PDPWIDTH_18</v>
      </c>
      <c r="J154" t="s">
        <v>785</v>
      </c>
    </row>
    <row r="155" spans="1:10" x14ac:dyDescent="0.3">
      <c r="A155">
        <v>154</v>
      </c>
      <c r="B155" t="s">
        <v>233</v>
      </c>
      <c r="C155" t="s">
        <v>667</v>
      </c>
      <c r="D155" s="20" t="s">
        <v>437</v>
      </c>
      <c r="G155" t="s">
        <v>762</v>
      </c>
      <c r="I155" s="32" t="str">
        <f>G155&amp;C155</f>
        <v>$(SYS):$(SUBSYS):$(DEV):EV_PDPWIDTH_19</v>
      </c>
      <c r="J155" t="s">
        <v>785</v>
      </c>
    </row>
    <row r="156" spans="1:10" x14ac:dyDescent="0.3">
      <c r="A156">
        <v>155</v>
      </c>
      <c r="B156" t="s">
        <v>233</v>
      </c>
      <c r="C156" t="s">
        <v>668</v>
      </c>
      <c r="D156" s="20" t="s">
        <v>438</v>
      </c>
      <c r="G156" t="s">
        <v>762</v>
      </c>
      <c r="I156" s="32" t="str">
        <f>G156&amp;C156</f>
        <v>$(SYS):$(SUBSYS):$(DEV):EV_PDPWIDTH_20</v>
      </c>
      <c r="J156" t="s">
        <v>785</v>
      </c>
    </row>
    <row r="157" spans="1:10" x14ac:dyDescent="0.3">
      <c r="A157">
        <v>156</v>
      </c>
      <c r="B157" t="s">
        <v>233</v>
      </c>
      <c r="C157" t="s">
        <v>669</v>
      </c>
      <c r="D157" s="20" t="s">
        <v>439</v>
      </c>
      <c r="G157" t="s">
        <v>762</v>
      </c>
      <c r="I157" s="32" t="str">
        <f>G157&amp;C157</f>
        <v>$(SYS):$(SUBSYS):$(DEV):EV_PDPWIDTH_21</v>
      </c>
      <c r="J157" t="s">
        <v>785</v>
      </c>
    </row>
    <row r="158" spans="1:10" x14ac:dyDescent="0.3">
      <c r="A158">
        <v>157</v>
      </c>
      <c r="B158" t="s">
        <v>233</v>
      </c>
      <c r="C158" t="s">
        <v>670</v>
      </c>
      <c r="D158" s="20" t="s">
        <v>440</v>
      </c>
      <c r="G158" t="s">
        <v>762</v>
      </c>
      <c r="I158" s="32" t="str">
        <f>G158&amp;C158</f>
        <v>$(SYS):$(SUBSYS):$(DEV):EV_PDPWIDTH_22</v>
      </c>
      <c r="J158" t="s">
        <v>785</v>
      </c>
    </row>
    <row r="159" spans="1:10" x14ac:dyDescent="0.3">
      <c r="A159">
        <v>158</v>
      </c>
      <c r="B159" t="s">
        <v>233</v>
      </c>
      <c r="C159" t="s">
        <v>671</v>
      </c>
      <c r="D159" s="20" t="s">
        <v>441</v>
      </c>
      <c r="G159" t="s">
        <v>762</v>
      </c>
      <c r="I159" s="32" t="str">
        <f>G159&amp;C159</f>
        <v>$(SYS):$(SUBSYS):$(DEV):EV_PDPWIDTH_23</v>
      </c>
      <c r="J159" t="s">
        <v>785</v>
      </c>
    </row>
    <row r="160" spans="1:10" x14ac:dyDescent="0.3">
      <c r="A160">
        <v>159</v>
      </c>
      <c r="B160" t="s">
        <v>233</v>
      </c>
      <c r="C160" t="s">
        <v>672</v>
      </c>
      <c r="D160" s="20" t="s">
        <v>442</v>
      </c>
      <c r="G160" t="s">
        <v>762</v>
      </c>
      <c r="I160" s="32" t="str">
        <f>G160&amp;C160</f>
        <v>$(SYS):$(SUBSYS):$(DEV):EV_PDPWIDTH_24</v>
      </c>
      <c r="J160" t="s">
        <v>785</v>
      </c>
    </row>
    <row r="161" spans="1:10" x14ac:dyDescent="0.3">
      <c r="A161">
        <v>160</v>
      </c>
      <c r="B161" t="s">
        <v>233</v>
      </c>
      <c r="C161" t="s">
        <v>673</v>
      </c>
      <c r="D161" s="20" t="s">
        <v>443</v>
      </c>
      <c r="G161" t="s">
        <v>762</v>
      </c>
      <c r="I161" s="32" t="str">
        <f>G161&amp;C161</f>
        <v>$(SYS):$(SUBSYS):$(DEV):EV_PDPWIDTH_25</v>
      </c>
      <c r="J161" t="s">
        <v>785</v>
      </c>
    </row>
    <row r="162" spans="1:10" x14ac:dyDescent="0.3">
      <c r="A162">
        <v>161</v>
      </c>
      <c r="B162" t="s">
        <v>233</v>
      </c>
      <c r="C162" t="s">
        <v>674</v>
      </c>
      <c r="D162" s="20" t="s">
        <v>444</v>
      </c>
      <c r="G162" t="s">
        <v>762</v>
      </c>
      <c r="I162" s="32" t="str">
        <f>G162&amp;C162</f>
        <v>$(SYS):$(SUBSYS):$(DEV):EV_PDPWIDTH_26</v>
      </c>
      <c r="J162" t="s">
        <v>785</v>
      </c>
    </row>
    <row r="163" spans="1:10" x14ac:dyDescent="0.3">
      <c r="A163">
        <v>162</v>
      </c>
      <c r="B163" t="s">
        <v>233</v>
      </c>
      <c r="C163" t="s">
        <v>675</v>
      </c>
      <c r="D163" s="20" t="s">
        <v>445</v>
      </c>
      <c r="G163" t="s">
        <v>762</v>
      </c>
      <c r="I163" s="32" t="str">
        <f>G163&amp;C163</f>
        <v>$(SYS):$(SUBSYS):$(DEV):EV_PDPWIDTH_27</v>
      </c>
      <c r="J163" t="s">
        <v>785</v>
      </c>
    </row>
    <row r="164" spans="1:10" x14ac:dyDescent="0.3">
      <c r="A164">
        <v>163</v>
      </c>
      <c r="B164" t="s">
        <v>233</v>
      </c>
      <c r="C164" t="s">
        <v>676</v>
      </c>
      <c r="D164" s="20" t="s">
        <v>446</v>
      </c>
      <c r="G164" t="s">
        <v>762</v>
      </c>
      <c r="I164" s="32" t="str">
        <f>G164&amp;C164</f>
        <v>$(SYS):$(SUBSYS):$(DEV):EV_PDPWIDTH_28</v>
      </c>
      <c r="J164" t="s">
        <v>785</v>
      </c>
    </row>
    <row r="165" spans="1:10" x14ac:dyDescent="0.3">
      <c r="A165">
        <v>164</v>
      </c>
      <c r="B165" t="s">
        <v>233</v>
      </c>
      <c r="C165" t="s">
        <v>677</v>
      </c>
      <c r="D165" s="20" t="s">
        <v>447</v>
      </c>
      <c r="G165" t="s">
        <v>762</v>
      </c>
      <c r="I165" s="32" t="str">
        <f>G165&amp;C165</f>
        <v>$(SYS):$(SUBSYS):$(DEV):EV_PDPWIDTH_29</v>
      </c>
      <c r="J165" t="s">
        <v>785</v>
      </c>
    </row>
    <row r="166" spans="1:10" x14ac:dyDescent="0.3">
      <c r="A166">
        <v>165</v>
      </c>
      <c r="B166" t="s">
        <v>233</v>
      </c>
      <c r="C166" t="s">
        <v>678</v>
      </c>
      <c r="D166" s="20" t="s">
        <v>448</v>
      </c>
      <c r="G166" t="s">
        <v>762</v>
      </c>
      <c r="I166" s="32" t="str">
        <f>G166&amp;C166</f>
        <v>$(SYS):$(SUBSYS):$(DEV):EV_PDPWIDTH_30</v>
      </c>
      <c r="J166" t="s">
        <v>785</v>
      </c>
    </row>
    <row r="167" spans="1:10" x14ac:dyDescent="0.3">
      <c r="A167">
        <v>166</v>
      </c>
      <c r="B167" t="s">
        <v>233</v>
      </c>
      <c r="C167" t="s">
        <v>679</v>
      </c>
      <c r="D167" s="20" t="s">
        <v>449</v>
      </c>
      <c r="G167" t="s">
        <v>762</v>
      </c>
      <c r="I167" s="32" t="str">
        <f>G167&amp;C167</f>
        <v>$(SYS):$(SUBSYS):$(DEV):EV_PDPWIDTH_31</v>
      </c>
      <c r="J167" t="s">
        <v>785</v>
      </c>
    </row>
    <row r="168" spans="1:10" x14ac:dyDescent="0.3">
      <c r="A168">
        <v>167</v>
      </c>
      <c r="B168" t="s">
        <v>456</v>
      </c>
      <c r="C168" t="s">
        <v>680</v>
      </c>
      <c r="D168" s="20" t="str">
        <f>DEC2HEX(HEX2DEC(Table13[[#This Row],[Index]])/4+Table13[[#This Row],[SUB]],4)</f>
        <v>3122</v>
      </c>
      <c r="E168" t="s">
        <v>454</v>
      </c>
      <c r="G168" t="s">
        <v>762</v>
      </c>
      <c r="I168" s="32" t="str">
        <f>G168&amp;C168</f>
        <v>$(SYS):$(SUBSYS):$(DEV):EV_PDPCNTR_0</v>
      </c>
      <c r="J168" t="s">
        <v>785</v>
      </c>
    </row>
    <row r="169" spans="1:10" x14ac:dyDescent="0.3">
      <c r="A169">
        <v>168</v>
      </c>
      <c r="B169" t="s">
        <v>456</v>
      </c>
      <c r="C169" t="s">
        <v>681</v>
      </c>
      <c r="D169" s="20" t="str">
        <f>DEC2HEX(HEX2DEC(Table13[[#This Row],[Index]])/4+Table13[[#This Row],[SUB]],4)</f>
        <v>3123</v>
      </c>
      <c r="E169" t="s">
        <v>454</v>
      </c>
      <c r="G169" t="s">
        <v>762</v>
      </c>
      <c r="I169" s="32" t="str">
        <f>G169&amp;C169</f>
        <v>$(SYS):$(SUBSYS):$(DEV):EV_PDPCNTR_1</v>
      </c>
      <c r="J169" t="s">
        <v>785</v>
      </c>
    </row>
    <row r="170" spans="1:10" x14ac:dyDescent="0.3">
      <c r="A170">
        <v>169</v>
      </c>
      <c r="B170" t="s">
        <v>456</v>
      </c>
      <c r="C170" t="s">
        <v>682</v>
      </c>
      <c r="D170" s="20" t="str">
        <f>DEC2HEX(HEX2DEC(Table13[[#This Row],[Index]])/4+Table13[[#This Row],[SUB]],4)</f>
        <v>3124</v>
      </c>
      <c r="E170" t="s">
        <v>454</v>
      </c>
      <c r="G170" t="s">
        <v>762</v>
      </c>
      <c r="I170" s="32" t="str">
        <f>G170&amp;C170</f>
        <v>$(SYS):$(SUBSYS):$(DEV):EV_PDPCNTR_2</v>
      </c>
      <c r="J170" t="s">
        <v>785</v>
      </c>
    </row>
    <row r="171" spans="1:10" x14ac:dyDescent="0.3">
      <c r="A171">
        <v>170</v>
      </c>
      <c r="B171" t="s">
        <v>456</v>
      </c>
      <c r="C171" t="s">
        <v>683</v>
      </c>
      <c r="D171" s="20" t="str">
        <f>DEC2HEX(HEX2DEC(Table13[[#This Row],[Index]])/4+Table13[[#This Row],[SUB]],4)</f>
        <v>3125</v>
      </c>
      <c r="E171" t="s">
        <v>454</v>
      </c>
      <c r="G171" t="s">
        <v>762</v>
      </c>
      <c r="I171" s="32" t="str">
        <f>G171&amp;C171</f>
        <v>$(SYS):$(SUBSYS):$(DEV):EV_PDPCNTR_3</v>
      </c>
      <c r="J171" t="s">
        <v>785</v>
      </c>
    </row>
    <row r="172" spans="1:10" x14ac:dyDescent="0.3">
      <c r="A172">
        <v>171</v>
      </c>
      <c r="B172" t="s">
        <v>456</v>
      </c>
      <c r="C172" t="s">
        <v>684</v>
      </c>
      <c r="D172" s="20" t="str">
        <f>DEC2HEX(HEX2DEC(Table13[[#This Row],[Index]])/4+Table13[[#This Row],[SUB]],4)</f>
        <v>3126</v>
      </c>
      <c r="E172" t="s">
        <v>454</v>
      </c>
      <c r="G172" t="s">
        <v>762</v>
      </c>
      <c r="I172" s="32" t="str">
        <f>G172&amp;C172</f>
        <v>$(SYS):$(SUBSYS):$(DEV):EV_PDPCNTR_4</v>
      </c>
      <c r="J172" t="s">
        <v>785</v>
      </c>
    </row>
    <row r="173" spans="1:10" x14ac:dyDescent="0.3">
      <c r="A173">
        <v>172</v>
      </c>
      <c r="B173" t="s">
        <v>456</v>
      </c>
      <c r="C173" t="s">
        <v>685</v>
      </c>
      <c r="D173" s="20" t="str">
        <f>DEC2HEX(HEX2DEC(Table13[[#This Row],[Index]])/4+Table13[[#This Row],[SUB]],4)</f>
        <v>3127</v>
      </c>
      <c r="E173" t="s">
        <v>454</v>
      </c>
      <c r="G173" t="s">
        <v>762</v>
      </c>
      <c r="I173" s="32" t="str">
        <f>G173&amp;C173</f>
        <v>$(SYS):$(SUBSYS):$(DEV):EV_PDPCNTR_5</v>
      </c>
      <c r="J173" t="s">
        <v>785</v>
      </c>
    </row>
    <row r="174" spans="1:10" x14ac:dyDescent="0.3">
      <c r="A174">
        <v>173</v>
      </c>
      <c r="B174" t="s">
        <v>456</v>
      </c>
      <c r="C174" t="s">
        <v>686</v>
      </c>
      <c r="D174" s="20" t="str">
        <f>DEC2HEX(HEX2DEC(Table13[[#This Row],[Index]])/4+Table13[[#This Row],[SUB]],4)</f>
        <v>3128</v>
      </c>
      <c r="E174" t="s">
        <v>454</v>
      </c>
      <c r="G174" t="s">
        <v>762</v>
      </c>
      <c r="I174" s="32" t="str">
        <f>G174&amp;C174</f>
        <v>$(SYS):$(SUBSYS):$(DEV):EV_PDPCNTR_6</v>
      </c>
      <c r="J174" t="s">
        <v>785</v>
      </c>
    </row>
    <row r="175" spans="1:10" x14ac:dyDescent="0.3">
      <c r="A175">
        <v>174</v>
      </c>
      <c r="B175" t="s">
        <v>456</v>
      </c>
      <c r="C175" t="s">
        <v>687</v>
      </c>
      <c r="D175" s="20" t="str">
        <f>DEC2HEX(HEX2DEC(Table13[[#This Row],[Index]])/4+Table13[[#This Row],[SUB]],4)</f>
        <v>3129</v>
      </c>
      <c r="E175" t="s">
        <v>454</v>
      </c>
      <c r="G175" t="s">
        <v>762</v>
      </c>
      <c r="I175" s="32" t="str">
        <f>G175&amp;C175</f>
        <v>$(SYS):$(SUBSYS):$(DEV):EV_PDPCNTR_7</v>
      </c>
      <c r="J175" t="s">
        <v>785</v>
      </c>
    </row>
    <row r="176" spans="1:10" x14ac:dyDescent="0.3">
      <c r="A176">
        <v>175</v>
      </c>
      <c r="B176" t="s">
        <v>456</v>
      </c>
      <c r="C176" t="s">
        <v>688</v>
      </c>
      <c r="D176" s="20" t="str">
        <f>DEC2HEX(HEX2DEC(Table13[[#This Row],[Index]])/4+Table13[[#This Row],[SUB]],4)</f>
        <v>312A</v>
      </c>
      <c r="E176" t="s">
        <v>454</v>
      </c>
      <c r="G176" t="s">
        <v>762</v>
      </c>
      <c r="I176" s="32" t="str">
        <f>G176&amp;C176</f>
        <v>$(SYS):$(SUBSYS):$(DEV):EV_PDPCNTR_8</v>
      </c>
      <c r="J176" t="s">
        <v>785</v>
      </c>
    </row>
    <row r="177" spans="1:10" x14ac:dyDescent="0.3">
      <c r="A177">
        <v>176</v>
      </c>
      <c r="B177" t="s">
        <v>456</v>
      </c>
      <c r="C177" t="s">
        <v>689</v>
      </c>
      <c r="D177" s="20" t="str">
        <f>DEC2HEX(HEX2DEC(Table13[[#This Row],[Index]])/4+Table13[[#This Row],[SUB]],4)</f>
        <v>312B</v>
      </c>
      <c r="E177" t="s">
        <v>454</v>
      </c>
      <c r="G177" t="s">
        <v>762</v>
      </c>
      <c r="I177" s="32" t="str">
        <f>G177&amp;C177</f>
        <v>$(SYS):$(SUBSYS):$(DEV):EV_PDPCNTR_9</v>
      </c>
      <c r="J177" t="s">
        <v>785</v>
      </c>
    </row>
    <row r="178" spans="1:10" x14ac:dyDescent="0.3">
      <c r="A178">
        <v>177</v>
      </c>
      <c r="B178" t="s">
        <v>456</v>
      </c>
      <c r="C178" t="s">
        <v>690</v>
      </c>
      <c r="D178" s="20" t="str">
        <f>DEC2HEX(HEX2DEC(Table13[[#This Row],[Index]])/4+Table13[[#This Row],[SUB]],4)</f>
        <v>312C</v>
      </c>
      <c r="E178" t="s">
        <v>454</v>
      </c>
      <c r="G178" t="s">
        <v>762</v>
      </c>
      <c r="I178" s="32" t="str">
        <f>G178&amp;C178</f>
        <v>$(SYS):$(SUBSYS):$(DEV):EV_PDPCNTR_10</v>
      </c>
      <c r="J178" t="s">
        <v>785</v>
      </c>
    </row>
    <row r="179" spans="1:10" x14ac:dyDescent="0.3">
      <c r="A179">
        <v>178</v>
      </c>
      <c r="B179" t="s">
        <v>456</v>
      </c>
      <c r="C179" t="s">
        <v>691</v>
      </c>
      <c r="D179" s="20" t="str">
        <f>DEC2HEX(HEX2DEC(Table13[[#This Row],[Index]])/4+Table13[[#This Row],[SUB]],4)</f>
        <v>312D</v>
      </c>
      <c r="E179" t="s">
        <v>454</v>
      </c>
      <c r="G179" t="s">
        <v>762</v>
      </c>
      <c r="I179" s="32" t="str">
        <f>G179&amp;C179</f>
        <v>$(SYS):$(SUBSYS):$(DEV):EV_PDPCNTR_11</v>
      </c>
      <c r="J179" t="s">
        <v>785</v>
      </c>
    </row>
    <row r="180" spans="1:10" x14ac:dyDescent="0.3">
      <c r="A180">
        <v>179</v>
      </c>
      <c r="B180" t="s">
        <v>456</v>
      </c>
      <c r="C180" t="s">
        <v>692</v>
      </c>
      <c r="D180" s="20" t="str">
        <f>DEC2HEX(HEX2DEC(Table13[[#This Row],[Index]])/4+Table13[[#This Row],[SUB]],4)</f>
        <v>312E</v>
      </c>
      <c r="E180" t="s">
        <v>454</v>
      </c>
      <c r="G180" t="s">
        <v>762</v>
      </c>
      <c r="I180" s="32" t="str">
        <f>G180&amp;C180</f>
        <v>$(SYS):$(SUBSYS):$(DEV):EV_PDPCNTR_12</v>
      </c>
      <c r="J180" t="s">
        <v>785</v>
      </c>
    </row>
    <row r="181" spans="1:10" x14ac:dyDescent="0.3">
      <c r="A181">
        <v>180</v>
      </c>
      <c r="B181" t="s">
        <v>456</v>
      </c>
      <c r="C181" t="s">
        <v>693</v>
      </c>
      <c r="D181" s="20" t="str">
        <f>DEC2HEX(HEX2DEC(Table13[[#This Row],[Index]])/4+Table13[[#This Row],[SUB]],4)</f>
        <v>312F</v>
      </c>
      <c r="E181" t="s">
        <v>454</v>
      </c>
      <c r="G181" t="s">
        <v>762</v>
      </c>
      <c r="I181" s="32" t="str">
        <f>G181&amp;C181</f>
        <v>$(SYS):$(SUBSYS):$(DEV):EV_PDPCNTR_13</v>
      </c>
      <c r="J181" t="s">
        <v>785</v>
      </c>
    </row>
    <row r="182" spans="1:10" x14ac:dyDescent="0.3">
      <c r="A182">
        <v>181</v>
      </c>
      <c r="B182" t="s">
        <v>456</v>
      </c>
      <c r="C182" t="s">
        <v>694</v>
      </c>
      <c r="D182" s="20" t="str">
        <f>DEC2HEX(HEX2DEC(Table13[[#This Row],[Index]])/4+Table13[[#This Row],[SUB]],4)</f>
        <v>3130</v>
      </c>
      <c r="E182" t="s">
        <v>454</v>
      </c>
      <c r="G182" t="s">
        <v>762</v>
      </c>
      <c r="I182" s="32" t="str">
        <f>G182&amp;C182</f>
        <v>$(SYS):$(SUBSYS):$(DEV):EV_PDPCNTR_14</v>
      </c>
      <c r="J182" t="s">
        <v>785</v>
      </c>
    </row>
    <row r="183" spans="1:10" x14ac:dyDescent="0.3">
      <c r="A183">
        <v>182</v>
      </c>
      <c r="B183" t="s">
        <v>456</v>
      </c>
      <c r="C183" t="s">
        <v>695</v>
      </c>
      <c r="D183" s="20" t="str">
        <f>DEC2HEX(HEX2DEC(Table13[[#This Row],[Index]])/4+Table13[[#This Row],[SUB]],4)</f>
        <v>3131</v>
      </c>
      <c r="E183" t="s">
        <v>454</v>
      </c>
      <c r="G183" t="s">
        <v>762</v>
      </c>
      <c r="I183" s="32" t="str">
        <f>G183&amp;C183</f>
        <v>$(SYS):$(SUBSYS):$(DEV):EV_PDPCNTR_15</v>
      </c>
      <c r="J183" t="s">
        <v>785</v>
      </c>
    </row>
    <row r="184" spans="1:10" x14ac:dyDescent="0.3">
      <c r="A184">
        <v>183</v>
      </c>
      <c r="B184" t="s">
        <v>456</v>
      </c>
      <c r="C184" t="s">
        <v>696</v>
      </c>
      <c r="D184" s="20" t="str">
        <f>DEC2HEX(HEX2DEC(Table13[[#This Row],[Index]])/4+Table13[[#This Row],[SUB]],4)</f>
        <v>3132</v>
      </c>
      <c r="E184" t="s">
        <v>454</v>
      </c>
      <c r="G184" t="s">
        <v>762</v>
      </c>
      <c r="I184" s="32" t="str">
        <f>G184&amp;C184</f>
        <v>$(SYS):$(SUBSYS):$(DEV):EV_PDPCNTR_16</v>
      </c>
      <c r="J184" t="s">
        <v>785</v>
      </c>
    </row>
    <row r="185" spans="1:10" x14ac:dyDescent="0.3">
      <c r="A185">
        <v>184</v>
      </c>
      <c r="B185" t="s">
        <v>456</v>
      </c>
      <c r="C185" t="s">
        <v>697</v>
      </c>
      <c r="D185" s="20" t="str">
        <f>DEC2HEX(HEX2DEC(Table13[[#This Row],[Index]])/4+Table13[[#This Row],[SUB]],4)</f>
        <v>3133</v>
      </c>
      <c r="E185" t="s">
        <v>454</v>
      </c>
      <c r="G185" t="s">
        <v>762</v>
      </c>
      <c r="I185" s="32" t="str">
        <f>G185&amp;C185</f>
        <v>$(SYS):$(SUBSYS):$(DEV):EV_PDPCNTR_17</v>
      </c>
      <c r="J185" t="s">
        <v>785</v>
      </c>
    </row>
    <row r="186" spans="1:10" x14ac:dyDescent="0.3">
      <c r="A186">
        <v>185</v>
      </c>
      <c r="B186" t="s">
        <v>456</v>
      </c>
      <c r="C186" t="s">
        <v>698</v>
      </c>
      <c r="D186" s="20" t="str">
        <f>DEC2HEX(HEX2DEC(Table13[[#This Row],[Index]])/4+Table13[[#This Row],[SUB]],4)</f>
        <v>3134</v>
      </c>
      <c r="E186" t="s">
        <v>454</v>
      </c>
      <c r="G186" t="s">
        <v>762</v>
      </c>
      <c r="I186" s="32" t="str">
        <f>G186&amp;C186</f>
        <v>$(SYS):$(SUBSYS):$(DEV):EV_PDPCNTR_18</v>
      </c>
      <c r="J186" t="s">
        <v>785</v>
      </c>
    </row>
    <row r="187" spans="1:10" x14ac:dyDescent="0.3">
      <c r="A187">
        <v>186</v>
      </c>
      <c r="B187" t="s">
        <v>456</v>
      </c>
      <c r="C187" t="s">
        <v>699</v>
      </c>
      <c r="D187" s="20" t="str">
        <f>DEC2HEX(HEX2DEC(Table13[[#This Row],[Index]])/4+Table13[[#This Row],[SUB]],4)</f>
        <v>3135</v>
      </c>
      <c r="E187" t="s">
        <v>454</v>
      </c>
      <c r="G187" t="s">
        <v>762</v>
      </c>
      <c r="I187" s="32" t="str">
        <f>G187&amp;C187</f>
        <v>$(SYS):$(SUBSYS):$(DEV):EV_PDPCNTR_19</v>
      </c>
      <c r="J187" t="s">
        <v>785</v>
      </c>
    </row>
    <row r="188" spans="1:10" x14ac:dyDescent="0.3">
      <c r="A188">
        <v>187</v>
      </c>
      <c r="B188" t="s">
        <v>456</v>
      </c>
      <c r="C188" t="s">
        <v>700</v>
      </c>
      <c r="D188" s="20" t="str">
        <f>DEC2HEX(HEX2DEC(Table13[[#This Row],[Index]])/4+Table13[[#This Row],[SUB]],4)</f>
        <v>3136</v>
      </c>
      <c r="E188" t="s">
        <v>454</v>
      </c>
      <c r="G188" t="s">
        <v>762</v>
      </c>
      <c r="I188" s="32" t="str">
        <f>G188&amp;C188</f>
        <v>$(SYS):$(SUBSYS):$(DEV):EV_PDPCNTR_20</v>
      </c>
      <c r="J188" t="s">
        <v>785</v>
      </c>
    </row>
    <row r="189" spans="1:10" x14ac:dyDescent="0.3">
      <c r="A189">
        <v>188</v>
      </c>
      <c r="B189" t="s">
        <v>456</v>
      </c>
      <c r="C189" t="s">
        <v>701</v>
      </c>
      <c r="D189" s="20" t="str">
        <f>DEC2HEX(HEX2DEC(Table13[[#This Row],[Index]])/4+Table13[[#This Row],[SUB]],4)</f>
        <v>3137</v>
      </c>
      <c r="E189" t="s">
        <v>454</v>
      </c>
      <c r="G189" t="s">
        <v>762</v>
      </c>
      <c r="I189" s="32" t="str">
        <f>G189&amp;C189</f>
        <v>$(SYS):$(SUBSYS):$(DEV):EV_PDPCNTR_21</v>
      </c>
      <c r="J189" t="s">
        <v>785</v>
      </c>
    </row>
    <row r="190" spans="1:10" x14ac:dyDescent="0.3">
      <c r="A190">
        <v>189</v>
      </c>
      <c r="B190" t="s">
        <v>456</v>
      </c>
      <c r="C190" t="s">
        <v>702</v>
      </c>
      <c r="D190" s="20" t="str">
        <f>DEC2HEX(HEX2DEC(Table13[[#This Row],[Index]])/4+Table13[[#This Row],[SUB]],4)</f>
        <v>3138</v>
      </c>
      <c r="E190" t="s">
        <v>454</v>
      </c>
      <c r="G190" t="s">
        <v>762</v>
      </c>
      <c r="I190" s="32" t="str">
        <f>G190&amp;C190</f>
        <v>$(SYS):$(SUBSYS):$(DEV):EV_PDPCNTR_22</v>
      </c>
      <c r="J190" t="s">
        <v>785</v>
      </c>
    </row>
    <row r="191" spans="1:10" x14ac:dyDescent="0.3">
      <c r="A191">
        <v>190</v>
      </c>
      <c r="B191" t="s">
        <v>456</v>
      </c>
      <c r="C191" t="s">
        <v>703</v>
      </c>
      <c r="D191" s="20" t="str">
        <f>DEC2HEX(HEX2DEC(Table13[[#This Row],[Index]])/4+Table13[[#This Row],[SUB]],4)</f>
        <v>3139</v>
      </c>
      <c r="E191" t="s">
        <v>454</v>
      </c>
      <c r="G191" t="s">
        <v>762</v>
      </c>
      <c r="I191" s="32" t="str">
        <f>G191&amp;C191</f>
        <v>$(SYS):$(SUBSYS):$(DEV):EV_PDPCNTR_23</v>
      </c>
      <c r="J191" t="s">
        <v>785</v>
      </c>
    </row>
    <row r="192" spans="1:10" x14ac:dyDescent="0.3">
      <c r="A192">
        <v>191</v>
      </c>
      <c r="B192" t="s">
        <v>456</v>
      </c>
      <c r="C192" t="s">
        <v>704</v>
      </c>
      <c r="D192" s="20" t="str">
        <f>DEC2HEX(HEX2DEC(Table13[[#This Row],[Index]])/4+Table13[[#This Row],[SUB]],4)</f>
        <v>313A</v>
      </c>
      <c r="E192" t="s">
        <v>454</v>
      </c>
      <c r="G192" t="s">
        <v>762</v>
      </c>
      <c r="I192" s="32" t="str">
        <f>G192&amp;C192</f>
        <v>$(SYS):$(SUBSYS):$(DEV):EV_PDPCNTR_24</v>
      </c>
      <c r="J192" t="s">
        <v>785</v>
      </c>
    </row>
    <row r="193" spans="1:10" x14ac:dyDescent="0.3">
      <c r="A193">
        <v>192</v>
      </c>
      <c r="B193" t="s">
        <v>456</v>
      </c>
      <c r="C193" t="s">
        <v>705</v>
      </c>
      <c r="D193" s="20" t="str">
        <f>DEC2HEX(HEX2DEC(Table13[[#This Row],[Index]])/4+Table13[[#This Row],[SUB]],4)</f>
        <v>313B</v>
      </c>
      <c r="E193" t="s">
        <v>454</v>
      </c>
      <c r="G193" t="s">
        <v>762</v>
      </c>
      <c r="I193" s="32" t="str">
        <f>G193&amp;C193</f>
        <v>$(SYS):$(SUBSYS):$(DEV):EV_PDPCNTR_25</v>
      </c>
      <c r="J193" t="s">
        <v>785</v>
      </c>
    </row>
    <row r="194" spans="1:10" x14ac:dyDescent="0.3">
      <c r="A194">
        <v>193</v>
      </c>
      <c r="B194" t="s">
        <v>456</v>
      </c>
      <c r="C194" t="s">
        <v>706</v>
      </c>
      <c r="D194" s="20" t="str">
        <f>DEC2HEX(HEX2DEC(Table13[[#This Row],[Index]])/4+Table13[[#This Row],[SUB]],4)</f>
        <v>313C</v>
      </c>
      <c r="E194" t="s">
        <v>454</v>
      </c>
      <c r="G194" t="s">
        <v>762</v>
      </c>
      <c r="I194" s="32" t="str">
        <f>G194&amp;C194</f>
        <v>$(SYS):$(SUBSYS):$(DEV):EV_PDPCNTR_26</v>
      </c>
      <c r="J194" t="s">
        <v>785</v>
      </c>
    </row>
    <row r="195" spans="1:10" x14ac:dyDescent="0.3">
      <c r="A195">
        <v>194</v>
      </c>
      <c r="B195" t="s">
        <v>456</v>
      </c>
      <c r="C195" t="s">
        <v>707</v>
      </c>
      <c r="D195" s="20" t="str">
        <f>DEC2HEX(HEX2DEC(Table13[[#This Row],[Index]])/4+Table13[[#This Row],[SUB]],4)</f>
        <v>313D</v>
      </c>
      <c r="E195" t="s">
        <v>454</v>
      </c>
      <c r="G195" t="s">
        <v>762</v>
      </c>
      <c r="I195" s="32" t="str">
        <f>G195&amp;C195</f>
        <v>$(SYS):$(SUBSYS):$(DEV):EV_PDPCNTR_27</v>
      </c>
      <c r="J195" t="s">
        <v>785</v>
      </c>
    </row>
    <row r="196" spans="1:10" x14ac:dyDescent="0.3">
      <c r="A196">
        <v>195</v>
      </c>
      <c r="B196" t="s">
        <v>456</v>
      </c>
      <c r="C196" t="s">
        <v>708</v>
      </c>
      <c r="D196" s="20" t="str">
        <f>DEC2HEX(HEX2DEC(Table13[[#This Row],[Index]])/4+Table13[[#This Row],[SUB]],4)</f>
        <v>313E</v>
      </c>
      <c r="E196" t="s">
        <v>454</v>
      </c>
      <c r="G196" t="s">
        <v>762</v>
      </c>
      <c r="I196" s="32" t="str">
        <f>G196&amp;C196</f>
        <v>$(SYS):$(SUBSYS):$(DEV):EV_PDPCNTR_28</v>
      </c>
      <c r="J196" t="s">
        <v>785</v>
      </c>
    </row>
    <row r="197" spans="1:10" x14ac:dyDescent="0.3">
      <c r="A197">
        <v>196</v>
      </c>
      <c r="B197" t="s">
        <v>456</v>
      </c>
      <c r="C197" t="s">
        <v>709</v>
      </c>
      <c r="D197" s="20" t="str">
        <f>DEC2HEX(HEX2DEC(Table13[[#This Row],[Index]])/4+Table13[[#This Row],[SUB]],4)</f>
        <v>313F</v>
      </c>
      <c r="E197" t="s">
        <v>454</v>
      </c>
      <c r="G197" t="s">
        <v>762</v>
      </c>
      <c r="I197" s="32" t="str">
        <f>G197&amp;C197</f>
        <v>$(SYS):$(SUBSYS):$(DEV):EV_PDPCNTR_29</v>
      </c>
      <c r="J197" t="s">
        <v>785</v>
      </c>
    </row>
    <row r="198" spans="1:10" x14ac:dyDescent="0.3">
      <c r="A198">
        <v>197</v>
      </c>
      <c r="B198" t="s">
        <v>456</v>
      </c>
      <c r="C198" t="s">
        <v>710</v>
      </c>
      <c r="D198" s="20" t="str">
        <f>DEC2HEX(HEX2DEC(Table13[[#This Row],[Index]])/4+Table13[[#This Row],[SUB]],4)</f>
        <v>0094</v>
      </c>
      <c r="E198" t="s">
        <v>454</v>
      </c>
      <c r="G198" t="s">
        <v>762</v>
      </c>
      <c r="I198" s="32" t="str">
        <f>G198&amp;C198</f>
        <v>$(SYS):$(SUBSYS):$(DEV):EV_PDPCNTR_30</v>
      </c>
      <c r="J198" t="s">
        <v>785</v>
      </c>
    </row>
    <row r="199" spans="1:10" x14ac:dyDescent="0.3">
      <c r="A199">
        <v>198</v>
      </c>
      <c r="B199" t="s">
        <v>456</v>
      </c>
      <c r="C199" t="s">
        <v>711</v>
      </c>
      <c r="D199" s="20" t="str">
        <f>DEC2HEX(HEX2DEC(Table13[[#This Row],[Index]])/4+Table13[[#This Row],[SUB]],4)</f>
        <v>3140</v>
      </c>
      <c r="E199" t="s">
        <v>454</v>
      </c>
      <c r="G199" t="s">
        <v>762</v>
      </c>
      <c r="I199" s="32" t="str">
        <f>G199&amp;C199</f>
        <v>$(SYS):$(SUBSYS):$(DEV):EV_PDPCNTR_31</v>
      </c>
      <c r="J199" t="s">
        <v>785</v>
      </c>
    </row>
    <row r="200" spans="1:10" x14ac:dyDescent="0.3">
      <c r="A200">
        <v>199</v>
      </c>
      <c r="B200" t="s">
        <v>233</v>
      </c>
      <c r="C200" t="s">
        <v>712</v>
      </c>
      <c r="D200" s="20" t="str">
        <f>DEC2HEX(HEX2DEC(Table13[[#This Row],[Index]])/4+Table13[[#This Row],[SUB]],4)</f>
        <v>3141</v>
      </c>
      <c r="G200" t="s">
        <v>762</v>
      </c>
      <c r="I200" s="32" t="str">
        <f>G200&amp;C200</f>
        <v>$(SYS):$(SUBSYS):$(DEV):EV_MEVCODEA_1</v>
      </c>
      <c r="J200" t="s">
        <v>785</v>
      </c>
    </row>
    <row r="201" spans="1:10" x14ac:dyDescent="0.3">
      <c r="A201">
        <v>200</v>
      </c>
      <c r="B201" t="s">
        <v>233</v>
      </c>
      <c r="C201" t="s">
        <v>713</v>
      </c>
      <c r="D201" s="20" t="str">
        <f>DEC2HEX(HEX2DEC(Table13[[#This Row],[Index]])/4+Table13[[#This Row],[SUB]],4)</f>
        <v>3142</v>
      </c>
      <c r="G201" t="s">
        <v>762</v>
      </c>
      <c r="I201" s="32" t="str">
        <f>G201&amp;C201</f>
        <v>$(SYS):$(SUBSYS):$(DEV):EV_MEVCODEA_2</v>
      </c>
      <c r="J201" t="s">
        <v>785</v>
      </c>
    </row>
    <row r="202" spans="1:10" x14ac:dyDescent="0.3">
      <c r="A202">
        <v>201</v>
      </c>
      <c r="B202" t="s">
        <v>233</v>
      </c>
      <c r="C202" t="s">
        <v>714</v>
      </c>
      <c r="D202" s="20" t="str">
        <f>DEC2HEX(HEX2DEC(Table13[[#This Row],[Index]])/4+Table13[[#This Row],[SUB]],4)</f>
        <v>3143</v>
      </c>
      <c r="G202" t="s">
        <v>762</v>
      </c>
      <c r="I202" s="32" t="str">
        <f>G202&amp;C202</f>
        <v>$(SYS):$(SUBSYS):$(DEV):EV_MEVCODEA_3</v>
      </c>
      <c r="J202" t="s">
        <v>785</v>
      </c>
    </row>
    <row r="203" spans="1:10" x14ac:dyDescent="0.3">
      <c r="A203">
        <v>202</v>
      </c>
      <c r="B203" t="s">
        <v>233</v>
      </c>
      <c r="C203" t="s">
        <v>715</v>
      </c>
      <c r="D203" s="20" t="str">
        <f>DEC2HEX(HEX2DEC(Table13[[#This Row],[Index]])/4+Table13[[#This Row],[SUB]],4)</f>
        <v>3144</v>
      </c>
      <c r="G203" t="s">
        <v>762</v>
      </c>
      <c r="I203" s="32" t="str">
        <f>G203&amp;C203</f>
        <v>$(SYS):$(SUBSYS):$(DEV):EV_MEVCODEA_4</v>
      </c>
      <c r="J203" t="s">
        <v>785</v>
      </c>
    </row>
    <row r="204" spans="1:10" x14ac:dyDescent="0.3">
      <c r="A204">
        <v>203</v>
      </c>
      <c r="B204" t="s">
        <v>233</v>
      </c>
      <c r="C204" t="s">
        <v>716</v>
      </c>
      <c r="D204" s="20" t="str">
        <f>DEC2HEX(HEX2DEC(Table13[[#This Row],[Index]])/4+Table13[[#This Row],[SUB]],4)</f>
        <v>3145</v>
      </c>
      <c r="G204" t="s">
        <v>762</v>
      </c>
      <c r="I204" s="32" t="str">
        <f>G204&amp;C204</f>
        <v>$(SYS):$(SUBSYS):$(DEV):EV_MEVCODEA_5</v>
      </c>
      <c r="J204" t="s">
        <v>785</v>
      </c>
    </row>
    <row r="205" spans="1:10" x14ac:dyDescent="0.3">
      <c r="A205">
        <v>204</v>
      </c>
      <c r="B205" t="s">
        <v>233</v>
      </c>
      <c r="C205" t="s">
        <v>717</v>
      </c>
      <c r="D205" s="20" t="str">
        <f>DEC2HEX(HEX2DEC(Table13[[#This Row],[Index]])/4+Table13[[#This Row],[SUB]],4)</f>
        <v>3146</v>
      </c>
      <c r="G205" t="s">
        <v>762</v>
      </c>
      <c r="I205" s="32" t="str">
        <f>G205&amp;C205</f>
        <v>$(SYS):$(SUBSYS):$(DEV):EV_MEVCODEA_6</v>
      </c>
      <c r="J205" t="s">
        <v>785</v>
      </c>
    </row>
    <row r="206" spans="1:10" x14ac:dyDescent="0.3">
      <c r="A206">
        <v>205</v>
      </c>
      <c r="B206" t="s">
        <v>233</v>
      </c>
      <c r="C206" t="s">
        <v>718</v>
      </c>
      <c r="D206" s="20" t="str">
        <f>DEC2HEX(HEX2DEC(Table13[[#This Row],[Index]])/4+Table13[[#This Row],[SUB]],4)</f>
        <v>3147</v>
      </c>
      <c r="G206" t="s">
        <v>762</v>
      </c>
      <c r="I206" s="32" t="str">
        <f>G206&amp;C206</f>
        <v>$(SYS):$(SUBSYS):$(DEV):EV_MEVCODEA_7</v>
      </c>
      <c r="J206" t="s">
        <v>785</v>
      </c>
    </row>
    <row r="207" spans="1:10" x14ac:dyDescent="0.3">
      <c r="A207">
        <v>206</v>
      </c>
      <c r="B207" t="s">
        <v>233</v>
      </c>
      <c r="C207" t="s">
        <v>719</v>
      </c>
      <c r="D207" s="20" t="str">
        <f>DEC2HEX(HEX2DEC(Table13[[#This Row],[Index]])/4+Table13[[#This Row],[SUB]],4)</f>
        <v>3148</v>
      </c>
      <c r="G207" t="s">
        <v>762</v>
      </c>
      <c r="I207" s="32" t="str">
        <f>G207&amp;C207</f>
        <v>$(SYS):$(SUBSYS):$(DEV):EV_MEVCODEA_8</v>
      </c>
      <c r="J207" t="s">
        <v>785</v>
      </c>
    </row>
    <row r="208" spans="1:10" x14ac:dyDescent="0.3">
      <c r="A208">
        <v>207</v>
      </c>
      <c r="B208" t="s">
        <v>233</v>
      </c>
      <c r="C208" t="s">
        <v>720</v>
      </c>
      <c r="D208" s="20" t="str">
        <f>DEC2HEX(HEX2DEC(Table13[[#This Row],[Index]])/4+Table13[[#This Row],[SUB]],4)</f>
        <v>3149</v>
      </c>
      <c r="G208" t="s">
        <v>762</v>
      </c>
      <c r="I208" s="32" t="str">
        <f>G208&amp;C208</f>
        <v>$(SYS):$(SUBSYS):$(DEV):EV_MEVCODEA_9</v>
      </c>
      <c r="J208" t="s">
        <v>785</v>
      </c>
    </row>
    <row r="209" spans="1:10" x14ac:dyDescent="0.3">
      <c r="A209">
        <v>208</v>
      </c>
      <c r="B209" t="s">
        <v>233</v>
      </c>
      <c r="C209" t="s">
        <v>721</v>
      </c>
      <c r="D209" s="20" t="str">
        <f>DEC2HEX(HEX2DEC(Table13[[#This Row],[Index]])/4+Table13[[#This Row],[SUB]],4)</f>
        <v>314A</v>
      </c>
      <c r="G209" t="s">
        <v>762</v>
      </c>
      <c r="I209" s="32" t="str">
        <f>G209&amp;C209</f>
        <v>$(SYS):$(SUBSYS):$(DEV):EV_MEVCODEA_10</v>
      </c>
      <c r="J209" t="s">
        <v>785</v>
      </c>
    </row>
    <row r="210" spans="1:10" x14ac:dyDescent="0.3">
      <c r="A210">
        <v>209</v>
      </c>
      <c r="B210" t="s">
        <v>233</v>
      </c>
      <c r="C210" t="s">
        <v>722</v>
      </c>
      <c r="D210" s="20" t="str">
        <f>DEC2HEX(HEX2DEC(Table13[[#This Row],[Index]])/4+Table13[[#This Row],[SUB]],4)</f>
        <v>314B</v>
      </c>
      <c r="G210" t="s">
        <v>762</v>
      </c>
      <c r="I210" s="32" t="str">
        <f>G210&amp;C210</f>
        <v>$(SYS):$(SUBSYS):$(DEV):EV_MEVCODEA_11</v>
      </c>
      <c r="J210" t="s">
        <v>785</v>
      </c>
    </row>
    <row r="211" spans="1:10" x14ac:dyDescent="0.3">
      <c r="A211">
        <v>210</v>
      </c>
      <c r="B211" t="s">
        <v>233</v>
      </c>
      <c r="C211" t="s">
        <v>723</v>
      </c>
      <c r="D211" s="20" t="str">
        <f>DEC2HEX(HEX2DEC(Table13[[#This Row],[Index]])/4+Table13[[#This Row],[SUB]],4)</f>
        <v>314C</v>
      </c>
      <c r="G211" t="s">
        <v>762</v>
      </c>
      <c r="I211" s="32" t="str">
        <f>G211&amp;C211</f>
        <v>$(SYS):$(SUBSYS):$(DEV):EV_MEVCODEA_12</v>
      </c>
      <c r="J211" t="s">
        <v>785</v>
      </c>
    </row>
    <row r="212" spans="1:10" x14ac:dyDescent="0.3">
      <c r="A212">
        <v>211</v>
      </c>
      <c r="B212" t="s">
        <v>233</v>
      </c>
      <c r="C212" t="s">
        <v>724</v>
      </c>
      <c r="D212" s="20" t="str">
        <f>DEC2HEX(HEX2DEC(Table13[[#This Row],[Index]])/4+Table13[[#This Row],[SUB]],4)</f>
        <v>314D</v>
      </c>
      <c r="G212" t="s">
        <v>762</v>
      </c>
      <c r="I212" s="32" t="str">
        <f>G212&amp;C212</f>
        <v>$(SYS):$(SUBSYS):$(DEV):EV_MEVCODEA_13</v>
      </c>
      <c r="J212" t="s">
        <v>785</v>
      </c>
    </row>
    <row r="213" spans="1:10" x14ac:dyDescent="0.3">
      <c r="A213">
        <v>212</v>
      </c>
      <c r="B213" t="s">
        <v>233</v>
      </c>
      <c r="C213" t="s">
        <v>725</v>
      </c>
      <c r="D213" s="20" t="str">
        <f>DEC2HEX(HEX2DEC(Table13[[#This Row],[Index]])/4+Table13[[#This Row],[SUB]],4)</f>
        <v>314E</v>
      </c>
      <c r="G213" t="s">
        <v>762</v>
      </c>
      <c r="I213" s="32" t="str">
        <f>G213&amp;C213</f>
        <v>$(SYS):$(SUBSYS):$(DEV):EV_MEVCODEA_14</v>
      </c>
      <c r="J213" t="s">
        <v>785</v>
      </c>
    </row>
    <row r="214" spans="1:10" x14ac:dyDescent="0.3">
      <c r="A214">
        <v>213</v>
      </c>
      <c r="B214" t="s">
        <v>233</v>
      </c>
      <c r="C214" t="s">
        <v>726</v>
      </c>
      <c r="D214" s="20" t="str">
        <f>DEC2HEX(HEX2DEC(Table13[[#This Row],[Index]])/4+Table13[[#This Row],[SUB]],4)</f>
        <v>314F</v>
      </c>
      <c r="G214" t="s">
        <v>762</v>
      </c>
      <c r="I214" s="32" t="str">
        <f>G214&amp;C214</f>
        <v>$(SYS):$(SUBSYS):$(DEV):EV_MEVCODEA_15</v>
      </c>
      <c r="J214" t="s">
        <v>785</v>
      </c>
    </row>
    <row r="215" spans="1:10" x14ac:dyDescent="0.3">
      <c r="A215">
        <v>214</v>
      </c>
      <c r="B215" t="s">
        <v>233</v>
      </c>
      <c r="C215" t="s">
        <v>727</v>
      </c>
      <c r="D215" s="20" t="str">
        <f>DEC2HEX(HEX2DEC(Table13[[#This Row],[Index]])/4+Table13[[#This Row],[SUB]],4)</f>
        <v>3150</v>
      </c>
      <c r="G215" t="s">
        <v>762</v>
      </c>
      <c r="I215" s="32" t="str">
        <f>G215&amp;C215</f>
        <v>$(SYS):$(SUBSYS):$(DEV):EV_MEVCODEA_16</v>
      </c>
      <c r="J215" t="s">
        <v>785</v>
      </c>
    </row>
    <row r="216" spans="1:10" x14ac:dyDescent="0.3">
      <c r="A216">
        <v>215</v>
      </c>
      <c r="B216" t="s">
        <v>233</v>
      </c>
      <c r="C216" t="s">
        <v>728</v>
      </c>
      <c r="D216" s="20" t="str">
        <f>DEC2HEX(HEX2DEC(Table13[[#This Row],[Index]])/4+Table13[[#This Row],[SUB]],4)</f>
        <v>3151</v>
      </c>
      <c r="G216" t="s">
        <v>762</v>
      </c>
      <c r="I216" s="32" t="str">
        <f>G216&amp;C216</f>
        <v>$(SYS):$(SUBSYS):$(DEV):EV_MEVCODEA_17</v>
      </c>
      <c r="J216" t="s">
        <v>785</v>
      </c>
    </row>
    <row r="217" spans="1:10" x14ac:dyDescent="0.3">
      <c r="A217">
        <v>216</v>
      </c>
      <c r="B217" t="s">
        <v>233</v>
      </c>
      <c r="C217" t="s">
        <v>729</v>
      </c>
      <c r="D217" s="20" t="str">
        <f>DEC2HEX(HEX2DEC(Table13[[#This Row],[Index]])/4+Table13[[#This Row],[SUB]],4)</f>
        <v>3152</v>
      </c>
      <c r="G217" t="s">
        <v>762</v>
      </c>
      <c r="I217" s="32" t="str">
        <f>G217&amp;C217</f>
        <v>$(SYS):$(SUBSYS):$(DEV):EV_MEVCODEA_18</v>
      </c>
      <c r="J217" t="s">
        <v>785</v>
      </c>
    </row>
    <row r="218" spans="1:10" x14ac:dyDescent="0.3">
      <c r="A218">
        <v>217</v>
      </c>
      <c r="B218" t="s">
        <v>233</v>
      </c>
      <c r="C218" t="s">
        <v>730</v>
      </c>
      <c r="D218" s="20" t="str">
        <f>DEC2HEX(HEX2DEC(Table13[[#This Row],[Index]])/4+Table13[[#This Row],[SUB]],4)</f>
        <v>3153</v>
      </c>
      <c r="G218" t="s">
        <v>762</v>
      </c>
      <c r="I218" s="32" t="str">
        <f>G218&amp;C218</f>
        <v>$(SYS):$(SUBSYS):$(DEV):EV_MEVCODEA_19</v>
      </c>
      <c r="J218" t="s">
        <v>785</v>
      </c>
    </row>
    <row r="219" spans="1:10" x14ac:dyDescent="0.3">
      <c r="A219">
        <v>218</v>
      </c>
      <c r="B219" t="s">
        <v>233</v>
      </c>
      <c r="C219" t="s">
        <v>731</v>
      </c>
      <c r="D219" s="20" t="str">
        <f>DEC2HEX(HEX2DEC(Table13[[#This Row],[Index]])/4+Table13[[#This Row],[SUB]],4)</f>
        <v>3154</v>
      </c>
      <c r="G219" t="s">
        <v>762</v>
      </c>
      <c r="I219" s="32" t="str">
        <f>G219&amp;C219</f>
        <v>$(SYS):$(SUBSYS):$(DEV):EV_MEVCODEA_20</v>
      </c>
      <c r="J219" t="s">
        <v>785</v>
      </c>
    </row>
    <row r="220" spans="1:10" x14ac:dyDescent="0.3">
      <c r="A220">
        <v>219</v>
      </c>
      <c r="B220" t="s">
        <v>233</v>
      </c>
      <c r="C220" t="s">
        <v>732</v>
      </c>
      <c r="D220" s="20" t="str">
        <f>DEC2HEX(HEX2DEC(Table13[[#This Row],[Index]])/4+Table13[[#This Row],[SUB]],4)</f>
        <v>3155</v>
      </c>
      <c r="G220" t="s">
        <v>762</v>
      </c>
      <c r="I220" s="32" t="str">
        <f>G220&amp;C220</f>
        <v>$(SYS):$(SUBSYS):$(DEV):EV_MEVCODEA_21</v>
      </c>
      <c r="J220" t="s">
        <v>785</v>
      </c>
    </row>
    <row r="221" spans="1:10" x14ac:dyDescent="0.3">
      <c r="A221">
        <v>220</v>
      </c>
      <c r="B221" t="s">
        <v>233</v>
      </c>
      <c r="C221" t="s">
        <v>733</v>
      </c>
      <c r="D221" s="20" t="str">
        <f>DEC2HEX(HEX2DEC(Table13[[#This Row],[Index]])/4+Table13[[#This Row],[SUB]],4)</f>
        <v>3156</v>
      </c>
      <c r="G221" t="s">
        <v>762</v>
      </c>
      <c r="I221" s="32" t="str">
        <f>G221&amp;C221</f>
        <v>$(SYS):$(SUBSYS):$(DEV):EV_MEVCODEA_22</v>
      </c>
      <c r="J221" t="s">
        <v>785</v>
      </c>
    </row>
    <row r="222" spans="1:10" x14ac:dyDescent="0.3">
      <c r="A222">
        <v>221</v>
      </c>
      <c r="B222" t="s">
        <v>233</v>
      </c>
      <c r="C222" t="s">
        <v>734</v>
      </c>
      <c r="D222" s="20" t="str">
        <f>DEC2HEX(HEX2DEC(Table13[[#This Row],[Index]])/4+Table13[[#This Row],[SUB]],4)</f>
        <v>3157</v>
      </c>
      <c r="G222" t="s">
        <v>762</v>
      </c>
      <c r="I222" s="32" t="str">
        <f>G222&amp;C222</f>
        <v>$(SYS):$(SUBSYS):$(DEV):EV_MEVCODEA_23</v>
      </c>
      <c r="J222" t="s">
        <v>785</v>
      </c>
    </row>
    <row r="223" spans="1:10" x14ac:dyDescent="0.3">
      <c r="A223">
        <v>222</v>
      </c>
      <c r="B223" t="s">
        <v>233</v>
      </c>
      <c r="C223" t="s">
        <v>735</v>
      </c>
      <c r="D223" s="20" t="str">
        <f>DEC2HEX(HEX2DEC(Table13[[#This Row],[Index]])/4+Table13[[#This Row],[SUB]],4)</f>
        <v>3158</v>
      </c>
      <c r="G223" t="s">
        <v>762</v>
      </c>
      <c r="I223" s="32" t="str">
        <f>G223&amp;C223</f>
        <v>$(SYS):$(SUBSYS):$(DEV):EV_MEVCODEA_24</v>
      </c>
      <c r="J223" t="s">
        <v>785</v>
      </c>
    </row>
    <row r="224" spans="1:10" x14ac:dyDescent="0.3">
      <c r="A224">
        <v>223</v>
      </c>
      <c r="B224" t="s">
        <v>233</v>
      </c>
      <c r="C224" t="s">
        <v>736</v>
      </c>
      <c r="D224" s="20" t="str">
        <f>DEC2HEX(HEX2DEC(Table13[[#This Row],[Index]])/4+Table13[[#This Row],[SUB]],4)</f>
        <v>3159</v>
      </c>
      <c r="G224" t="s">
        <v>762</v>
      </c>
      <c r="I224" s="32" t="str">
        <f>G224&amp;C224</f>
        <v>$(SYS):$(SUBSYS):$(DEV):EV_MEVCODEA_25</v>
      </c>
      <c r="J224" t="s">
        <v>785</v>
      </c>
    </row>
    <row r="225" spans="1:10" x14ac:dyDescent="0.3">
      <c r="A225">
        <v>224</v>
      </c>
      <c r="B225" t="s">
        <v>233</v>
      </c>
      <c r="C225" t="s">
        <v>737</v>
      </c>
      <c r="D225" s="20" t="str">
        <f>DEC2HEX(HEX2DEC(Table13[[#This Row],[Index]])/4+Table13[[#This Row],[SUB]],4)</f>
        <v>315A</v>
      </c>
      <c r="G225" t="s">
        <v>762</v>
      </c>
      <c r="I225" s="32" t="str">
        <f>G225&amp;C225</f>
        <v>$(SYS):$(SUBSYS):$(DEV):EV_MEVCODEA_26</v>
      </c>
      <c r="J225" t="s">
        <v>785</v>
      </c>
    </row>
    <row r="226" spans="1:10" x14ac:dyDescent="0.3">
      <c r="A226">
        <v>225</v>
      </c>
      <c r="B226" t="s">
        <v>233</v>
      </c>
      <c r="C226" t="s">
        <v>738</v>
      </c>
      <c r="D226" s="20" t="str">
        <f>DEC2HEX(HEX2DEC(Table13[[#This Row],[Index]])/4+Table13[[#This Row],[SUB]],4)</f>
        <v>315B</v>
      </c>
      <c r="G226" t="s">
        <v>762</v>
      </c>
      <c r="I226" s="32" t="str">
        <f>G226&amp;C226</f>
        <v>$(SYS):$(SUBSYS):$(DEV):EV_MEVCODEA_27</v>
      </c>
      <c r="J226" t="s">
        <v>785</v>
      </c>
    </row>
    <row r="227" spans="1:10" x14ac:dyDescent="0.3">
      <c r="A227">
        <v>226</v>
      </c>
      <c r="B227" t="s">
        <v>233</v>
      </c>
      <c r="C227" t="s">
        <v>739</v>
      </c>
      <c r="D227" s="20" t="str">
        <f>DEC2HEX(HEX2DEC(Table13[[#This Row],[Index]])/4+Table13[[#This Row],[SUB]],4)</f>
        <v>315C</v>
      </c>
      <c r="G227" t="s">
        <v>762</v>
      </c>
      <c r="I227" s="32" t="str">
        <f>G227&amp;C227</f>
        <v>$(SYS):$(SUBSYS):$(DEV):EV_MEVCODEA_28</v>
      </c>
      <c r="J227" t="s">
        <v>785</v>
      </c>
    </row>
    <row r="228" spans="1:10" x14ac:dyDescent="0.3">
      <c r="A228">
        <v>227</v>
      </c>
      <c r="B228" t="s">
        <v>233</v>
      </c>
      <c r="C228" t="s">
        <v>740</v>
      </c>
      <c r="D228" s="20" t="str">
        <f>DEC2HEX(HEX2DEC(Table13[[#This Row],[Index]])/4+Table13[[#This Row],[SUB]],4)</f>
        <v>315D</v>
      </c>
      <c r="G228" t="s">
        <v>762</v>
      </c>
      <c r="I228" s="32" t="str">
        <f>G228&amp;C228</f>
        <v>$(SYS):$(SUBSYS):$(DEV):EV_MEVCODEA_29</v>
      </c>
      <c r="J228" t="s">
        <v>785</v>
      </c>
    </row>
    <row r="229" spans="1:10" x14ac:dyDescent="0.3">
      <c r="A229">
        <v>228</v>
      </c>
      <c r="B229" t="s">
        <v>233</v>
      </c>
      <c r="C229" t="s">
        <v>741</v>
      </c>
      <c r="D229" s="20" t="str">
        <f>DEC2HEX(HEX2DEC(Table13[[#This Row],[Index]])/4+Table13[[#This Row],[SUB]],4)</f>
        <v>315E</v>
      </c>
      <c r="G229" t="s">
        <v>762</v>
      </c>
      <c r="I229" s="32" t="str">
        <f>G229&amp;C229</f>
        <v>$(SYS):$(SUBSYS):$(DEV):EV_MEVCODEA_30</v>
      </c>
      <c r="J229" t="s">
        <v>785</v>
      </c>
    </row>
    <row r="230" spans="1:10" x14ac:dyDescent="0.3">
      <c r="A230">
        <v>229</v>
      </c>
      <c r="B230" t="s">
        <v>233</v>
      </c>
      <c r="C230" t="s">
        <v>742</v>
      </c>
      <c r="D230" s="20" t="str">
        <f>DEC2HEX(HEX2DEC(Table13[[#This Row],[Index]])/4+Table13[[#This Row],[SUB]],4)</f>
        <v>315F</v>
      </c>
      <c r="G230" t="s">
        <v>762</v>
      </c>
      <c r="I230" s="32" t="str">
        <f>G230&amp;C230</f>
        <v>$(SYS):$(SUBSYS):$(DEV):EV_MEVCODEA_31</v>
      </c>
      <c r="J230" t="s">
        <v>785</v>
      </c>
    </row>
    <row r="231" spans="1:10" x14ac:dyDescent="0.3">
      <c r="A231">
        <v>230</v>
      </c>
      <c r="B231" t="s">
        <v>485</v>
      </c>
      <c r="C231" t="s">
        <v>508</v>
      </c>
      <c r="D231" s="20" t="s">
        <v>473</v>
      </c>
      <c r="E231" t="s">
        <v>743</v>
      </c>
      <c r="G231" t="s">
        <v>762</v>
      </c>
      <c r="I231" s="32" t="str">
        <f>G231&amp;C231</f>
        <v>$(SYS):$(SUBSYS):$(DEV):EV_SEQA_CFG</v>
      </c>
      <c r="J231" t="s">
        <v>785</v>
      </c>
    </row>
    <row r="232" spans="1:10" x14ac:dyDescent="0.3">
      <c r="A232">
        <v>231</v>
      </c>
      <c r="B232" t="s">
        <v>485</v>
      </c>
      <c r="C232" t="s">
        <v>744</v>
      </c>
      <c r="D232" s="20" t="s">
        <v>475</v>
      </c>
      <c r="E232" t="s">
        <v>743</v>
      </c>
      <c r="G232" t="s">
        <v>762</v>
      </c>
      <c r="I232" s="32" t="str">
        <f>G232&amp;C232</f>
        <v>$(SYS):$(SUBSYS):$(DEV):EV_SEQA_TSTAMP</v>
      </c>
      <c r="J232" t="s">
        <v>785</v>
      </c>
    </row>
    <row r="233" spans="1:10" x14ac:dyDescent="0.3">
      <c r="A233">
        <v>232</v>
      </c>
      <c r="B233" t="s">
        <v>485</v>
      </c>
      <c r="C233" t="s">
        <v>745</v>
      </c>
      <c r="D233" s="20" t="s">
        <v>477</v>
      </c>
      <c r="E233" t="s">
        <v>743</v>
      </c>
      <c r="G233" t="s">
        <v>762</v>
      </c>
      <c r="I233" s="32" t="str">
        <f>G233&amp;C233</f>
        <v>$(SYS):$(SUBSYS):$(DEV):EV_SEQB_CFG</v>
      </c>
      <c r="J233" t="s">
        <v>785</v>
      </c>
    </row>
    <row r="234" spans="1:10" x14ac:dyDescent="0.3">
      <c r="A234">
        <v>233</v>
      </c>
      <c r="B234" t="s">
        <v>485</v>
      </c>
      <c r="C234" t="s">
        <v>746</v>
      </c>
      <c r="D234" s="20" t="s">
        <v>479</v>
      </c>
      <c r="E234" t="s">
        <v>743</v>
      </c>
      <c r="G234" t="s">
        <v>762</v>
      </c>
      <c r="I234" s="32" t="str">
        <f>G234&amp;C234</f>
        <v>$(SYS):$(SUBSYS):$(DEV):EV_SEQB_TSTAMP</v>
      </c>
      <c r="J234" t="s">
        <v>785</v>
      </c>
    </row>
    <row r="235" spans="1:10" x14ac:dyDescent="0.3">
      <c r="A235">
        <v>234</v>
      </c>
      <c r="B235" t="s">
        <v>485</v>
      </c>
      <c r="C235" t="s">
        <v>747</v>
      </c>
      <c r="D235" s="20" t="s">
        <v>480</v>
      </c>
      <c r="E235" t="s">
        <v>743</v>
      </c>
      <c r="G235" t="s">
        <v>762</v>
      </c>
      <c r="I235" s="32" t="str">
        <f>G235&amp;C235</f>
        <v>$(SYS):$(SUBSYS):$(DEV):EV_MAP_RAM</v>
      </c>
      <c r="J235" t="s">
        <v>785</v>
      </c>
    </row>
    <row r="236" spans="1:10" x14ac:dyDescent="0.3">
      <c r="A236">
        <v>235</v>
      </c>
      <c r="B236" t="s">
        <v>233</v>
      </c>
      <c r="C236" t="s">
        <v>748</v>
      </c>
      <c r="D236" s="20">
        <v>65</v>
      </c>
      <c r="G236" t="s">
        <v>762</v>
      </c>
      <c r="I236" s="37" t="str">
        <f>G236&amp;C236</f>
        <v>$(SYS):$(SUBSYS):$(DEV):EV_TRIG_SEL_A</v>
      </c>
      <c r="J236" s="37"/>
    </row>
    <row r="237" spans="1:10" x14ac:dyDescent="0.3">
      <c r="A237">
        <v>236</v>
      </c>
      <c r="B237" t="s">
        <v>233</v>
      </c>
      <c r="C237" t="s">
        <v>749</v>
      </c>
      <c r="D237" s="20">
        <v>66</v>
      </c>
      <c r="G237" t="s">
        <v>762</v>
      </c>
      <c r="I237" s="37" t="str">
        <f>G237&amp;C237</f>
        <v>$(SYS):$(SUBSYS):$(DEV):EV_TRIG_SEL_B</v>
      </c>
      <c r="J237" s="37"/>
    </row>
    <row r="238" spans="1:10" x14ac:dyDescent="0.3">
      <c r="A238">
        <v>237</v>
      </c>
      <c r="B238" t="s">
        <v>233</v>
      </c>
      <c r="C238" t="s">
        <v>750</v>
      </c>
      <c r="D238" s="20">
        <v>67</v>
      </c>
      <c r="G238" t="s">
        <v>762</v>
      </c>
      <c r="I238" s="37" t="str">
        <f>G238&amp;C238</f>
        <v>$(SYS):$(SUBSYS):$(DEV):EV_TRIG_SEL_C</v>
      </c>
      <c r="J238" s="37"/>
    </row>
    <row r="239" spans="1:10" x14ac:dyDescent="0.3">
      <c r="A239">
        <v>238</v>
      </c>
      <c r="B239" t="s">
        <v>233</v>
      </c>
      <c r="C239" t="s">
        <v>751</v>
      </c>
      <c r="D239" s="20">
        <v>68</v>
      </c>
      <c r="G239" t="s">
        <v>762</v>
      </c>
      <c r="I239" s="37" t="str">
        <f>G239&amp;C239</f>
        <v>$(SYS):$(SUBSYS):$(DEV):EV_TRIG_SEL_D</v>
      </c>
      <c r="J239" s="37"/>
    </row>
    <row r="240" spans="1:10" x14ac:dyDescent="0.3">
      <c r="A240">
        <v>239</v>
      </c>
      <c r="B240" t="s">
        <v>233</v>
      </c>
      <c r="C240" t="s">
        <v>752</v>
      </c>
      <c r="D240" s="20">
        <v>69</v>
      </c>
      <c r="G240" t="s">
        <v>762</v>
      </c>
      <c r="I240" s="37" t="str">
        <f>G240&amp;C240</f>
        <v>$(SYS):$(SUBSYS):$(DEV):EV_TRIG_SEL_E</v>
      </c>
      <c r="J240" s="37"/>
    </row>
    <row r="241" spans="1:10" x14ac:dyDescent="0.3">
      <c r="A241">
        <v>240</v>
      </c>
      <c r="B241" t="s">
        <v>233</v>
      </c>
      <c r="C241" t="s">
        <v>753</v>
      </c>
      <c r="D241" s="20" t="s">
        <v>495</v>
      </c>
      <c r="G241" t="s">
        <v>762</v>
      </c>
      <c r="I241" s="37" t="str">
        <f>G241&amp;C241</f>
        <v>$(SYS):$(SUBSYS):$(DEV):EV_TRIG_SEL_F</v>
      </c>
      <c r="J241" s="37"/>
    </row>
    <row r="242" spans="1:10" x14ac:dyDescent="0.3">
      <c r="A242">
        <v>241</v>
      </c>
      <c r="B242" t="s">
        <v>233</v>
      </c>
      <c r="C242" t="s">
        <v>754</v>
      </c>
      <c r="D242" s="20" t="s">
        <v>496</v>
      </c>
      <c r="G242" t="s">
        <v>762</v>
      </c>
      <c r="I242" s="37" t="str">
        <f>G242&amp;C242</f>
        <v>$(SYS):$(SUBSYS):$(DEV):EV_TRIG_SEL_G</v>
      </c>
      <c r="J242" s="37"/>
    </row>
    <row r="243" spans="1:10" x14ac:dyDescent="0.3">
      <c r="A243">
        <v>242</v>
      </c>
      <c r="B243" t="s">
        <v>233</v>
      </c>
      <c r="C243" t="s">
        <v>755</v>
      </c>
      <c r="D243" s="20" t="s">
        <v>497</v>
      </c>
      <c r="G243" t="s">
        <v>762</v>
      </c>
      <c r="I243" s="37" t="str">
        <f>G243&amp;C243</f>
        <v>$(SYS):$(SUBSYS):$(DEV):EV_TRIG_SEL_H</v>
      </c>
      <c r="J243" s="37"/>
    </row>
    <row r="244" spans="1:10" x14ac:dyDescent="0.3">
      <c r="A244">
        <v>243</v>
      </c>
      <c r="B244" t="s">
        <v>233</v>
      </c>
      <c r="C244" t="s">
        <v>788</v>
      </c>
      <c r="D244" s="20" t="s">
        <v>498</v>
      </c>
      <c r="G244" t="s">
        <v>762</v>
      </c>
      <c r="I244" s="37" t="str">
        <f>G244&amp;C244</f>
        <v>$(SYS):$(SUBSYS):$(DEV):EV_TX_DBUS_SEL_A</v>
      </c>
      <c r="J244" s="37"/>
    </row>
    <row r="245" spans="1:10" x14ac:dyDescent="0.3">
      <c r="A245">
        <v>244</v>
      </c>
      <c r="B245" t="s">
        <v>233</v>
      </c>
      <c r="C245" t="s">
        <v>756</v>
      </c>
      <c r="D245" s="20" t="s">
        <v>499</v>
      </c>
      <c r="G245" t="s">
        <v>762</v>
      </c>
      <c r="I245" s="37" t="str">
        <f>G245&amp;C245</f>
        <v>$(SYS):$(SUBSYS):$(DEV):EV_TX_DBUS_SEL_B</v>
      </c>
      <c r="J245" s="37"/>
    </row>
    <row r="246" spans="1:10" x14ac:dyDescent="0.3">
      <c r="A246">
        <v>245</v>
      </c>
      <c r="B246" t="s">
        <v>233</v>
      </c>
      <c r="C246" t="s">
        <v>757</v>
      </c>
      <c r="D246" s="20">
        <v>0</v>
      </c>
      <c r="G246" t="s">
        <v>762</v>
      </c>
      <c r="I246" s="32" t="str">
        <f>G246&amp;C246</f>
        <v>$(SYS):$(SUBSYS):$(DEV):SYS_SEQA_CFG_SET</v>
      </c>
      <c r="J246" t="s">
        <v>785</v>
      </c>
    </row>
    <row r="247" spans="1:10" x14ac:dyDescent="0.3">
      <c r="A247">
        <v>246</v>
      </c>
      <c r="B247" t="s">
        <v>233</v>
      </c>
      <c r="C247" t="s">
        <v>758</v>
      </c>
      <c r="D247" s="20">
        <v>0</v>
      </c>
      <c r="G247" t="s">
        <v>762</v>
      </c>
      <c r="I247" s="32" t="str">
        <f>G247&amp;C247</f>
        <v>$(SYS):$(SUBSYS):$(DEV):SYS_SEQA_TSTAMP_SET</v>
      </c>
      <c r="J247" t="s">
        <v>785</v>
      </c>
    </row>
    <row r="248" spans="1:10" x14ac:dyDescent="0.3">
      <c r="A248">
        <v>247</v>
      </c>
      <c r="B248" t="s">
        <v>233</v>
      </c>
      <c r="C248" t="s">
        <v>759</v>
      </c>
      <c r="D248" s="20">
        <v>0</v>
      </c>
      <c r="G248" t="s">
        <v>762</v>
      </c>
      <c r="I248" s="32" t="str">
        <f>G248&amp;C248</f>
        <v>$(SYS):$(SUBSYS):$(DEV):SYS_SEQB_CFG_SET</v>
      </c>
      <c r="J248" t="s">
        <v>785</v>
      </c>
    </row>
    <row r="249" spans="1:10" x14ac:dyDescent="0.3">
      <c r="A249">
        <v>248</v>
      </c>
      <c r="B249" t="s">
        <v>233</v>
      </c>
      <c r="C249" t="s">
        <v>760</v>
      </c>
      <c r="D249" s="20">
        <v>0</v>
      </c>
      <c r="G249" t="s">
        <v>762</v>
      </c>
      <c r="I249" s="32" t="str">
        <f>G249&amp;C249</f>
        <v>$(SYS):$(SUBSYS):$(DEV):SYS_SEQB_TSTAMP_SET</v>
      </c>
      <c r="J249" t="s">
        <v>785</v>
      </c>
    </row>
    <row r="250" spans="1:10" x14ac:dyDescent="0.3">
      <c r="A250">
        <v>249</v>
      </c>
      <c r="B250" t="s">
        <v>233</v>
      </c>
      <c r="C250" t="s">
        <v>761</v>
      </c>
      <c r="D250" s="20">
        <v>0</v>
      </c>
      <c r="G250" t="s">
        <v>762</v>
      </c>
      <c r="I250" s="32" t="str">
        <f>G250&amp;C250</f>
        <v>$(SYS):$(SUBSYS):$(DEV):SYS_MAP_RAM_SET</v>
      </c>
      <c r="J250" t="s">
        <v>785</v>
      </c>
    </row>
  </sheetData>
  <sortState ref="K31:L281">
    <sortCondition ref="K31"/>
  </sortState>
  <phoneticPr fontId="1" type="noConversion"/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A605"/>
  <sheetViews>
    <sheetView zoomScaleNormal="100" workbookViewId="0">
      <pane xSplit="2" ySplit="40" topLeftCell="C337" activePane="bottomRight" state="frozen"/>
      <selection pane="topRight" activeCell="C1" sqref="C1"/>
      <selection pane="bottomLeft" activeCell="A41" sqref="A41"/>
      <selection pane="bottomRight" activeCell="P418" sqref="P418"/>
    </sheetView>
  </sheetViews>
  <sheetFormatPr defaultRowHeight="12" x14ac:dyDescent="0.3"/>
  <cols>
    <col min="1" max="1" width="11.25" style="1" bestFit="1" customWidth="1"/>
    <col min="2" max="2" width="17" style="1" bestFit="1" customWidth="1"/>
    <col min="3" max="3" width="16.125" style="1" bestFit="1" customWidth="1"/>
    <col min="4" max="4" width="23.875" style="1" bestFit="1" customWidth="1"/>
    <col min="5" max="5" width="19.25" style="1" bestFit="1" customWidth="1"/>
    <col min="6" max="6" width="21.875" style="1" bestFit="1" customWidth="1"/>
    <col min="7" max="7" width="10.5" style="4" bestFit="1" customWidth="1"/>
    <col min="8" max="8" width="11.25" style="1" bestFit="1" customWidth="1"/>
    <col min="9" max="10" width="16.75" style="4" bestFit="1" customWidth="1"/>
    <col min="11" max="11" width="17.125" style="1" bestFit="1" customWidth="1"/>
    <col min="12" max="12" width="10.5" style="1" bestFit="1" customWidth="1"/>
    <col min="13" max="13" width="23.875" style="1" hidden="1" customWidth="1"/>
    <col min="14" max="14" width="10.5" style="1" bestFit="1" customWidth="1"/>
    <col min="15" max="15" width="21" style="1" bestFit="1" customWidth="1"/>
    <col min="16" max="16" width="14.5" style="1" bestFit="1" customWidth="1"/>
    <col min="17" max="17" width="11.5" style="1" bestFit="1" customWidth="1"/>
    <col min="18" max="19" width="10.5" style="1" bestFit="1" customWidth="1"/>
    <col min="20" max="20" width="12.5" style="1" bestFit="1" customWidth="1"/>
    <col min="21" max="21" width="10.5" style="1" bestFit="1" customWidth="1"/>
    <col min="22" max="22" width="4.5" style="1" customWidth="1"/>
    <col min="23" max="23" width="7.25" style="1" bestFit="1" customWidth="1"/>
    <col min="24" max="24" width="11.5" style="1" bestFit="1" customWidth="1"/>
    <col min="25" max="25" width="12.5" style="1" bestFit="1" customWidth="1"/>
    <col min="26" max="26" width="11.5" style="1" bestFit="1" customWidth="1"/>
    <col min="27" max="27" width="53" style="1" bestFit="1" customWidth="1"/>
    <col min="28" max="16384" width="9" style="1"/>
  </cols>
  <sheetData>
    <row r="1" spans="1:26" x14ac:dyDescent="0.3">
      <c r="A1" s="1">
        <v>1</v>
      </c>
      <c r="B1" s="1">
        <f>A1+1</f>
        <v>2</v>
      </c>
      <c r="C1" s="1">
        <f t="shared" ref="C1:Z1" si="0">B1+1</f>
        <v>3</v>
      </c>
      <c r="D1" s="1">
        <f t="shared" si="0"/>
        <v>4</v>
      </c>
      <c r="E1" s="1">
        <f t="shared" si="0"/>
        <v>5</v>
      </c>
      <c r="F1" s="1">
        <f t="shared" si="0"/>
        <v>6</v>
      </c>
      <c r="G1" s="4">
        <f t="shared" si="0"/>
        <v>7</v>
      </c>
      <c r="H1" s="1">
        <f t="shared" si="0"/>
        <v>8</v>
      </c>
      <c r="I1" s="4">
        <f t="shared" si="0"/>
        <v>9</v>
      </c>
      <c r="J1" s="4">
        <f t="shared" si="0"/>
        <v>10</v>
      </c>
      <c r="K1" s="1">
        <f t="shared" si="0"/>
        <v>11</v>
      </c>
      <c r="L1" s="1">
        <f>K1+1</f>
        <v>12</v>
      </c>
      <c r="M1" s="1">
        <f t="shared" si="0"/>
        <v>13</v>
      </c>
      <c r="N1" s="1">
        <f t="shared" si="0"/>
        <v>14</v>
      </c>
      <c r="O1" s="1">
        <f t="shared" si="0"/>
        <v>15</v>
      </c>
      <c r="P1" s="1">
        <f t="shared" si="0"/>
        <v>16</v>
      </c>
      <c r="Q1" s="1">
        <f t="shared" si="0"/>
        <v>17</v>
      </c>
      <c r="R1" s="1">
        <f t="shared" si="0"/>
        <v>18</v>
      </c>
      <c r="S1" s="1">
        <f t="shared" si="0"/>
        <v>19</v>
      </c>
      <c r="T1" s="1">
        <f t="shared" si="0"/>
        <v>20</v>
      </c>
      <c r="U1" s="1">
        <f t="shared" si="0"/>
        <v>21</v>
      </c>
      <c r="V1" s="1">
        <f t="shared" si="0"/>
        <v>22</v>
      </c>
      <c r="W1" s="1">
        <f t="shared" si="0"/>
        <v>23</v>
      </c>
      <c r="X1" s="1">
        <f t="shared" si="0"/>
        <v>24</v>
      </c>
      <c r="Y1" s="1">
        <f t="shared" si="0"/>
        <v>25</v>
      </c>
      <c r="Z1" s="1">
        <f t="shared" si="0"/>
        <v>26</v>
      </c>
    </row>
    <row r="2" spans="1:26" hidden="1" x14ac:dyDescent="0.3">
      <c r="A2" s="29" t="s">
        <v>322</v>
      </c>
      <c r="B2" s="29"/>
      <c r="C2" s="29"/>
      <c r="D2" s="29"/>
      <c r="E2" s="29"/>
      <c r="H2" s="2"/>
      <c r="K2" s="2"/>
      <c r="L2" s="2"/>
      <c r="M2" s="2"/>
      <c r="N2" s="2"/>
      <c r="O2" s="3"/>
      <c r="X2" s="4"/>
    </row>
    <row r="3" spans="1:26" hidden="1" x14ac:dyDescent="0.3">
      <c r="A3" s="29" t="s">
        <v>321</v>
      </c>
      <c r="B3" s="29"/>
      <c r="C3" s="29"/>
      <c r="D3" s="29"/>
      <c r="E3" s="29"/>
      <c r="H3" s="2"/>
      <c r="K3" s="2"/>
      <c r="L3" s="2"/>
      <c r="M3" s="2"/>
      <c r="N3" s="2"/>
      <c r="O3" s="3"/>
      <c r="X3" s="4"/>
    </row>
    <row r="4" spans="1:26" hidden="1" x14ac:dyDescent="0.3">
      <c r="A4" s="29"/>
      <c r="B4" s="29"/>
      <c r="C4" s="29"/>
      <c r="D4" s="29"/>
      <c r="E4" s="29"/>
      <c r="H4" s="2"/>
      <c r="K4" s="2"/>
      <c r="L4" s="2"/>
      <c r="M4" s="2"/>
      <c r="N4" s="2"/>
      <c r="O4" s="3"/>
      <c r="X4" s="4"/>
    </row>
    <row r="5" spans="1:26" hidden="1" x14ac:dyDescent="0.3">
      <c r="A5" s="29"/>
      <c r="B5" s="29"/>
      <c r="C5" s="29"/>
      <c r="D5" s="29"/>
      <c r="E5" s="29"/>
      <c r="F5" s="2"/>
      <c r="H5" s="2"/>
      <c r="K5" s="2"/>
      <c r="L5" s="2"/>
      <c r="M5" s="2"/>
      <c r="N5" s="2"/>
      <c r="O5" s="3"/>
      <c r="X5" s="4"/>
    </row>
    <row r="6" spans="1:26" hidden="1" x14ac:dyDescent="0.3">
      <c r="A6" s="29"/>
      <c r="B6" s="29"/>
      <c r="C6" s="29"/>
      <c r="D6" s="29"/>
      <c r="E6" s="29"/>
      <c r="F6" s="3"/>
      <c r="H6" s="2"/>
      <c r="K6" s="2"/>
      <c r="L6" s="2"/>
      <c r="M6" s="2"/>
      <c r="N6" s="2"/>
      <c r="O6" s="3"/>
      <c r="X6" s="4"/>
    </row>
    <row r="7" spans="1:26" hidden="1" x14ac:dyDescent="0.3">
      <c r="A7" s="29"/>
      <c r="B7" s="29"/>
      <c r="C7" s="29"/>
      <c r="D7" s="29"/>
      <c r="E7" s="29"/>
      <c r="F7" s="3"/>
      <c r="H7" s="2"/>
      <c r="K7" s="2"/>
      <c r="L7" s="2"/>
      <c r="M7" s="2"/>
      <c r="N7" s="2"/>
      <c r="O7" s="3"/>
      <c r="X7" s="4"/>
    </row>
    <row r="8" spans="1:26" hidden="1" x14ac:dyDescent="0.3">
      <c r="A8" s="29"/>
      <c r="B8" s="29"/>
      <c r="C8" s="29"/>
      <c r="D8" s="29"/>
      <c r="E8" s="29"/>
      <c r="F8" s="3"/>
      <c r="H8" s="2"/>
      <c r="K8" s="2"/>
      <c r="L8" s="2"/>
      <c r="M8" s="2"/>
      <c r="N8" s="2"/>
      <c r="O8" s="3"/>
      <c r="X8" s="4"/>
    </row>
    <row r="9" spans="1:26" hidden="1" x14ac:dyDescent="0.3">
      <c r="A9" s="29"/>
      <c r="B9" s="29"/>
      <c r="C9" s="29"/>
      <c r="D9" s="29"/>
      <c r="E9" s="29"/>
      <c r="F9" s="3"/>
      <c r="H9" s="2"/>
      <c r="K9" s="2"/>
      <c r="L9" s="2"/>
      <c r="M9" s="2"/>
      <c r="N9" s="2"/>
      <c r="O9" s="3"/>
      <c r="X9" s="4"/>
    </row>
    <row r="10" spans="1:26" hidden="1" x14ac:dyDescent="0.3">
      <c r="A10" s="29" t="s">
        <v>296</v>
      </c>
      <c r="B10" s="29"/>
      <c r="C10" s="29"/>
      <c r="D10" s="29"/>
      <c r="E10" s="29"/>
      <c r="F10" s="3"/>
      <c r="H10" s="2"/>
      <c r="K10" s="2"/>
      <c r="L10" s="2"/>
      <c r="M10" s="2"/>
      <c r="N10" s="2"/>
      <c r="O10" s="3"/>
      <c r="X10" s="4"/>
    </row>
    <row r="11" spans="1:26" hidden="1" x14ac:dyDescent="0.3">
      <c r="A11" s="29" t="s">
        <v>297</v>
      </c>
      <c r="B11" s="29"/>
      <c r="C11" s="29"/>
      <c r="D11" s="29"/>
      <c r="E11" s="29"/>
      <c r="F11" s="3"/>
      <c r="H11" s="2"/>
      <c r="K11" s="2"/>
      <c r="L11" s="2"/>
      <c r="M11" s="2"/>
      <c r="N11" s="2"/>
      <c r="O11" s="3"/>
      <c r="X11" s="4"/>
    </row>
    <row r="12" spans="1:26" hidden="1" x14ac:dyDescent="0.3">
      <c r="A12" s="29" t="s">
        <v>298</v>
      </c>
      <c r="B12" s="29"/>
      <c r="C12" s="29"/>
      <c r="D12" s="29"/>
      <c r="E12" s="29"/>
      <c r="F12" s="3"/>
      <c r="H12" s="2"/>
      <c r="K12" s="2"/>
      <c r="L12" s="2"/>
      <c r="M12" s="2"/>
      <c r="N12" s="2"/>
      <c r="O12" s="3"/>
      <c r="X12" s="4"/>
    </row>
    <row r="13" spans="1:26" hidden="1" x14ac:dyDescent="0.3">
      <c r="A13" s="29" t="s">
        <v>299</v>
      </c>
      <c r="B13" s="29"/>
      <c r="C13" s="29"/>
      <c r="D13" s="29"/>
      <c r="E13" s="29"/>
      <c r="F13" s="3"/>
      <c r="H13" s="2"/>
      <c r="K13" s="2"/>
      <c r="L13" s="2"/>
      <c r="M13" s="2"/>
      <c r="N13" s="2"/>
      <c r="O13" s="3"/>
      <c r="X13" s="4"/>
    </row>
    <row r="14" spans="1:26" hidden="1" x14ac:dyDescent="0.3">
      <c r="A14" s="29" t="s">
        <v>300</v>
      </c>
      <c r="B14" s="29"/>
      <c r="C14" s="29"/>
      <c r="D14" s="29"/>
      <c r="E14" s="29"/>
      <c r="F14" s="3"/>
      <c r="H14" s="2"/>
      <c r="K14" s="2"/>
      <c r="L14" s="2"/>
      <c r="M14" s="2"/>
      <c r="N14" s="2"/>
      <c r="O14" s="3"/>
      <c r="X14" s="4"/>
    </row>
    <row r="15" spans="1:26" hidden="1" x14ac:dyDescent="0.3">
      <c r="A15" s="29" t="s">
        <v>301</v>
      </c>
      <c r="B15" s="29"/>
      <c r="C15" s="29"/>
      <c r="D15" s="29"/>
      <c r="E15" s="29"/>
      <c r="F15" s="3"/>
      <c r="H15" s="2"/>
      <c r="K15" s="2"/>
      <c r="L15" s="2"/>
      <c r="M15" s="2"/>
      <c r="N15" s="2"/>
      <c r="O15" s="3"/>
      <c r="X15" s="4"/>
    </row>
    <row r="16" spans="1:26" hidden="1" x14ac:dyDescent="0.3">
      <c r="A16" s="29" t="s">
        <v>302</v>
      </c>
      <c r="B16" s="29"/>
      <c r="C16" s="29"/>
      <c r="D16" s="29"/>
      <c r="E16" s="29"/>
      <c r="F16" s="3"/>
      <c r="H16" s="2"/>
      <c r="K16" s="2"/>
      <c r="L16" s="2"/>
      <c r="M16" s="2"/>
      <c r="N16" s="2"/>
      <c r="O16" s="3"/>
      <c r="X16" s="4"/>
    </row>
    <row r="17" spans="1:24" hidden="1" x14ac:dyDescent="0.3">
      <c r="A17" s="29" t="s">
        <v>303</v>
      </c>
      <c r="B17" s="29"/>
      <c r="C17" s="29"/>
      <c r="D17" s="29"/>
      <c r="E17" s="29"/>
      <c r="F17" s="3"/>
      <c r="H17" s="2"/>
      <c r="K17" s="2"/>
      <c r="L17" s="2"/>
      <c r="M17" s="2"/>
      <c r="N17" s="2"/>
      <c r="O17" s="3"/>
      <c r="X17" s="4"/>
    </row>
    <row r="18" spans="1:24" hidden="1" x14ac:dyDescent="0.3">
      <c r="A18" s="29" t="s">
        <v>304</v>
      </c>
      <c r="B18" s="29"/>
      <c r="C18" s="29"/>
      <c r="D18" s="29"/>
      <c r="E18" s="29"/>
      <c r="F18" s="3"/>
      <c r="H18" s="2"/>
      <c r="K18" s="2"/>
      <c r="L18" s="2"/>
      <c r="M18" s="2"/>
      <c r="N18" s="2"/>
      <c r="O18" s="3"/>
      <c r="X18" s="4"/>
    </row>
    <row r="19" spans="1:24" hidden="1" x14ac:dyDescent="0.3">
      <c r="A19" s="29" t="s">
        <v>305</v>
      </c>
      <c r="B19" s="29"/>
      <c r="C19" s="29"/>
      <c r="D19" s="29"/>
      <c r="E19" s="29"/>
      <c r="F19" s="3"/>
      <c r="H19" s="2"/>
      <c r="K19" s="2"/>
      <c r="L19" s="2"/>
      <c r="M19" s="2"/>
      <c r="N19" s="2"/>
      <c r="O19" s="3"/>
      <c r="X19" s="4"/>
    </row>
    <row r="20" spans="1:24" hidden="1" x14ac:dyDescent="0.3">
      <c r="A20" s="29"/>
      <c r="B20" s="29"/>
      <c r="C20" s="29"/>
      <c r="D20" s="29"/>
      <c r="E20" s="29"/>
      <c r="F20" s="3"/>
      <c r="H20" s="2"/>
      <c r="K20" s="2"/>
      <c r="L20" s="2"/>
      <c r="M20" s="2"/>
      <c r="N20" s="2"/>
      <c r="O20" s="3"/>
      <c r="X20" s="4"/>
    </row>
    <row r="21" spans="1:24" hidden="1" x14ac:dyDescent="0.3">
      <c r="A21" s="29"/>
      <c r="B21" s="29"/>
      <c r="C21" s="29"/>
      <c r="D21" s="29"/>
      <c r="E21" s="29"/>
      <c r="F21" s="3"/>
      <c r="H21" s="2"/>
      <c r="K21" s="2"/>
      <c r="L21" s="2"/>
      <c r="M21" s="2"/>
      <c r="N21" s="2"/>
      <c r="O21" s="3"/>
      <c r="X21" s="4"/>
    </row>
    <row r="22" spans="1:24" hidden="1" x14ac:dyDescent="0.3">
      <c r="A22" s="29"/>
      <c r="B22" s="29"/>
      <c r="C22" s="29"/>
      <c r="D22" s="29"/>
      <c r="E22" s="29"/>
      <c r="F22" s="3"/>
      <c r="H22" s="2"/>
      <c r="K22" s="2"/>
      <c r="L22" s="2"/>
      <c r="M22" s="2"/>
      <c r="N22" s="2"/>
      <c r="O22" s="3"/>
      <c r="X22" s="4"/>
    </row>
    <row r="23" spans="1:24" hidden="1" x14ac:dyDescent="0.3">
      <c r="A23" s="29"/>
      <c r="B23" s="29"/>
      <c r="C23" s="29"/>
      <c r="D23" s="29"/>
      <c r="E23" s="29"/>
      <c r="F23" s="3"/>
      <c r="H23" s="2"/>
      <c r="K23" s="2"/>
      <c r="L23" s="2"/>
      <c r="M23" s="2"/>
      <c r="N23" s="2"/>
      <c r="O23" s="3"/>
      <c r="X23" s="4"/>
    </row>
    <row r="24" spans="1:24" hidden="1" x14ac:dyDescent="0.3">
      <c r="A24" s="29"/>
      <c r="B24" s="29"/>
      <c r="C24" s="29"/>
      <c r="D24" s="29"/>
      <c r="E24" s="29"/>
      <c r="F24" s="3"/>
      <c r="H24" s="2"/>
      <c r="K24" s="2"/>
      <c r="L24" s="2"/>
      <c r="M24" s="2"/>
      <c r="N24" s="2"/>
      <c r="O24" s="3"/>
      <c r="X24" s="4"/>
    </row>
    <row r="25" spans="1:24" hidden="1" x14ac:dyDescent="0.3">
      <c r="A25" s="29"/>
      <c r="B25" s="29"/>
      <c r="C25" s="29"/>
      <c r="D25" s="29"/>
      <c r="E25" s="29"/>
      <c r="F25" s="3"/>
      <c r="H25" s="2"/>
      <c r="K25" s="2"/>
      <c r="L25" s="2"/>
      <c r="M25" s="2"/>
      <c r="N25" s="2"/>
      <c r="O25" s="3"/>
      <c r="X25" s="4"/>
    </row>
    <row r="26" spans="1:24" hidden="1" x14ac:dyDescent="0.3">
      <c r="A26" s="29"/>
      <c r="B26" s="29"/>
      <c r="C26" s="29"/>
      <c r="D26" s="29"/>
      <c r="E26" s="29"/>
      <c r="F26" s="3"/>
      <c r="H26" s="2"/>
      <c r="K26" s="2"/>
      <c r="L26" s="2"/>
      <c r="M26" s="2"/>
      <c r="N26" s="2"/>
      <c r="O26" s="3"/>
      <c r="X26" s="4"/>
    </row>
    <row r="27" spans="1:24" hidden="1" x14ac:dyDescent="0.3">
      <c r="A27" s="29"/>
      <c r="B27" s="29"/>
      <c r="C27" s="29"/>
      <c r="D27" s="29"/>
      <c r="E27" s="29"/>
      <c r="F27" s="3"/>
      <c r="H27" s="2"/>
      <c r="K27" s="2"/>
      <c r="L27" s="2"/>
      <c r="M27" s="2"/>
      <c r="N27" s="2"/>
      <c r="O27" s="3"/>
      <c r="X27" s="4"/>
    </row>
    <row r="28" spans="1:24" hidden="1" x14ac:dyDescent="0.3">
      <c r="A28" s="29"/>
      <c r="B28" s="29"/>
      <c r="C28" s="29"/>
      <c r="D28" s="29"/>
      <c r="E28" s="29"/>
      <c r="F28" s="3"/>
      <c r="H28" s="2"/>
      <c r="K28" s="2"/>
      <c r="L28" s="2"/>
      <c r="M28" s="2"/>
      <c r="N28" s="2"/>
      <c r="O28" s="3"/>
      <c r="X28" s="4"/>
    </row>
    <row r="29" spans="1:24" hidden="1" x14ac:dyDescent="0.3">
      <c r="A29" s="29"/>
      <c r="B29" s="29"/>
      <c r="C29" s="29"/>
      <c r="D29" s="29"/>
      <c r="E29" s="29"/>
      <c r="F29" s="3"/>
      <c r="H29" s="2"/>
      <c r="K29" s="2"/>
      <c r="L29" s="2"/>
      <c r="M29" s="2"/>
      <c r="N29" s="2"/>
      <c r="O29" s="3"/>
      <c r="X29" s="4"/>
    </row>
    <row r="30" spans="1:24" hidden="1" x14ac:dyDescent="0.3">
      <c r="A30" s="29"/>
      <c r="B30" s="29"/>
      <c r="C30" s="29"/>
      <c r="D30" s="29"/>
      <c r="E30" s="29"/>
      <c r="F30" s="3"/>
      <c r="H30" s="2"/>
      <c r="K30" s="2"/>
      <c r="L30" s="2"/>
      <c r="M30" s="2"/>
      <c r="N30" s="2"/>
      <c r="O30" s="3"/>
      <c r="X30" s="4"/>
    </row>
    <row r="31" spans="1:24" hidden="1" x14ac:dyDescent="0.3">
      <c r="A31" s="29"/>
      <c r="B31" s="29"/>
      <c r="C31" s="29"/>
      <c r="D31" s="29"/>
      <c r="E31" s="29"/>
      <c r="F31" s="3"/>
      <c r="H31" s="2"/>
      <c r="K31" s="2"/>
      <c r="L31" s="2"/>
      <c r="M31" s="2"/>
      <c r="N31" s="2"/>
      <c r="O31" s="3"/>
      <c r="X31" s="4"/>
    </row>
    <row r="32" spans="1:24" hidden="1" x14ac:dyDescent="0.3">
      <c r="A32" s="29"/>
      <c r="B32" s="29"/>
      <c r="C32" s="29"/>
      <c r="D32" s="29"/>
      <c r="E32" s="29"/>
      <c r="F32" s="3"/>
      <c r="H32" s="2"/>
      <c r="K32" s="2"/>
      <c r="L32" s="2"/>
      <c r="M32" s="2"/>
      <c r="N32" s="2"/>
      <c r="O32" s="3"/>
      <c r="X32" s="4"/>
    </row>
    <row r="33" spans="1:27" hidden="1" x14ac:dyDescent="0.3">
      <c r="A33" s="29"/>
      <c r="B33" s="29"/>
      <c r="C33" s="29"/>
      <c r="D33" s="29"/>
      <c r="E33" s="29"/>
      <c r="F33" s="3"/>
      <c r="H33" s="2"/>
      <c r="K33" s="2"/>
      <c r="L33" s="2"/>
      <c r="M33" s="2"/>
      <c r="N33" s="2"/>
      <c r="O33" s="3"/>
      <c r="X33" s="4"/>
    </row>
    <row r="34" spans="1:27" hidden="1" x14ac:dyDescent="0.3">
      <c r="A34" s="29"/>
      <c r="B34" s="29"/>
      <c r="C34" s="29"/>
      <c r="D34" s="29"/>
      <c r="E34" s="29"/>
      <c r="F34" s="3"/>
      <c r="H34" s="2"/>
      <c r="K34" s="2"/>
      <c r="L34" s="2"/>
      <c r="M34" s="2"/>
      <c r="N34" s="2"/>
      <c r="O34" s="3"/>
      <c r="X34" s="4"/>
    </row>
    <row r="35" spans="1:27" hidden="1" x14ac:dyDescent="0.3">
      <c r="A35" s="29"/>
      <c r="B35" s="29"/>
      <c r="C35" s="29"/>
      <c r="D35" s="29"/>
      <c r="E35" s="29"/>
      <c r="F35" s="3"/>
      <c r="H35" s="2"/>
      <c r="K35" s="2"/>
      <c r="L35" s="2"/>
      <c r="M35" s="2"/>
      <c r="N35" s="2"/>
      <c r="O35" s="3"/>
      <c r="X35" s="4"/>
    </row>
    <row r="36" spans="1:27" hidden="1" x14ac:dyDescent="0.3">
      <c r="A36" s="29"/>
      <c r="B36" s="29"/>
      <c r="C36" s="29"/>
      <c r="D36" s="29"/>
      <c r="E36" s="29"/>
      <c r="F36" s="3"/>
      <c r="H36" s="2"/>
      <c r="K36" s="2"/>
      <c r="L36" s="2"/>
      <c r="M36" s="2"/>
      <c r="N36" s="2"/>
      <c r="O36" s="3"/>
      <c r="X36" s="4"/>
    </row>
    <row r="37" spans="1:27" hidden="1" x14ac:dyDescent="0.3">
      <c r="A37" s="29"/>
      <c r="B37" s="29"/>
      <c r="C37" s="29"/>
      <c r="D37" s="29"/>
      <c r="E37" s="29"/>
      <c r="F37" s="3"/>
      <c r="H37" s="2"/>
      <c r="K37" s="2"/>
      <c r="L37" s="2"/>
      <c r="M37" s="2"/>
      <c r="N37" s="2"/>
      <c r="O37" s="3"/>
      <c r="X37" s="4"/>
    </row>
    <row r="38" spans="1:27" hidden="1" x14ac:dyDescent="0.3">
      <c r="A38" s="2"/>
      <c r="B38" s="3"/>
      <c r="C38" s="3"/>
      <c r="D38" s="3"/>
      <c r="E38" s="3"/>
      <c r="F38" s="3"/>
      <c r="H38" s="2"/>
      <c r="K38" s="2"/>
      <c r="L38" s="2"/>
      <c r="M38" s="2"/>
      <c r="N38" s="2"/>
      <c r="O38" s="3"/>
      <c r="X38" s="4"/>
    </row>
    <row r="39" spans="1:27" hidden="1" x14ac:dyDescent="0.3">
      <c r="A39" s="1" t="s">
        <v>360</v>
      </c>
      <c r="B39" s="3"/>
      <c r="C39" s="3"/>
      <c r="D39" s="3"/>
      <c r="E39" s="3"/>
      <c r="F39" s="3"/>
      <c r="H39" s="2"/>
      <c r="K39" s="2"/>
      <c r="L39" s="2"/>
      <c r="M39" s="2"/>
      <c r="N39" s="2"/>
      <c r="O39" s="3"/>
      <c r="X39" s="4"/>
    </row>
    <row r="40" spans="1:27" ht="27.75" customHeight="1" x14ac:dyDescent="0.3">
      <c r="B40" s="4" t="s">
        <v>238</v>
      </c>
      <c r="C40" s="1" t="s">
        <v>229</v>
      </c>
      <c r="D40" s="2" t="s">
        <v>0</v>
      </c>
      <c r="E40" s="2" t="s">
        <v>1</v>
      </c>
      <c r="F40" s="2" t="s">
        <v>354</v>
      </c>
      <c r="G40" s="2" t="s">
        <v>306</v>
      </c>
      <c r="H40" s="2" t="s">
        <v>307</v>
      </c>
      <c r="I40" s="4" t="s">
        <v>338</v>
      </c>
      <c r="J40" s="4" t="s">
        <v>337</v>
      </c>
      <c r="K40" s="2" t="s">
        <v>350</v>
      </c>
      <c r="L40" s="2" t="s">
        <v>308</v>
      </c>
      <c r="M40" s="5" t="s">
        <v>228</v>
      </c>
      <c r="N40" s="1" t="s">
        <v>257</v>
      </c>
      <c r="O40" s="1" t="s">
        <v>258</v>
      </c>
      <c r="P40" s="6" t="s">
        <v>259</v>
      </c>
      <c r="Q40" s="1" t="s">
        <v>265</v>
      </c>
      <c r="R40" s="1" t="s">
        <v>318</v>
      </c>
      <c r="S40" s="1" t="s">
        <v>319</v>
      </c>
      <c r="T40" s="7" t="s">
        <v>326</v>
      </c>
      <c r="U40" s="1" t="s">
        <v>323</v>
      </c>
      <c r="V40" s="1" t="s">
        <v>340</v>
      </c>
      <c r="W40" s="1" t="s">
        <v>239</v>
      </c>
      <c r="X40" s="1" t="s">
        <v>266</v>
      </c>
      <c r="Y40" s="4" t="s">
        <v>309</v>
      </c>
      <c r="Z40" s="8" t="s">
        <v>264</v>
      </c>
      <c r="AA40" s="1" t="s">
        <v>339</v>
      </c>
    </row>
    <row r="41" spans="1:27" x14ac:dyDescent="0.3">
      <c r="B41" s="4">
        <v>100</v>
      </c>
      <c r="C41" s="4" t="s">
        <v>237</v>
      </c>
      <c r="D41" s="9" t="s">
        <v>459</v>
      </c>
      <c r="E41" s="9" t="str">
        <f>IF(Table132[[#This Row],[template]]="","","0x"&amp;Table132[[#This Row],[IP_Index]]&amp;DEC2HEX(Table132[[#This Row],[Addr_Dec]]*4,7))</f>
        <v>0x00000000</v>
      </c>
      <c r="F41" s="9" t="str">
        <f>IF(Table132[[#This Row],[template]]="","",VLOOKUP(Table132[[#This Row],[template]],Table29153[],2,FALSE))</f>
        <v>asynParamOctet</v>
      </c>
      <c r="G41" s="18" t="str">
        <f>IF(Table132[[#This Row],[template]]="","","1")</f>
        <v>1</v>
      </c>
      <c r="H41" s="10" t="s">
        <v>453</v>
      </c>
      <c r="I41" s="13" t="str">
        <f>IF(Table132[[#This Row],[template]]="","","0x"&amp;Table132[[#This Row],[D_Index]]&amp;"000")</f>
        <v>0x10000000</v>
      </c>
      <c r="J41" s="18" t="s">
        <v>341</v>
      </c>
      <c r="K41" s="10">
        <v>0</v>
      </c>
      <c r="L41" s="11"/>
      <c r="M41" s="9" t="str">
        <f>IF(Table132[[#This Row],[template]]="","",Table132[[#This Row],[IP_NAME]]&amp;"_"&amp;Table132[[#This Row],[PARAM_NAME]]&amp;IF(Table132[[#This Row],[PARAM_SUB]]="","","_"&amp;Table132[[#This Row],[PARAM_SUB]]))</f>
        <v>sys_IOCSTARTTIME</v>
      </c>
      <c r="N41" s="1" t="s">
        <v>263</v>
      </c>
      <c r="O41" s="1" t="s">
        <v>260</v>
      </c>
      <c r="P41" s="6"/>
      <c r="Q41" s="4">
        <v>0</v>
      </c>
      <c r="R41" s="6" t="s">
        <v>362</v>
      </c>
      <c r="S41" s="1" t="s">
        <v>310</v>
      </c>
      <c r="T41" s="12">
        <v>0</v>
      </c>
      <c r="U41" s="6" t="s">
        <v>363</v>
      </c>
      <c r="X41" s="11">
        <f>IF(Table132[[#This Row],[template]]="","",VLOOKUP(Table132[[#This Row],[IP_NAME]],Table511175[],2,FALSE))</f>
        <v>0</v>
      </c>
      <c r="Y41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>10000</v>
      </c>
      <c r="Z41" s="14">
        <f>IF(Table132[[#This Row],[template]]="","",HEX2DEC(Table132[[#This Row],[Addr_Hex]]))</f>
        <v>0</v>
      </c>
    </row>
    <row r="42" spans="1:27" x14ac:dyDescent="0.3">
      <c r="B42" s="4">
        <v>101</v>
      </c>
      <c r="C42" s="4" t="s">
        <v>237</v>
      </c>
      <c r="D42" s="9" t="s">
        <v>269</v>
      </c>
      <c r="E42" s="9" t="str">
        <f>IF(Table132[[#This Row],[template]]="","","0x"&amp;Table132[[#This Row],[IP_Index]]&amp;DEC2HEX(Table132[[#This Row],[Addr_Dec]]*4,7))</f>
        <v>0x00000000</v>
      </c>
      <c r="F42" s="9" t="str">
        <f>IF(Table132[[#This Row],[template]]="","",VLOOKUP(Table132[[#This Row],[template]],Table29153[],2,FALSE))</f>
        <v>asynParamOctet</v>
      </c>
      <c r="G42" s="18" t="str">
        <f>IF(Table132[[#This Row],[template]]="","","1")</f>
        <v>1</v>
      </c>
      <c r="H42" s="10" t="s">
        <v>453</v>
      </c>
      <c r="I42" s="13" t="str">
        <f>IF(Table132[[#This Row],[template]]="","","0x"&amp;Table132[[#This Row],[D_Index]]&amp;"000")</f>
        <v>0x10000000</v>
      </c>
      <c r="J42" s="18" t="s">
        <v>341</v>
      </c>
      <c r="K42" s="10">
        <v>0</v>
      </c>
      <c r="L42" s="11"/>
      <c r="M42" s="9" t="str">
        <f>IF(Table132[[#This Row],[template]]="","",Table132[[#This Row],[IP_NAME]]&amp;"_"&amp;Table132[[#This Row],[PARAM_NAME]]&amp;IF(Table132[[#This Row],[PARAM_SUB]]="","","_"&amp;Table132[[#This Row],[PARAM_SUB]]))</f>
        <v>sys_FIRMWARE</v>
      </c>
      <c r="N42" s="1" t="s">
        <v>263</v>
      </c>
      <c r="O42" s="1" t="s">
        <v>269</v>
      </c>
      <c r="P42" s="6"/>
      <c r="Q42" s="4">
        <v>0</v>
      </c>
      <c r="R42" s="6" t="s">
        <v>362</v>
      </c>
      <c r="S42" s="1" t="s">
        <v>310</v>
      </c>
      <c r="T42" s="16">
        <v>0</v>
      </c>
      <c r="U42" s="6" t="s">
        <v>363</v>
      </c>
      <c r="X42" s="11">
        <f>IF(Table132[[#This Row],[template]]="","",VLOOKUP(Table132[[#This Row],[IP_NAME]],Table511175[],2,FALSE))</f>
        <v>0</v>
      </c>
      <c r="Y42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>10000</v>
      </c>
      <c r="Z42" s="14">
        <f>IF(Table132[[#This Row],[template]]="","",HEX2DEC(Table132[[#This Row],[Addr_Hex]]))</f>
        <v>0</v>
      </c>
    </row>
    <row r="43" spans="1:27" x14ac:dyDescent="0.3">
      <c r="B43" s="4">
        <v>102</v>
      </c>
      <c r="C43" s="4" t="s">
        <v>237</v>
      </c>
      <c r="D43" s="9" t="s">
        <v>270</v>
      </c>
      <c r="E43" s="9" t="str">
        <f>IF(Table132[[#This Row],[template]]="","","0x"&amp;Table132[[#This Row],[IP_Index]]&amp;DEC2HEX(Table132[[#This Row],[Addr_Dec]]*4,7))</f>
        <v>0x00000000</v>
      </c>
      <c r="F43" s="9" t="str">
        <f>IF(Table132[[#This Row],[template]]="","",VLOOKUP(Table132[[#This Row],[template]],Table29153[],2,FALSE))</f>
        <v>asynParamOctet</v>
      </c>
      <c r="G43" s="18" t="str">
        <f>IF(Table132[[#This Row],[template]]="","","1")</f>
        <v>1</v>
      </c>
      <c r="H43" s="10" t="s">
        <v>453</v>
      </c>
      <c r="I43" s="13" t="str">
        <f>IF(Table132[[#This Row],[template]]="","","0x"&amp;Table132[[#This Row],[D_Index]]&amp;"000")</f>
        <v>0x10000000</v>
      </c>
      <c r="J43" s="18" t="s">
        <v>341</v>
      </c>
      <c r="K43" s="10">
        <v>0</v>
      </c>
      <c r="L43" s="11"/>
      <c r="M43" s="9" t="str">
        <f>IF(Table132[[#This Row],[template]]="","",Table132[[#This Row],[IP_NAME]]&amp;"_"&amp;Table132[[#This Row],[PARAM_NAME]]&amp;IF(Table132[[#This Row],[PARAM_SUB]]="","","_"&amp;Table132[[#This Row],[PARAM_SUB]]))</f>
        <v>sys_SOFTWARE</v>
      </c>
      <c r="N43" s="1" t="s">
        <v>263</v>
      </c>
      <c r="O43" s="1" t="s">
        <v>270</v>
      </c>
      <c r="P43" s="6"/>
      <c r="Q43" s="4">
        <v>0</v>
      </c>
      <c r="R43" s="6" t="s">
        <v>362</v>
      </c>
      <c r="S43" s="1" t="s">
        <v>310</v>
      </c>
      <c r="T43" s="16">
        <v>0</v>
      </c>
      <c r="U43" s="6" t="s">
        <v>363</v>
      </c>
      <c r="X43" s="11">
        <f>IF(Table132[[#This Row],[template]]="","",VLOOKUP(Table132[[#This Row],[IP_NAME]],Table511175[],2,FALSE))</f>
        <v>0</v>
      </c>
      <c r="Y43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>10000</v>
      </c>
      <c r="Z43" s="14">
        <f>IF(Table132[[#This Row],[template]]="","",HEX2DEC(Table132[[#This Row],[Addr_Hex]]))</f>
        <v>0</v>
      </c>
    </row>
    <row r="44" spans="1:27" x14ac:dyDescent="0.3">
      <c r="B44" s="4">
        <v>103</v>
      </c>
      <c r="C44" s="4" t="s">
        <v>237</v>
      </c>
      <c r="D44" s="9" t="str">
        <f>UPPER(Table132[[#This Row],[SIGNAL]])</f>
        <v>SYS_EVNAME</v>
      </c>
      <c r="E44" s="9" t="str">
        <f>IF(Table132[[#This Row],[template]]="","","0x"&amp;Table132[[#This Row],[IP_Index]]&amp;DEC2HEX(Table132[[#This Row],[Addr_Dec]]*4,7))</f>
        <v>0x00000000</v>
      </c>
      <c r="F44" s="9" t="str">
        <f>IF(Table132[[#This Row],[template]]="","",VLOOKUP(Table132[[#This Row],[template]],Table29153[],2,FALSE))</f>
        <v>asynParamOctet</v>
      </c>
      <c r="G44" s="18" t="str">
        <f>IF(Table132[[#This Row],[template]]="","","1")</f>
        <v>1</v>
      </c>
      <c r="H44" s="10" t="s">
        <v>453</v>
      </c>
      <c r="I44" s="13" t="str">
        <f>IF(Table132[[#This Row],[template]]="","","0x"&amp;Table132[[#This Row],[D_Index]]&amp;"000")</f>
        <v>0x10000000</v>
      </c>
      <c r="J44" s="18" t="s">
        <v>341</v>
      </c>
      <c r="K44" s="10">
        <v>0</v>
      </c>
      <c r="L44" s="11"/>
      <c r="M44" s="9" t="str">
        <f>IF(Table132[[#This Row],[template]]="","",Table132[[#This Row],[IP_NAME]]&amp;"_"&amp;Table132[[#This Row],[PARAM_NAME]]&amp;IF(Table132[[#This Row],[PARAM_SUB]]="","","_"&amp;Table132[[#This Row],[PARAM_SUB]]))</f>
        <v>sys_evName</v>
      </c>
      <c r="N44" s="1" t="s">
        <v>263</v>
      </c>
      <c r="O44" s="1" t="s">
        <v>364</v>
      </c>
      <c r="P44" s="6"/>
      <c r="Q44" s="4">
        <v>0</v>
      </c>
      <c r="R44" s="6" t="s">
        <v>362</v>
      </c>
      <c r="S44" s="1" t="s">
        <v>310</v>
      </c>
      <c r="T44" s="16">
        <v>0</v>
      </c>
      <c r="U44" s="6" t="s">
        <v>363</v>
      </c>
      <c r="X44" s="11">
        <f>IF(Table132[[#This Row],[template]]="","",VLOOKUP(Table132[[#This Row],[IP_NAME]],Table511175[],2,FALSE))</f>
        <v>0</v>
      </c>
      <c r="Y44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>10000</v>
      </c>
      <c r="Z44" s="14">
        <f>IF(Table132[[#This Row],[template]]="","",HEX2DEC(Table132[[#This Row],[Addr_Hex]]))</f>
        <v>0</v>
      </c>
    </row>
    <row r="45" spans="1:27" x14ac:dyDescent="0.3">
      <c r="B45" s="4">
        <v>104</v>
      </c>
      <c r="C45" s="4" t="s">
        <v>456</v>
      </c>
      <c r="D45" s="9" t="str">
        <f>UPPER(Table132[[#This Row],[SIGNAL]])</f>
        <v>SYS_OPMODE</v>
      </c>
      <c r="E45" s="9" t="str">
        <f>IF(Table132[[#This Row],[template]]="","","0x"&amp;Table132[[#This Row],[IP_Index]]&amp;DEC2HEX(Table132[[#This Row],[Addr_Dec]]*4,7))</f>
        <v>0x00000000</v>
      </c>
      <c r="F45" s="9" t="str">
        <f>IF(Table132[[#This Row],[template]]="","",VLOOKUP(Table132[[#This Row],[template]],Table29153[],2,FALSE))</f>
        <v>asynParamInt32</v>
      </c>
      <c r="G45" s="18" t="str">
        <f>IF(Table132[[#This Row],[template]]="","","1")</f>
        <v>1</v>
      </c>
      <c r="H45" s="10" t="s">
        <v>453</v>
      </c>
      <c r="I45" s="13" t="str">
        <f>IF(Table132[[#This Row],[template]]="","","0x"&amp;Table132[[#This Row],[D_Index]]&amp;"000")</f>
        <v>0x00000000</v>
      </c>
      <c r="J45" s="18" t="s">
        <v>341</v>
      </c>
      <c r="K45" s="10">
        <v>0</v>
      </c>
      <c r="L45" s="11"/>
      <c r="M45" s="9" t="str">
        <f>IF(Table132[[#This Row],[template]]="","",Table132[[#This Row],[IP_NAME]]&amp;"_"&amp;Table132[[#This Row],[PARAM_NAME]]&amp;IF(Table132[[#This Row],[PARAM_SUB]]="","","_"&amp;Table132[[#This Row],[PARAM_SUB]]))</f>
        <v>sys_opMode</v>
      </c>
      <c r="N45" s="1" t="s">
        <v>263</v>
      </c>
      <c r="O45" s="1" t="s">
        <v>365</v>
      </c>
      <c r="P45" s="6"/>
      <c r="Q45" s="4">
        <v>0</v>
      </c>
      <c r="R45" s="6" t="s">
        <v>363</v>
      </c>
      <c r="S45" s="1" t="s">
        <v>310</v>
      </c>
      <c r="T45" s="16">
        <v>0</v>
      </c>
      <c r="U45" s="6" t="s">
        <v>363</v>
      </c>
      <c r="X45" s="11">
        <f>IF(Table132[[#This Row],[template]]="","",VLOOKUP(Table132[[#This Row],[IP_NAME]],Table511175[],2,FALSE))</f>
        <v>0</v>
      </c>
      <c r="Y45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>00000</v>
      </c>
      <c r="Z45" s="14">
        <f>IF(Table132[[#This Row],[template]]="","",HEX2DEC(Table132[[#This Row],[Addr_Hex]]))</f>
        <v>0</v>
      </c>
    </row>
    <row r="46" spans="1:27" x14ac:dyDescent="0.3">
      <c r="B46" s="4">
        <v>105</v>
      </c>
      <c r="C46" s="4"/>
      <c r="D46" s="9" t="str">
        <f>UPPER(Table132[[#This Row],[SIGNAL]])</f>
        <v/>
      </c>
      <c r="E46" s="9" t="str">
        <f>IF(Table132[[#This Row],[template]]="","","0x"&amp;Table132[[#This Row],[IP_Index]]&amp;DEC2HEX(Table132[[#This Row],[Addr_Dec]]*4,7))</f>
        <v/>
      </c>
      <c r="F46" s="9" t="str">
        <f>IF(Table132[[#This Row],[template]]="","",VLOOKUP(Table132[[#This Row],[template]],Table29153[],2,FALSE))</f>
        <v/>
      </c>
      <c r="G46" s="18" t="str">
        <f>IF(Table132[[#This Row],[template]]="","","1")</f>
        <v/>
      </c>
      <c r="H46" s="10" t="s">
        <v>453</v>
      </c>
      <c r="I46" s="13" t="str">
        <f>IF(Table132[[#This Row],[template]]="","","0x"&amp;Table132[[#This Row],[D_Index]]&amp;"000")</f>
        <v/>
      </c>
      <c r="J46" s="18"/>
      <c r="K46" s="10">
        <v>0</v>
      </c>
      <c r="L46" s="11"/>
      <c r="M46" s="9" t="str">
        <f>IF(Table132[[#This Row],[template]]="","",Table132[[#This Row],[IP_NAME]]&amp;"_"&amp;Table132[[#This Row],[PARAM_NAME]]&amp;IF(Table132[[#This Row],[PARAM_SUB]]="","","_"&amp;Table132[[#This Row],[PARAM_SUB]]))</f>
        <v/>
      </c>
      <c r="P46" s="6"/>
      <c r="Q46" s="4"/>
      <c r="R46" s="6"/>
      <c r="T46" s="16"/>
      <c r="U46" s="6"/>
      <c r="X46" s="11" t="str">
        <f>IF(Table132[[#This Row],[template]]="","",VLOOKUP(Table132[[#This Row],[IP_NAME]],Table511175[],2,FALSE))</f>
        <v/>
      </c>
      <c r="Y46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/>
      </c>
      <c r="Z46" s="14" t="str">
        <f>IF(Table132[[#This Row],[template]]="","",HEX2DEC(Table132[[#This Row],[Addr_Hex]]))</f>
        <v/>
      </c>
    </row>
    <row r="47" spans="1:27" x14ac:dyDescent="0.3">
      <c r="B47" s="4">
        <v>200</v>
      </c>
      <c r="C47" s="4" t="s">
        <v>230</v>
      </c>
      <c r="D47" s="9" t="str">
        <f>UPPER(Table132[[#This Row],[SIGNAL]])</f>
        <v>GT_TRACKOK_0</v>
      </c>
      <c r="E47" s="9" t="str">
        <f>IF(Table132[[#This Row],[template]]="","","0x"&amp;Table132[[#This Row],[IP_Index]]&amp;DEC2HEX(Table132[[#This Row],[Addr_Dec]]*4,7))</f>
        <v>0x20000040</v>
      </c>
      <c r="F47" s="9" t="str">
        <f>IF(Table132[[#This Row],[template]]="","",VLOOKUP(Table132[[#This Row],[template]],Table29153[],2,FALSE))</f>
        <v>asynParamInt32</v>
      </c>
      <c r="G47" s="18" t="str">
        <f>IF(Table132[[#This Row],[template]]="","","1")</f>
        <v>1</v>
      </c>
      <c r="H47" s="10" t="s">
        <v>453</v>
      </c>
      <c r="I47" s="13" t="str">
        <f>IF(Table132[[#This Row],[template]]="","","0x"&amp;Table132[[#This Row],[D_Index]]&amp;"000")</f>
        <v>0x06120000</v>
      </c>
      <c r="J47" s="18" t="s">
        <v>341</v>
      </c>
      <c r="K47" s="10">
        <v>0</v>
      </c>
      <c r="L47" s="11"/>
      <c r="M47" s="9" t="str">
        <f>IF(Table132[[#This Row],[template]]="","",Table132[[#This Row],[IP_NAME]]&amp;"_"&amp;Table132[[#This Row],[PARAM_NAME]]&amp;IF(Table132[[#This Row],[PARAM_SUB]]="","","_"&amp;Table132[[#This Row],[PARAM_SUB]]))</f>
        <v>gt_trackOK_0</v>
      </c>
      <c r="N47" s="1" t="s">
        <v>261</v>
      </c>
      <c r="O47" s="1" t="s">
        <v>366</v>
      </c>
      <c r="P47" s="6" t="s">
        <v>367</v>
      </c>
      <c r="Q47" s="4">
        <v>10</v>
      </c>
      <c r="R47" s="6" t="s">
        <v>363</v>
      </c>
      <c r="S47" s="1" t="s">
        <v>315</v>
      </c>
      <c r="T47" s="16">
        <v>18</v>
      </c>
      <c r="U47" s="6" t="s">
        <v>363</v>
      </c>
      <c r="X47" s="11">
        <f>IF(Table132[[#This Row],[template]]="","",VLOOKUP(Table132[[#This Row],[IP_NAME]],Table511175[],2,FALSE))</f>
        <v>2</v>
      </c>
      <c r="Y47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>06120</v>
      </c>
      <c r="Z47" s="14">
        <f>IF(Table132[[#This Row],[template]]="","",HEX2DEC(Table132[[#This Row],[Addr_Hex]]))</f>
        <v>16</v>
      </c>
    </row>
    <row r="48" spans="1:27" x14ac:dyDescent="0.3">
      <c r="B48" s="4">
        <v>201</v>
      </c>
      <c r="C48" s="4" t="s">
        <v>230</v>
      </c>
      <c r="D48" s="9" t="str">
        <f>UPPER(Table132[[#This Row],[SIGNAL]])</f>
        <v>GT_TRACKOK_1</v>
      </c>
      <c r="E48" s="9" t="str">
        <f>IF(Table132[[#This Row],[template]]="","","0x"&amp;Table132[[#This Row],[IP_Index]]&amp;DEC2HEX(Table132[[#This Row],[Addr_Dec]]*4,7))</f>
        <v>0x20000040</v>
      </c>
      <c r="F48" s="9" t="str">
        <f>IF(Table132[[#This Row],[template]]="","",VLOOKUP(Table132[[#This Row],[template]],Table29153[],2,FALSE))</f>
        <v>asynParamInt32</v>
      </c>
      <c r="G48" s="18" t="str">
        <f>IF(Table132[[#This Row],[template]]="","","1")</f>
        <v>1</v>
      </c>
      <c r="H48" s="10" t="s">
        <v>453</v>
      </c>
      <c r="I48" s="13" t="str">
        <f>IF(Table132[[#This Row],[template]]="","","0x"&amp;Table132[[#This Row],[D_Index]]&amp;"000")</f>
        <v>0x061E0000</v>
      </c>
      <c r="J48" s="18" t="s">
        <v>341</v>
      </c>
      <c r="K48" s="10">
        <v>0</v>
      </c>
      <c r="L48" s="11"/>
      <c r="M48" s="9" t="str">
        <f>IF(Table132[[#This Row],[template]]="","",Table132[[#This Row],[IP_NAME]]&amp;"_"&amp;Table132[[#This Row],[PARAM_NAME]]&amp;IF(Table132[[#This Row],[PARAM_SUB]]="","","_"&amp;Table132[[#This Row],[PARAM_SUB]]))</f>
        <v>gt_trackOK_1</v>
      </c>
      <c r="N48" s="1" t="s">
        <v>261</v>
      </c>
      <c r="O48" s="1" t="s">
        <v>366</v>
      </c>
      <c r="P48" s="6" t="s">
        <v>271</v>
      </c>
      <c r="Q48" s="4">
        <v>10</v>
      </c>
      <c r="R48" s="6" t="s">
        <v>363</v>
      </c>
      <c r="S48" s="1" t="s">
        <v>315</v>
      </c>
      <c r="T48" s="16">
        <v>30</v>
      </c>
      <c r="U48" s="6" t="s">
        <v>363</v>
      </c>
      <c r="X48" s="11">
        <f>IF(Table132[[#This Row],[template]]="","",VLOOKUP(Table132[[#This Row],[IP_NAME]],Table511175[],2,FALSE))</f>
        <v>2</v>
      </c>
      <c r="Y48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>061E0</v>
      </c>
      <c r="Z48" s="14">
        <f>IF(Table132[[#This Row],[template]]="","",HEX2DEC(Table132[[#This Row],[Addr_Hex]]))</f>
        <v>16</v>
      </c>
    </row>
    <row r="49" spans="2:26" x14ac:dyDescent="0.3">
      <c r="B49" s="4">
        <v>202</v>
      </c>
      <c r="C49" s="4"/>
      <c r="D49" s="9" t="str">
        <f>UPPER(Table132[[#This Row],[SIGNAL]])</f>
        <v/>
      </c>
      <c r="E49" s="9" t="str">
        <f>IF(Table132[[#This Row],[template]]="","","0x"&amp;Table132[[#This Row],[IP_Index]]&amp;DEC2HEX(Table132[[#This Row],[Addr_Dec]]*4,7))</f>
        <v/>
      </c>
      <c r="F49" s="9" t="str">
        <f>IF(Table132[[#This Row],[template]]="","",VLOOKUP(Table132[[#This Row],[template]],Table29153[],2,FALSE))</f>
        <v/>
      </c>
      <c r="G49" s="18" t="str">
        <f>IF(Table132[[#This Row],[template]]="","","1")</f>
        <v/>
      </c>
      <c r="H49" s="10" t="s">
        <v>453</v>
      </c>
      <c r="I49" s="13" t="str">
        <f>IF(Table132[[#This Row],[template]]="","","0x"&amp;Table132[[#This Row],[D_Index]]&amp;"000")</f>
        <v/>
      </c>
      <c r="J49" s="18"/>
      <c r="K49" s="10">
        <v>0</v>
      </c>
      <c r="L49" s="11"/>
      <c r="M49" s="9" t="str">
        <f>IF(Table132[[#This Row],[template]]="","",Table132[[#This Row],[IP_NAME]]&amp;"_"&amp;Table132[[#This Row],[PARAM_NAME]]&amp;IF(Table132[[#This Row],[PARAM_SUB]]="","","_"&amp;Table132[[#This Row],[PARAM_SUB]]))</f>
        <v/>
      </c>
      <c r="P49" s="6"/>
      <c r="Q49" s="4"/>
      <c r="R49" s="6"/>
      <c r="T49" s="16"/>
      <c r="U49" s="6"/>
      <c r="X49" s="11" t="str">
        <f>IF(Table132[[#This Row],[template]]="","",VLOOKUP(Table132[[#This Row],[IP_NAME]],Table511175[],2,FALSE))</f>
        <v/>
      </c>
      <c r="Y49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/>
      </c>
      <c r="Z49" s="14" t="str">
        <f>IF(Table132[[#This Row],[template]]="","",HEX2DEC(Table132[[#This Row],[Addr_Hex]]))</f>
        <v/>
      </c>
    </row>
    <row r="50" spans="2:26" x14ac:dyDescent="0.3">
      <c r="B50" s="4">
        <v>300</v>
      </c>
      <c r="C50" s="4" t="s">
        <v>237</v>
      </c>
      <c r="D50" s="9" t="str">
        <f>UPPER(Table132[[#This Row],[SIGNAL]])</f>
        <v>EV_BUILDTIME</v>
      </c>
      <c r="E50" s="9" t="str">
        <f>IF(Table132[[#This Row],[template]]="","","0x"&amp;Table132[[#This Row],[IP_Index]]&amp;DEC2HEX(Table132[[#This Row],[Addr_Dec]]*4,7))</f>
        <v>0x10000008</v>
      </c>
      <c r="F50" s="9" t="str">
        <f>IF(Table132[[#This Row],[template]]="","",VLOOKUP(Table132[[#This Row],[template]],Table29153[],2,FALSE))</f>
        <v>asynParamOctet</v>
      </c>
      <c r="G50" s="18" t="str">
        <f>IF(Table132[[#This Row],[template]]="","","1")</f>
        <v>1</v>
      </c>
      <c r="H50" s="10" t="s">
        <v>453</v>
      </c>
      <c r="I50" s="13" t="str">
        <f>IF(Table132[[#This Row],[template]]="","","0x"&amp;Table132[[#This Row],[D_Index]]&amp;"000")</f>
        <v>0x01005000</v>
      </c>
      <c r="J50" s="18" t="s">
        <v>341</v>
      </c>
      <c r="K50" s="10">
        <v>0</v>
      </c>
      <c r="L50" s="11"/>
      <c r="M50" s="9" t="str">
        <f>IF(Table132[[#This Row],[template]]="","",Table132[[#This Row],[IP_NAME]]&amp;"_"&amp;Table132[[#This Row],[PARAM_NAME]]&amp;IF(Table132[[#This Row],[PARAM_SUB]]="","","_"&amp;Table132[[#This Row],[PARAM_SUB]]))</f>
        <v>ev_buildTime</v>
      </c>
      <c r="N50" s="1" t="s">
        <v>262</v>
      </c>
      <c r="O50" s="1" t="s">
        <v>368</v>
      </c>
      <c r="P50" s="6"/>
      <c r="Q50" s="4">
        <v>2</v>
      </c>
      <c r="R50" s="6" t="s">
        <v>363</v>
      </c>
      <c r="S50" s="1" t="s">
        <v>254</v>
      </c>
      <c r="T50" s="16">
        <v>0</v>
      </c>
      <c r="U50" s="6" t="s">
        <v>358</v>
      </c>
      <c r="X50" s="11">
        <f>IF(Table132[[#This Row],[template]]="","",VLOOKUP(Table132[[#This Row],[IP_NAME]],Table511175[],2,FALSE))</f>
        <v>1</v>
      </c>
      <c r="Y50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>01005</v>
      </c>
      <c r="Z50" s="14">
        <f>IF(Table132[[#This Row],[template]]="","",HEX2DEC(Table132[[#This Row],[Addr_Hex]]))</f>
        <v>2</v>
      </c>
    </row>
    <row r="51" spans="2:26" x14ac:dyDescent="0.3">
      <c r="B51" s="4">
        <v>301</v>
      </c>
      <c r="C51" s="4" t="s">
        <v>230</v>
      </c>
      <c r="D51" s="9" t="str">
        <f>UPPER(Table132[[#This Row],[SIGNAL]])</f>
        <v>EV_ISMASTER</v>
      </c>
      <c r="E51" s="9" t="str">
        <f>IF(Table132[[#This Row],[template]]="","","0x"&amp;Table132[[#This Row],[IP_Index]]&amp;DEC2HEX(Table132[[#This Row],[Addr_Dec]]*4,7))</f>
        <v>0x10000048</v>
      </c>
      <c r="F51" s="9" t="str">
        <f>IF(Table132[[#This Row],[template]]="","",VLOOKUP(Table132[[#This Row],[template]],Table29153[],2,FALSE))</f>
        <v>asynParamInt32</v>
      </c>
      <c r="G51" s="18" t="str">
        <f>IF(Table132[[#This Row],[template]]="","","1")</f>
        <v>1</v>
      </c>
      <c r="H51" s="10" t="s">
        <v>453</v>
      </c>
      <c r="I51" s="13" t="str">
        <f>IF(Table132[[#This Row],[template]]="","","0x"&amp;Table132[[#This Row],[D_Index]]&amp;"000")</f>
        <v>0x061F0000</v>
      </c>
      <c r="J51" s="18" t="s">
        <v>341</v>
      </c>
      <c r="K51" s="10">
        <v>0</v>
      </c>
      <c r="L51" s="11"/>
      <c r="M51" s="9" t="str">
        <f>IF(Table132[[#This Row],[template]]="","",Table132[[#This Row],[IP_NAME]]&amp;"_"&amp;Table132[[#This Row],[PARAM_NAME]]&amp;IF(Table132[[#This Row],[PARAM_SUB]]="","","_"&amp;Table132[[#This Row],[PARAM_SUB]]))</f>
        <v>ev_isMaster</v>
      </c>
      <c r="N51" s="1" t="s">
        <v>262</v>
      </c>
      <c r="O51" s="1" t="s">
        <v>369</v>
      </c>
      <c r="P51" s="6"/>
      <c r="Q51" s="4">
        <v>12</v>
      </c>
      <c r="R51" s="6" t="s">
        <v>363</v>
      </c>
      <c r="S51" s="1" t="s">
        <v>315</v>
      </c>
      <c r="T51" s="16">
        <v>31</v>
      </c>
      <c r="U51" s="6" t="s">
        <v>363</v>
      </c>
      <c r="X51" s="11">
        <f>IF(Table132[[#This Row],[template]]="","",VLOOKUP(Table132[[#This Row],[IP_NAME]],Table511175[],2,FALSE))</f>
        <v>1</v>
      </c>
      <c r="Y51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>061F0</v>
      </c>
      <c r="Z51" s="14">
        <f>IF(Table132[[#This Row],[template]]="","",HEX2DEC(Table132[[#This Row],[Addr_Hex]]))</f>
        <v>18</v>
      </c>
    </row>
    <row r="52" spans="2:26" x14ac:dyDescent="0.3">
      <c r="B52" s="4">
        <v>302</v>
      </c>
      <c r="C52" s="4" t="s">
        <v>456</v>
      </c>
      <c r="D52" s="9" t="str">
        <f>UPPER(Table132[[#This Row],[SIGNAL]])</f>
        <v>EV_FAN_0</v>
      </c>
      <c r="E52" s="9" t="str">
        <f>IF(Table132[[#This Row],[template]]="","","0x"&amp;Table132[[#This Row],[IP_Index]]&amp;DEC2HEX(Table132[[#This Row],[Addr_Dec]]*4,7))</f>
        <v>0x10000040</v>
      </c>
      <c r="F52" s="9" t="str">
        <f>IF(Table132[[#This Row],[template]]="","",VLOOKUP(Table132[[#This Row],[template]],Table29153[],2,FALSE))</f>
        <v>asynParamInt32</v>
      </c>
      <c r="G52" s="18" t="str">
        <f>IF(Table132[[#This Row],[template]]="","","1")</f>
        <v>1</v>
      </c>
      <c r="H52" s="10" t="s">
        <v>453</v>
      </c>
      <c r="I52" s="13" t="str">
        <f>IF(Table132[[#This Row],[template]]="","","0x"&amp;Table132[[#This Row],[D_Index]]&amp;"000")</f>
        <v>0x02100000</v>
      </c>
      <c r="J52" s="18" t="s">
        <v>341</v>
      </c>
      <c r="K52" s="10">
        <v>0</v>
      </c>
      <c r="L52" s="11"/>
      <c r="M52" s="9" t="str">
        <f>IF(Table132[[#This Row],[template]]="","",Table132[[#This Row],[IP_NAME]]&amp;"_"&amp;Table132[[#This Row],[PARAM_NAME]]&amp;IF(Table132[[#This Row],[PARAM_SUB]]="","","_"&amp;Table132[[#This Row],[PARAM_SUB]]))</f>
        <v>ev_fan_0</v>
      </c>
      <c r="N52" s="1" t="s">
        <v>262</v>
      </c>
      <c r="O52" s="1" t="s">
        <v>370</v>
      </c>
      <c r="P52" s="6" t="s">
        <v>367</v>
      </c>
      <c r="Q52" s="4">
        <v>10</v>
      </c>
      <c r="R52" s="6" t="s">
        <v>363</v>
      </c>
      <c r="S52" s="1" t="s">
        <v>311</v>
      </c>
      <c r="T52" s="16">
        <v>16</v>
      </c>
      <c r="U52" s="6" t="s">
        <v>363</v>
      </c>
      <c r="X52" s="11">
        <f>IF(Table132[[#This Row],[template]]="","",VLOOKUP(Table132[[#This Row],[IP_NAME]],Table511175[],2,FALSE))</f>
        <v>1</v>
      </c>
      <c r="Y52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>02100</v>
      </c>
      <c r="Z52" s="14">
        <f>IF(Table132[[#This Row],[template]]="","",HEX2DEC(Table132[[#This Row],[Addr_Hex]]))</f>
        <v>16</v>
      </c>
    </row>
    <row r="53" spans="2:26" x14ac:dyDescent="0.3">
      <c r="B53" s="4">
        <v>303</v>
      </c>
      <c r="C53" s="4" t="s">
        <v>456</v>
      </c>
      <c r="D53" s="9" t="str">
        <f>UPPER(Table132[[#This Row],[SIGNAL]])</f>
        <v>EV_FAN_1</v>
      </c>
      <c r="E53" s="9" t="str">
        <f>IF(Table132[[#This Row],[template]]="","","0x"&amp;Table132[[#This Row],[IP_Index]]&amp;DEC2HEX(Table132[[#This Row],[Addr_Dec]]*4,7))</f>
        <v>0x10000040</v>
      </c>
      <c r="F53" s="9" t="str">
        <f>IF(Table132[[#This Row],[template]]="","",VLOOKUP(Table132[[#This Row],[template]],Table29153[],2,FALSE))</f>
        <v>asynParamInt32</v>
      </c>
      <c r="G53" s="18" t="str">
        <f>IF(Table132[[#This Row],[template]]="","","1")</f>
        <v>1</v>
      </c>
      <c r="H53" s="10" t="s">
        <v>453</v>
      </c>
      <c r="I53" s="13" t="str">
        <f>IF(Table132[[#This Row],[template]]="","","0x"&amp;Table132[[#This Row],[D_Index]]&amp;"000")</f>
        <v>0x02000000</v>
      </c>
      <c r="J53" s="18" t="s">
        <v>341</v>
      </c>
      <c r="K53" s="10">
        <v>0</v>
      </c>
      <c r="L53" s="11"/>
      <c r="M53" s="9" t="str">
        <f>IF(Table132[[#This Row],[template]]="","",Table132[[#This Row],[IP_NAME]]&amp;"_"&amp;Table132[[#This Row],[PARAM_NAME]]&amp;IF(Table132[[#This Row],[PARAM_SUB]]="","","_"&amp;Table132[[#This Row],[PARAM_SUB]]))</f>
        <v>ev_fan_1</v>
      </c>
      <c r="N53" s="1" t="s">
        <v>262</v>
      </c>
      <c r="O53" s="1" t="s">
        <v>370</v>
      </c>
      <c r="P53" s="6" t="s">
        <v>271</v>
      </c>
      <c r="Q53" s="4">
        <v>10</v>
      </c>
      <c r="R53" s="6" t="s">
        <v>363</v>
      </c>
      <c r="S53" s="1" t="s">
        <v>311</v>
      </c>
      <c r="T53" s="16">
        <v>0</v>
      </c>
      <c r="U53" s="6" t="s">
        <v>363</v>
      </c>
      <c r="X53" s="11">
        <f>IF(Table132[[#This Row],[template]]="","",VLOOKUP(Table132[[#This Row],[IP_NAME]],Table511175[],2,FALSE))</f>
        <v>1</v>
      </c>
      <c r="Y53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>02000</v>
      </c>
      <c r="Z53" s="14">
        <f>IF(Table132[[#This Row],[template]]="","",HEX2DEC(Table132[[#This Row],[Addr_Hex]]))</f>
        <v>16</v>
      </c>
    </row>
    <row r="54" spans="2:26" x14ac:dyDescent="0.3">
      <c r="B54" s="4">
        <v>304</v>
      </c>
      <c r="C54" s="4" t="s">
        <v>456</v>
      </c>
      <c r="D54" s="9" t="str">
        <f>UPPER(Table132[[#This Row],[SIGNAL]])</f>
        <v>EV_FAN_2</v>
      </c>
      <c r="E54" s="9" t="str">
        <f>IF(Table132[[#This Row],[template]]="","","0x"&amp;Table132[[#This Row],[IP_Index]]&amp;DEC2HEX(Table132[[#This Row],[Addr_Dec]]*4,7))</f>
        <v>0x10000044</v>
      </c>
      <c r="F54" s="9" t="str">
        <f>IF(Table132[[#This Row],[template]]="","",VLOOKUP(Table132[[#This Row],[template]],Table29153[],2,FALSE))</f>
        <v>asynParamInt32</v>
      </c>
      <c r="G54" s="18" t="str">
        <f>IF(Table132[[#This Row],[template]]="","","1")</f>
        <v>1</v>
      </c>
      <c r="H54" s="10" t="s">
        <v>453</v>
      </c>
      <c r="I54" s="13" t="str">
        <f>IF(Table132[[#This Row],[template]]="","","0x"&amp;Table132[[#This Row],[D_Index]]&amp;"000")</f>
        <v>0x02100000</v>
      </c>
      <c r="J54" s="18" t="s">
        <v>341</v>
      </c>
      <c r="K54" s="10">
        <v>0</v>
      </c>
      <c r="L54" s="11"/>
      <c r="M54" s="9" t="str">
        <f>IF(Table132[[#This Row],[template]]="","",Table132[[#This Row],[IP_NAME]]&amp;"_"&amp;Table132[[#This Row],[PARAM_NAME]]&amp;IF(Table132[[#This Row],[PARAM_SUB]]="","","_"&amp;Table132[[#This Row],[PARAM_SUB]]))</f>
        <v>ev_fan_2</v>
      </c>
      <c r="N54" s="1" t="s">
        <v>262</v>
      </c>
      <c r="O54" s="1" t="s">
        <v>370</v>
      </c>
      <c r="P54" s="6" t="s">
        <v>243</v>
      </c>
      <c r="Q54" s="4">
        <v>11</v>
      </c>
      <c r="R54" s="6" t="s">
        <v>363</v>
      </c>
      <c r="S54" s="1" t="s">
        <v>311</v>
      </c>
      <c r="T54" s="16">
        <v>16</v>
      </c>
      <c r="U54" s="6" t="s">
        <v>363</v>
      </c>
      <c r="X54" s="11">
        <f>IF(Table132[[#This Row],[template]]="","",VLOOKUP(Table132[[#This Row],[IP_NAME]],Table511175[],2,FALSE))</f>
        <v>1</v>
      </c>
      <c r="Y54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>02100</v>
      </c>
      <c r="Z54" s="14">
        <f>IF(Table132[[#This Row],[template]]="","",HEX2DEC(Table132[[#This Row],[Addr_Hex]]))</f>
        <v>17</v>
      </c>
    </row>
    <row r="55" spans="2:26" x14ac:dyDescent="0.3">
      <c r="B55" s="4">
        <v>305</v>
      </c>
      <c r="C55" s="4" t="s">
        <v>456</v>
      </c>
      <c r="D55" s="9" t="str">
        <f>UPPER(Table132[[#This Row],[SIGNAL]])</f>
        <v>EV_FAN_3</v>
      </c>
      <c r="E55" s="9" t="str">
        <f>IF(Table132[[#This Row],[template]]="","","0x"&amp;Table132[[#This Row],[IP_Index]]&amp;DEC2HEX(Table132[[#This Row],[Addr_Dec]]*4,7))</f>
        <v>0x10000044</v>
      </c>
      <c r="F55" s="9" t="str">
        <f>IF(Table132[[#This Row],[template]]="","",VLOOKUP(Table132[[#This Row],[template]],Table29153[],2,FALSE))</f>
        <v>asynParamInt32</v>
      </c>
      <c r="G55" s="18" t="str">
        <f>IF(Table132[[#This Row],[template]]="","","1")</f>
        <v>1</v>
      </c>
      <c r="H55" s="10" t="s">
        <v>453</v>
      </c>
      <c r="I55" s="13" t="str">
        <f>IF(Table132[[#This Row],[template]]="","","0x"&amp;Table132[[#This Row],[D_Index]]&amp;"000")</f>
        <v>0x02000000</v>
      </c>
      <c r="J55" s="18" t="s">
        <v>341</v>
      </c>
      <c r="K55" s="10">
        <v>0</v>
      </c>
      <c r="L55" s="11"/>
      <c r="M55" s="9" t="str">
        <f>IF(Table132[[#This Row],[template]]="","",Table132[[#This Row],[IP_NAME]]&amp;"_"&amp;Table132[[#This Row],[PARAM_NAME]]&amp;IF(Table132[[#This Row],[PARAM_SUB]]="","","_"&amp;Table132[[#This Row],[PARAM_SUB]]))</f>
        <v>ev_fan_3</v>
      </c>
      <c r="N55" s="1" t="s">
        <v>262</v>
      </c>
      <c r="O55" s="1" t="s">
        <v>370</v>
      </c>
      <c r="P55" s="6" t="s">
        <v>244</v>
      </c>
      <c r="Q55" s="4">
        <v>11</v>
      </c>
      <c r="R55" s="6" t="s">
        <v>363</v>
      </c>
      <c r="S55" s="1" t="s">
        <v>311</v>
      </c>
      <c r="T55" s="16">
        <v>0</v>
      </c>
      <c r="U55" s="6" t="s">
        <v>363</v>
      </c>
      <c r="X55" s="11">
        <f>IF(Table132[[#This Row],[template]]="","",VLOOKUP(Table132[[#This Row],[IP_NAME]],Table511175[],2,FALSE))</f>
        <v>1</v>
      </c>
      <c r="Y55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>02000</v>
      </c>
      <c r="Z55" s="14">
        <f>IF(Table132[[#This Row],[template]]="","",HEX2DEC(Table132[[#This Row],[Addr_Hex]]))</f>
        <v>17</v>
      </c>
    </row>
    <row r="56" spans="2:26" x14ac:dyDescent="0.3">
      <c r="B56" s="4">
        <v>306</v>
      </c>
      <c r="C56" s="4" t="s">
        <v>230</v>
      </c>
      <c r="D56" s="9" t="str">
        <f>UPPER(Table132[[#This Row],[SIGNAL]])</f>
        <v>EV_IDEC_STATUS</v>
      </c>
      <c r="E56" s="9" t="str">
        <f>IF(Table132[[#This Row],[template]]="","","0x"&amp;Table132[[#This Row],[IP_Index]]&amp;DEC2HEX(Table132[[#This Row],[Addr_Dec]]*4,7))</f>
        <v>0x10000060</v>
      </c>
      <c r="F56" s="9" t="str">
        <f>IF(Table132[[#This Row],[template]]="","",VLOOKUP(Table132[[#This Row],[template]],Table29153[],2,FALSE))</f>
        <v>asynParamInt32</v>
      </c>
      <c r="G56" s="18" t="str">
        <f>IF(Table132[[#This Row],[template]]="","","1")</f>
        <v>1</v>
      </c>
      <c r="H56" s="10" t="s">
        <v>453</v>
      </c>
      <c r="I56" s="13" t="str">
        <f>IF(Table132[[#This Row],[template]]="","","0x"&amp;Table132[[#This Row],[D_Index]]&amp;"000")</f>
        <v>0x061E0000</v>
      </c>
      <c r="J56" s="18" t="s">
        <v>341</v>
      </c>
      <c r="K56" s="10">
        <v>0</v>
      </c>
      <c r="L56" s="11"/>
      <c r="M56" s="9" t="str">
        <f>IF(Table132[[#This Row],[template]]="","",Table132[[#This Row],[IP_NAME]]&amp;"_"&amp;Table132[[#This Row],[PARAM_NAME]]&amp;IF(Table132[[#This Row],[PARAM_SUB]]="","","_"&amp;Table132[[#This Row],[PARAM_SUB]]))</f>
        <v>ev_idec_status</v>
      </c>
      <c r="N56" s="1" t="s">
        <v>262</v>
      </c>
      <c r="O56" s="1" t="s">
        <v>272</v>
      </c>
      <c r="P56" s="6"/>
      <c r="Q56" s="4">
        <v>18</v>
      </c>
      <c r="R56" s="6" t="s">
        <v>363</v>
      </c>
      <c r="S56" s="1" t="s">
        <v>315</v>
      </c>
      <c r="T56" s="16">
        <v>30</v>
      </c>
      <c r="U56" s="6" t="s">
        <v>363</v>
      </c>
      <c r="X56" s="11">
        <f>IF(Table132[[#This Row],[template]]="","",VLOOKUP(Table132[[#This Row],[IP_NAME]],Table511175[],2,FALSE))</f>
        <v>1</v>
      </c>
      <c r="Y56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>061E0</v>
      </c>
      <c r="Z56" s="14">
        <f>IF(Table132[[#This Row],[template]]="","",HEX2DEC(Table132[[#This Row],[Addr_Hex]]))</f>
        <v>24</v>
      </c>
    </row>
    <row r="57" spans="2:26" x14ac:dyDescent="0.3">
      <c r="B57" s="4">
        <v>307</v>
      </c>
      <c r="C57" s="4" t="s">
        <v>456</v>
      </c>
      <c r="D57" s="9" t="str">
        <f>UPPER(Table132[[#This Row],[SIGNAL]])</f>
        <v>EV_SEQTRG_RUNSTATE_0</v>
      </c>
      <c r="E57" s="9" t="str">
        <f>IF(Table132[[#This Row],[template]]="","","0x"&amp;Table132[[#This Row],[IP_Index]]&amp;DEC2HEX(Table132[[#This Row],[Addr_Dec]]*4,7))</f>
        <v>0x10000060</v>
      </c>
      <c r="F57" s="9" t="str">
        <f>IF(Table132[[#This Row],[template]]="","",VLOOKUP(Table132[[#This Row],[template]],Table29153[],2,FALSE))</f>
        <v>asynParamInt32</v>
      </c>
      <c r="G57" s="18" t="str">
        <f>IF(Table132[[#This Row],[template]]="","","1")</f>
        <v>1</v>
      </c>
      <c r="H57" s="10" t="s">
        <v>453</v>
      </c>
      <c r="I57" s="13" t="str">
        <f>IF(Table132[[#This Row],[template]]="","","0x"&amp;Table132[[#This Row],[D_Index]]&amp;"000")</f>
        <v>0x05000000</v>
      </c>
      <c r="J57" s="18" t="s">
        <v>341</v>
      </c>
      <c r="K57" s="10">
        <v>0</v>
      </c>
      <c r="L57" s="11"/>
      <c r="M57" s="9" t="str">
        <f>IF(Table132[[#This Row],[template]]="","",Table132[[#This Row],[IP_NAME]]&amp;"_"&amp;Table132[[#This Row],[PARAM_NAME]]&amp;IF(Table132[[#This Row],[PARAM_SUB]]="","","_"&amp;Table132[[#This Row],[PARAM_SUB]]))</f>
        <v>ev_seqTrg_runState_0</v>
      </c>
      <c r="N57" s="1" t="s">
        <v>262</v>
      </c>
      <c r="O57" s="1" t="s">
        <v>371</v>
      </c>
      <c r="P57" s="6" t="s">
        <v>367</v>
      </c>
      <c r="Q57" s="4">
        <v>18</v>
      </c>
      <c r="R57" s="6" t="s">
        <v>363</v>
      </c>
      <c r="S57" s="1" t="s">
        <v>314</v>
      </c>
      <c r="T57" s="16">
        <v>0</v>
      </c>
      <c r="U57" s="6" t="s">
        <v>363</v>
      </c>
      <c r="X57" s="11">
        <f>IF(Table132[[#This Row],[template]]="","",VLOOKUP(Table132[[#This Row],[IP_NAME]],Table511175[],2,FALSE))</f>
        <v>1</v>
      </c>
      <c r="Y57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>05000</v>
      </c>
      <c r="Z57" s="14">
        <f>IF(Table132[[#This Row],[template]]="","",HEX2DEC(Table132[[#This Row],[Addr_Hex]]))</f>
        <v>24</v>
      </c>
    </row>
    <row r="58" spans="2:26" x14ac:dyDescent="0.3">
      <c r="B58" s="4">
        <v>308</v>
      </c>
      <c r="C58" s="4" t="s">
        <v>456</v>
      </c>
      <c r="D58" s="9" t="str">
        <f>UPPER(Table132[[#This Row],[SIGNAL]])</f>
        <v>EV_SEQTRG_RUNSTATE_1</v>
      </c>
      <c r="E58" s="9" t="str">
        <f>IF(Table132[[#This Row],[template]]="","","0x"&amp;Table132[[#This Row],[IP_Index]]&amp;DEC2HEX(Table132[[#This Row],[Addr_Dec]]*4,7))</f>
        <v>0x10000060</v>
      </c>
      <c r="F58" s="9" t="str">
        <f>IF(Table132[[#This Row],[template]]="","",VLOOKUP(Table132[[#This Row],[template]],Table29153[],2,FALSE))</f>
        <v>asynParamInt32</v>
      </c>
      <c r="G58" s="18" t="str">
        <f>IF(Table132[[#This Row],[template]]="","","1")</f>
        <v>1</v>
      </c>
      <c r="H58" s="10" t="s">
        <v>453</v>
      </c>
      <c r="I58" s="13" t="str">
        <f>IF(Table132[[#This Row],[template]]="","","0x"&amp;Table132[[#This Row],[D_Index]]&amp;"000")</f>
        <v>0x05020000</v>
      </c>
      <c r="J58" s="18" t="s">
        <v>341</v>
      </c>
      <c r="K58" s="10">
        <v>0</v>
      </c>
      <c r="L58" s="11"/>
      <c r="M58" s="9" t="str">
        <f>IF(Table132[[#This Row],[template]]="","",Table132[[#This Row],[IP_NAME]]&amp;"_"&amp;Table132[[#This Row],[PARAM_NAME]]&amp;IF(Table132[[#This Row],[PARAM_SUB]]="","","_"&amp;Table132[[#This Row],[PARAM_SUB]]))</f>
        <v>ev_seqTrg_runState_1</v>
      </c>
      <c r="N58" s="1" t="s">
        <v>262</v>
      </c>
      <c r="O58" s="1" t="s">
        <v>371</v>
      </c>
      <c r="P58" s="6" t="s">
        <v>271</v>
      </c>
      <c r="Q58" s="4">
        <v>18</v>
      </c>
      <c r="R58" s="6" t="s">
        <v>363</v>
      </c>
      <c r="S58" s="1" t="s">
        <v>314</v>
      </c>
      <c r="T58" s="16">
        <v>2</v>
      </c>
      <c r="U58" s="6" t="s">
        <v>363</v>
      </c>
      <c r="X58" s="11">
        <f>IF(Table132[[#This Row],[template]]="","",VLOOKUP(Table132[[#This Row],[IP_NAME]],Table511175[],2,FALSE))</f>
        <v>1</v>
      </c>
      <c r="Y58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>05020</v>
      </c>
      <c r="Z58" s="14">
        <f>IF(Table132[[#This Row],[template]]="","",HEX2DEC(Table132[[#This Row],[Addr_Hex]]))</f>
        <v>24</v>
      </c>
    </row>
    <row r="59" spans="2:26" x14ac:dyDescent="0.3">
      <c r="B59" s="4">
        <v>309</v>
      </c>
      <c r="C59" s="4" t="s">
        <v>456</v>
      </c>
      <c r="D59" s="9" t="str">
        <f>UPPER(Table132[[#This Row],[SIGNAL]])</f>
        <v>EV_TX_EVCODEA_CNTR</v>
      </c>
      <c r="E59" s="9" t="str">
        <f>IF(Table132[[#This Row],[template]]="","","0x"&amp;Table132[[#This Row],[IP_Index]]&amp;DEC2HEX(Table132[[#This Row],[Addr_Dec]]*4,7))</f>
        <v>0x10000070</v>
      </c>
      <c r="F59" s="9" t="str">
        <f>IF(Table132[[#This Row],[template]]="","",VLOOKUP(Table132[[#This Row],[template]],Table29153[],2,FALSE))</f>
        <v>asynParamInt32</v>
      </c>
      <c r="G59" s="18" t="str">
        <f>IF(Table132[[#This Row],[template]]="","","1")</f>
        <v>1</v>
      </c>
      <c r="H59" s="10" t="s">
        <v>453</v>
      </c>
      <c r="I59" s="13" t="str">
        <f>IF(Table132[[#This Row],[template]]="","","0x"&amp;Table132[[#This Row],[D_Index]]&amp;"000")</f>
        <v>0x02100000</v>
      </c>
      <c r="J59" s="18" t="s">
        <v>341</v>
      </c>
      <c r="K59" s="10">
        <v>0</v>
      </c>
      <c r="L59" s="11"/>
      <c r="M59" s="9" t="str">
        <f>IF(Table132[[#This Row],[template]]="","",Table132[[#This Row],[IP_NAME]]&amp;"_"&amp;Table132[[#This Row],[PARAM_NAME]]&amp;IF(Table132[[#This Row],[PARAM_SUB]]="","","_"&amp;Table132[[#This Row],[PARAM_SUB]]))</f>
        <v>ev_tx_evCodeA_cntr</v>
      </c>
      <c r="N59" s="1" t="s">
        <v>262</v>
      </c>
      <c r="O59" s="1" t="s">
        <v>372</v>
      </c>
      <c r="P59" s="6"/>
      <c r="Q59" s="4" t="s">
        <v>373</v>
      </c>
      <c r="R59" s="6" t="s">
        <v>363</v>
      </c>
      <c r="S59" s="1" t="s">
        <v>311</v>
      </c>
      <c r="T59" s="16">
        <v>16</v>
      </c>
      <c r="U59" s="6" t="s">
        <v>363</v>
      </c>
      <c r="X59" s="11">
        <f>IF(Table132[[#This Row],[template]]="","",VLOOKUP(Table132[[#This Row],[IP_NAME]],Table511175[],2,FALSE))</f>
        <v>1</v>
      </c>
      <c r="Y59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>02100</v>
      </c>
      <c r="Z59" s="14">
        <f>IF(Table132[[#This Row],[template]]="","",HEX2DEC(Table132[[#This Row],[Addr_Hex]]))</f>
        <v>28</v>
      </c>
    </row>
    <row r="60" spans="2:26" x14ac:dyDescent="0.3">
      <c r="B60" s="4">
        <v>310</v>
      </c>
      <c r="C60" s="4" t="s">
        <v>456</v>
      </c>
      <c r="D60" s="9" t="str">
        <f>UPPER(Table132[[#This Row],[SIGNAL]])</f>
        <v>EV_TX_EVCODEB_CNTR</v>
      </c>
      <c r="E60" s="9" t="str">
        <f>IF(Table132[[#This Row],[template]]="","","0x"&amp;Table132[[#This Row],[IP_Index]]&amp;DEC2HEX(Table132[[#This Row],[Addr_Dec]]*4,7))</f>
        <v>0x10000070</v>
      </c>
      <c r="F60" s="9" t="str">
        <f>IF(Table132[[#This Row],[template]]="","",VLOOKUP(Table132[[#This Row],[template]],Table29153[],2,FALSE))</f>
        <v>asynParamInt32</v>
      </c>
      <c r="G60" s="18" t="str">
        <f>IF(Table132[[#This Row],[template]]="","","1")</f>
        <v>1</v>
      </c>
      <c r="H60" s="10" t="s">
        <v>453</v>
      </c>
      <c r="I60" s="13" t="str">
        <f>IF(Table132[[#This Row],[template]]="","","0x"&amp;Table132[[#This Row],[D_Index]]&amp;"000")</f>
        <v>0x02000000</v>
      </c>
      <c r="J60" s="18" t="s">
        <v>341</v>
      </c>
      <c r="K60" s="10">
        <v>0</v>
      </c>
      <c r="L60" s="11"/>
      <c r="M60" s="9" t="str">
        <f>IF(Table132[[#This Row],[template]]="","",Table132[[#This Row],[IP_NAME]]&amp;"_"&amp;Table132[[#This Row],[PARAM_NAME]]&amp;IF(Table132[[#This Row],[PARAM_SUB]]="","","_"&amp;Table132[[#This Row],[PARAM_SUB]]))</f>
        <v>ev_tx_evCodeB_cntr</v>
      </c>
      <c r="N60" s="1" t="s">
        <v>262</v>
      </c>
      <c r="O60" s="1" t="s">
        <v>374</v>
      </c>
      <c r="P60" s="6"/>
      <c r="Q60" s="4" t="s">
        <v>373</v>
      </c>
      <c r="R60" s="6" t="s">
        <v>363</v>
      </c>
      <c r="S60" s="1" t="s">
        <v>311</v>
      </c>
      <c r="T60" s="16">
        <v>0</v>
      </c>
      <c r="U60" s="6" t="s">
        <v>363</v>
      </c>
      <c r="X60" s="11">
        <f>IF(Table132[[#This Row],[template]]="","",VLOOKUP(Table132[[#This Row],[IP_NAME]],Table511175[],2,FALSE))</f>
        <v>1</v>
      </c>
      <c r="Y60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>02000</v>
      </c>
      <c r="Z60" s="14">
        <f>IF(Table132[[#This Row],[template]]="","",HEX2DEC(Table132[[#This Row],[Addr_Hex]]))</f>
        <v>28</v>
      </c>
    </row>
    <row r="61" spans="2:26" x14ac:dyDescent="0.3">
      <c r="B61" s="4">
        <v>311</v>
      </c>
      <c r="C61" s="4" t="s">
        <v>456</v>
      </c>
      <c r="D61" s="9" t="str">
        <f>UPPER(Table132[[#This Row],[SIGNAL]])</f>
        <v>EV_RX_EVCODEA_CNTR</v>
      </c>
      <c r="E61" s="9" t="str">
        <f>IF(Table132[[#This Row],[template]]="","","0x"&amp;Table132[[#This Row],[IP_Index]]&amp;DEC2HEX(Table132[[#This Row],[Addr_Dec]]*4,7))</f>
        <v>0x10000080</v>
      </c>
      <c r="F61" s="9" t="str">
        <f>IF(Table132[[#This Row],[template]]="","",VLOOKUP(Table132[[#This Row],[template]],Table29153[],2,FALSE))</f>
        <v>asynParamInt32</v>
      </c>
      <c r="G61" s="18" t="str">
        <f>IF(Table132[[#This Row],[template]]="","","1")</f>
        <v>1</v>
      </c>
      <c r="H61" s="10" t="s">
        <v>453</v>
      </c>
      <c r="I61" s="13" t="str">
        <f>IF(Table132[[#This Row],[template]]="","","0x"&amp;Table132[[#This Row],[D_Index]]&amp;"000")</f>
        <v>0x02100000</v>
      </c>
      <c r="J61" s="18" t="s">
        <v>341</v>
      </c>
      <c r="K61" s="10">
        <v>0</v>
      </c>
      <c r="L61" s="11"/>
      <c r="M61" s="9" t="str">
        <f>IF(Table132[[#This Row],[template]]="","",Table132[[#This Row],[IP_NAME]]&amp;"_"&amp;Table132[[#This Row],[PARAM_NAME]]&amp;IF(Table132[[#This Row],[PARAM_SUB]]="","","_"&amp;Table132[[#This Row],[PARAM_SUB]]))</f>
        <v>ev_rx_evCodeA_cntr</v>
      </c>
      <c r="N61" s="1" t="s">
        <v>262</v>
      </c>
      <c r="O61" s="1" t="s">
        <v>375</v>
      </c>
      <c r="P61" s="6"/>
      <c r="Q61" s="4">
        <v>20</v>
      </c>
      <c r="R61" s="6" t="s">
        <v>363</v>
      </c>
      <c r="S61" s="1" t="s">
        <v>311</v>
      </c>
      <c r="T61" s="16">
        <v>16</v>
      </c>
      <c r="U61" s="6" t="s">
        <v>363</v>
      </c>
      <c r="X61" s="11">
        <f>IF(Table132[[#This Row],[template]]="","",VLOOKUP(Table132[[#This Row],[IP_NAME]],Table511175[],2,FALSE))</f>
        <v>1</v>
      </c>
      <c r="Y61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>02100</v>
      </c>
      <c r="Z61" s="14">
        <f>IF(Table132[[#This Row],[template]]="","",HEX2DEC(Table132[[#This Row],[Addr_Hex]]))</f>
        <v>32</v>
      </c>
    </row>
    <row r="62" spans="2:26" x14ac:dyDescent="0.3">
      <c r="B62" s="4">
        <v>312</v>
      </c>
      <c r="C62" s="4" t="s">
        <v>456</v>
      </c>
      <c r="D62" s="9" t="str">
        <f>UPPER(Table132[[#This Row],[SIGNAL]])</f>
        <v>EV_RX_EVCODEB_CNTR</v>
      </c>
      <c r="E62" s="9" t="str">
        <f>IF(Table132[[#This Row],[template]]="","","0x"&amp;Table132[[#This Row],[IP_Index]]&amp;DEC2HEX(Table132[[#This Row],[Addr_Dec]]*4,7))</f>
        <v>0x10000080</v>
      </c>
      <c r="F62" s="9" t="str">
        <f>IF(Table132[[#This Row],[template]]="","",VLOOKUP(Table132[[#This Row],[template]],Table29153[],2,FALSE))</f>
        <v>asynParamInt32</v>
      </c>
      <c r="G62" s="18" t="str">
        <f>IF(Table132[[#This Row],[template]]="","","1")</f>
        <v>1</v>
      </c>
      <c r="H62" s="10" t="s">
        <v>453</v>
      </c>
      <c r="I62" s="13" t="str">
        <f>IF(Table132[[#This Row],[template]]="","","0x"&amp;Table132[[#This Row],[D_Index]]&amp;"000")</f>
        <v>0x02000000</v>
      </c>
      <c r="J62" s="18" t="s">
        <v>341</v>
      </c>
      <c r="K62" s="10">
        <v>0</v>
      </c>
      <c r="L62" s="11"/>
      <c r="M62" s="9" t="str">
        <f>IF(Table132[[#This Row],[template]]="","",Table132[[#This Row],[IP_NAME]]&amp;"_"&amp;Table132[[#This Row],[PARAM_NAME]]&amp;IF(Table132[[#This Row],[PARAM_SUB]]="","","_"&amp;Table132[[#This Row],[PARAM_SUB]]))</f>
        <v>ev_rx_evCodeB_cntr</v>
      </c>
      <c r="N62" s="1" t="s">
        <v>262</v>
      </c>
      <c r="O62" s="1" t="s">
        <v>376</v>
      </c>
      <c r="P62" s="6"/>
      <c r="Q62" s="4">
        <v>20</v>
      </c>
      <c r="R62" s="6" t="s">
        <v>363</v>
      </c>
      <c r="S62" s="1" t="s">
        <v>311</v>
      </c>
      <c r="T62" s="16">
        <v>0</v>
      </c>
      <c r="U62" s="6" t="s">
        <v>363</v>
      </c>
      <c r="X62" s="11">
        <f>IF(Table132[[#This Row],[template]]="","",VLOOKUP(Table132[[#This Row],[IP_NAME]],Table511175[],2,FALSE))</f>
        <v>1</v>
      </c>
      <c r="Y62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>02000</v>
      </c>
      <c r="Z62" s="14">
        <f>IF(Table132[[#This Row],[template]]="","",HEX2DEC(Table132[[#This Row],[Addr_Hex]]))</f>
        <v>32</v>
      </c>
    </row>
    <row r="63" spans="2:26" x14ac:dyDescent="0.3">
      <c r="B63" s="4">
        <v>313</v>
      </c>
      <c r="C63" s="4" t="s">
        <v>456</v>
      </c>
      <c r="D63" s="9" t="str">
        <f>UPPER(Table132[[#This Row],[SIGNAL]])</f>
        <v>EV_EMERGENCYSTOPCNTR</v>
      </c>
      <c r="E63" s="9" t="str">
        <f>IF(Table132[[#This Row],[template]]="","","0x"&amp;Table132[[#This Row],[IP_Index]]&amp;DEC2HEX(Table132[[#This Row],[Addr_Dec]]*4,7))</f>
        <v>0x10000088</v>
      </c>
      <c r="F63" s="9" t="str">
        <f>IF(Table132[[#This Row],[template]]="","",VLOOKUP(Table132[[#This Row],[template]],Table29153[],2,FALSE))</f>
        <v>asynParamInt32</v>
      </c>
      <c r="G63" s="18" t="str">
        <f>IF(Table132[[#This Row],[template]]="","","1")</f>
        <v>1</v>
      </c>
      <c r="H63" s="10" t="s">
        <v>453</v>
      </c>
      <c r="I63" s="13" t="str">
        <f>IF(Table132[[#This Row],[template]]="","","0x"&amp;Table132[[#This Row],[D_Index]]&amp;"000")</f>
        <v>0x02000000</v>
      </c>
      <c r="J63" s="18" t="s">
        <v>341</v>
      </c>
      <c r="K63" s="10">
        <v>0</v>
      </c>
      <c r="L63" s="11"/>
      <c r="M63" s="9" t="str">
        <f>IF(Table132[[#This Row],[template]]="","",Table132[[#This Row],[IP_NAME]]&amp;"_"&amp;Table132[[#This Row],[PARAM_NAME]]&amp;IF(Table132[[#This Row],[PARAM_SUB]]="","","_"&amp;Table132[[#This Row],[PARAM_SUB]]))</f>
        <v>ev_emergencyStopCntr</v>
      </c>
      <c r="N63" s="1" t="s">
        <v>262</v>
      </c>
      <c r="O63" s="1" t="s">
        <v>377</v>
      </c>
      <c r="P63" s="6"/>
      <c r="Q63" s="4">
        <v>22</v>
      </c>
      <c r="R63" s="6" t="s">
        <v>363</v>
      </c>
      <c r="S63" s="1" t="s">
        <v>311</v>
      </c>
      <c r="T63" s="16">
        <v>0</v>
      </c>
      <c r="U63" s="6" t="s">
        <v>363</v>
      </c>
      <c r="X63" s="11">
        <f>IF(Table132[[#This Row],[template]]="","",VLOOKUP(Table132[[#This Row],[IP_NAME]],Table511175[],2,FALSE))</f>
        <v>1</v>
      </c>
      <c r="Y63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>02000</v>
      </c>
      <c r="Z63" s="14">
        <f>IF(Table132[[#This Row],[template]]="","",HEX2DEC(Table132[[#This Row],[Addr_Hex]]))</f>
        <v>34</v>
      </c>
    </row>
    <row r="64" spans="2:26" x14ac:dyDescent="0.3">
      <c r="B64" s="4">
        <v>314</v>
      </c>
      <c r="C64" s="4"/>
      <c r="D64" s="9" t="str">
        <f>UPPER(Table132[[#This Row],[SIGNAL]])</f>
        <v/>
      </c>
      <c r="E64" s="9" t="str">
        <f>IF(Table132[[#This Row],[template]]="","","0x"&amp;Table132[[#This Row],[IP_Index]]&amp;DEC2HEX(Table132[[#This Row],[Addr_Dec]]*4,7))</f>
        <v/>
      </c>
      <c r="F64" s="9" t="str">
        <f>IF(Table132[[#This Row],[template]]="","",VLOOKUP(Table132[[#This Row],[template]],Table29153[],2,FALSE))</f>
        <v/>
      </c>
      <c r="G64" s="18" t="str">
        <f>IF(Table132[[#This Row],[template]]="","","1")</f>
        <v/>
      </c>
      <c r="H64" s="10" t="s">
        <v>453</v>
      </c>
      <c r="I64" s="13" t="str">
        <f>IF(Table132[[#This Row],[template]]="","","0x"&amp;Table132[[#This Row],[D_Index]]&amp;"000")</f>
        <v/>
      </c>
      <c r="J64" s="18"/>
      <c r="K64" s="10">
        <v>0</v>
      </c>
      <c r="L64" s="11"/>
      <c r="M64" s="9" t="str">
        <f>IF(Table132[[#This Row],[template]]="","",Table132[[#This Row],[IP_NAME]]&amp;"_"&amp;Table132[[#This Row],[PARAM_NAME]]&amp;IF(Table132[[#This Row],[PARAM_SUB]]="","","_"&amp;Table132[[#This Row],[PARAM_SUB]]))</f>
        <v/>
      </c>
      <c r="P64" s="6"/>
      <c r="Q64" s="4"/>
      <c r="R64" s="6"/>
      <c r="T64" s="16"/>
      <c r="U64" s="6"/>
      <c r="X64" s="11" t="str">
        <f>IF(Table132[[#This Row],[template]]="","",VLOOKUP(Table132[[#This Row],[IP_NAME]],Table511175[],2,FALSE))</f>
        <v/>
      </c>
      <c r="Y64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/>
      </c>
      <c r="Z64" s="14" t="str">
        <f>IF(Table132[[#This Row],[template]]="","",HEX2DEC(Table132[[#This Row],[Addr_Hex]]))</f>
        <v/>
      </c>
    </row>
    <row r="65" spans="2:26" x14ac:dyDescent="0.3">
      <c r="B65" s="4">
        <v>500</v>
      </c>
      <c r="C65" s="4" t="s">
        <v>230</v>
      </c>
      <c r="D65" s="9" t="str">
        <f>UPPER(Table132[[#This Row],[SIGNAL]])</f>
        <v>EV_PDPRUNSTT</v>
      </c>
      <c r="E65" s="9" t="str">
        <f>IF(Table132[[#This Row],[template]]="","","0x"&amp;Table132[[#This Row],[IP_Index]]&amp;DEC2HEX(Table132[[#This Row],[Addr_Dec]]*4,7))</f>
        <v>0x1000008C</v>
      </c>
      <c r="F65" s="9" t="str">
        <f>IF(Table132[[#This Row],[template]]="","",VLOOKUP(Table132[[#This Row],[template]],Table29153[],2,FALSE))</f>
        <v>asynParamInt32</v>
      </c>
      <c r="G65" s="18" t="str">
        <f>IF(Table132[[#This Row],[template]]="","","1")</f>
        <v>1</v>
      </c>
      <c r="H65" s="10" t="s">
        <v>453</v>
      </c>
      <c r="I65" s="13" t="str">
        <f>IF(Table132[[#This Row],[template]]="","","0x"&amp;Table132[[#This Row],[D_Index]]&amp;"000")</f>
        <v>0x06000000</v>
      </c>
      <c r="J65" s="18" t="s">
        <v>341</v>
      </c>
      <c r="K65" s="10">
        <v>0</v>
      </c>
      <c r="L65" s="11"/>
      <c r="M65" s="9" t="str">
        <f>IF(Table132[[#This Row],[template]]="","",Table132[[#This Row],[IP_NAME]]&amp;"_"&amp;Table132[[#This Row],[PARAM_NAME]]&amp;IF(Table132[[#This Row],[PARAM_SUB]]="","","_"&amp;Table132[[#This Row],[PARAM_SUB]]))</f>
        <v>ev_pdpRunStt</v>
      </c>
      <c r="N65" s="1" t="s">
        <v>262</v>
      </c>
      <c r="O65" s="1" t="s">
        <v>378</v>
      </c>
      <c r="P65" s="6"/>
      <c r="Q65" s="4">
        <v>23</v>
      </c>
      <c r="R65" s="6" t="s">
        <v>363</v>
      </c>
      <c r="S65" s="1" t="s">
        <v>315</v>
      </c>
      <c r="T65" s="16">
        <v>0</v>
      </c>
      <c r="U65" s="6" t="s">
        <v>363</v>
      </c>
      <c r="X65" s="11">
        <f>IF(Table132[[#This Row],[template]]="","",VLOOKUP(Table132[[#This Row],[IP_NAME]],Table511175[],2,FALSE))</f>
        <v>1</v>
      </c>
      <c r="Y65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>06000</v>
      </c>
      <c r="Z65" s="14">
        <f>IF(Table132[[#This Row],[template]]="","",HEX2DEC(Table132[[#This Row],[Addr_Hex]]))</f>
        <v>35</v>
      </c>
    </row>
    <row r="66" spans="2:26" x14ac:dyDescent="0.3">
      <c r="B66" s="4">
        <v>501</v>
      </c>
      <c r="C66" s="4" t="s">
        <v>230</v>
      </c>
      <c r="D66" s="9" t="str">
        <f>UPPER(Table132[[#This Row],[SIGNAL]])</f>
        <v>EV_PDPRUNSTT_1</v>
      </c>
      <c r="E66" s="9" t="str">
        <f>IF(Table132[[#This Row],[template]]="","","0x"&amp;Table132[[#This Row],[IP_Index]]&amp;DEC2HEX(Table132[[#This Row],[Addr_Dec]]*4,7))</f>
        <v>0x1000008C</v>
      </c>
      <c r="F66" s="9" t="str">
        <f>IF(Table132[[#This Row],[template]]="","",VLOOKUP(Table132[[#This Row],[template]],Table29153[],2,FALSE))</f>
        <v>asynParamInt32</v>
      </c>
      <c r="G66" s="18" t="str">
        <f>IF(Table132[[#This Row],[template]]="","","1")</f>
        <v>1</v>
      </c>
      <c r="H66" s="10" t="s">
        <v>453</v>
      </c>
      <c r="I66" s="13" t="str">
        <f>IF(Table132[[#This Row],[template]]="","","0x"&amp;Table132[[#This Row],[D_Index]]&amp;"000")</f>
        <v>0x06010000</v>
      </c>
      <c r="J66" s="18" t="s">
        <v>341</v>
      </c>
      <c r="K66" s="10">
        <v>0</v>
      </c>
      <c r="L66" s="11"/>
      <c r="M66" s="9" t="str">
        <f>IF(Table132[[#This Row],[template]]="","",Table132[[#This Row],[IP_NAME]]&amp;"_"&amp;Table132[[#This Row],[PARAM_NAME]]&amp;IF(Table132[[#This Row],[PARAM_SUB]]="","","_"&amp;Table132[[#This Row],[PARAM_SUB]]))</f>
        <v>ev_pdpRunStt_1</v>
      </c>
      <c r="N66" s="1" t="s">
        <v>262</v>
      </c>
      <c r="O66" s="1" t="s">
        <v>378</v>
      </c>
      <c r="P66" s="6" t="s">
        <v>271</v>
      </c>
      <c r="Q66" s="4">
        <v>23</v>
      </c>
      <c r="R66" s="6" t="s">
        <v>363</v>
      </c>
      <c r="S66" s="1" t="s">
        <v>315</v>
      </c>
      <c r="T66" s="16">
        <v>1</v>
      </c>
      <c r="U66" s="6" t="s">
        <v>363</v>
      </c>
      <c r="X66" s="11">
        <f>IF(Table132[[#This Row],[template]]="","",VLOOKUP(Table132[[#This Row],[IP_NAME]],Table511175[],2,FALSE))</f>
        <v>1</v>
      </c>
      <c r="Y66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>06010</v>
      </c>
      <c r="Z66" s="14">
        <f>IF(Table132[[#This Row],[template]]="","",HEX2DEC(Table132[[#This Row],[Addr_Hex]]))</f>
        <v>35</v>
      </c>
    </row>
    <row r="67" spans="2:26" x14ac:dyDescent="0.3">
      <c r="B67" s="4">
        <v>502</v>
      </c>
      <c r="C67" s="4" t="s">
        <v>230</v>
      </c>
      <c r="D67" s="9" t="str">
        <f>UPPER(Table132[[#This Row],[SIGNAL]])</f>
        <v>EV_PDPRUNSTT_2</v>
      </c>
      <c r="E67" s="9" t="str">
        <f>IF(Table132[[#This Row],[template]]="","","0x"&amp;Table132[[#This Row],[IP_Index]]&amp;DEC2HEX(Table132[[#This Row],[Addr_Dec]]*4,7))</f>
        <v>0x1000008C</v>
      </c>
      <c r="F67" s="9" t="str">
        <f>IF(Table132[[#This Row],[template]]="","",VLOOKUP(Table132[[#This Row],[template]],Table29153[],2,FALSE))</f>
        <v>asynParamInt32</v>
      </c>
      <c r="G67" s="18" t="str">
        <f>IF(Table132[[#This Row],[template]]="","","1")</f>
        <v>1</v>
      </c>
      <c r="H67" s="10" t="s">
        <v>453</v>
      </c>
      <c r="I67" s="13" t="str">
        <f>IF(Table132[[#This Row],[template]]="","","0x"&amp;Table132[[#This Row],[D_Index]]&amp;"000")</f>
        <v>0x06020000</v>
      </c>
      <c r="J67" s="18" t="s">
        <v>341</v>
      </c>
      <c r="K67" s="10">
        <v>0</v>
      </c>
      <c r="L67" s="11"/>
      <c r="M67" s="9" t="str">
        <f>IF(Table132[[#This Row],[template]]="","",Table132[[#This Row],[IP_NAME]]&amp;"_"&amp;Table132[[#This Row],[PARAM_NAME]]&amp;IF(Table132[[#This Row],[PARAM_SUB]]="","","_"&amp;Table132[[#This Row],[PARAM_SUB]]))</f>
        <v>ev_pdpRunStt_2</v>
      </c>
      <c r="N67" s="1" t="s">
        <v>262</v>
      </c>
      <c r="O67" s="1" t="s">
        <v>378</v>
      </c>
      <c r="P67" s="6" t="s">
        <v>243</v>
      </c>
      <c r="Q67" s="4">
        <v>23</v>
      </c>
      <c r="R67" s="6" t="s">
        <v>363</v>
      </c>
      <c r="S67" s="1" t="s">
        <v>315</v>
      </c>
      <c r="T67" s="16">
        <v>2</v>
      </c>
      <c r="U67" s="6" t="s">
        <v>363</v>
      </c>
      <c r="X67" s="11">
        <f>IF(Table132[[#This Row],[template]]="","",VLOOKUP(Table132[[#This Row],[IP_NAME]],Table511175[],2,FALSE))</f>
        <v>1</v>
      </c>
      <c r="Y67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>06020</v>
      </c>
      <c r="Z67" s="14">
        <f>IF(Table132[[#This Row],[template]]="","",HEX2DEC(Table132[[#This Row],[Addr_Hex]]))</f>
        <v>35</v>
      </c>
    </row>
    <row r="68" spans="2:26" x14ac:dyDescent="0.3">
      <c r="B68" s="4">
        <v>503</v>
      </c>
      <c r="C68" s="4" t="s">
        <v>230</v>
      </c>
      <c r="D68" s="9" t="str">
        <f>UPPER(Table132[[#This Row],[SIGNAL]])</f>
        <v>EV_PDPRUNSTT_3</v>
      </c>
      <c r="E68" s="9" t="str">
        <f>IF(Table132[[#This Row],[template]]="","","0x"&amp;Table132[[#This Row],[IP_Index]]&amp;DEC2HEX(Table132[[#This Row],[Addr_Dec]]*4,7))</f>
        <v>0x1000008C</v>
      </c>
      <c r="F68" s="9" t="str">
        <f>IF(Table132[[#This Row],[template]]="","",VLOOKUP(Table132[[#This Row],[template]],Table29153[],2,FALSE))</f>
        <v>asynParamInt32</v>
      </c>
      <c r="G68" s="18" t="str">
        <f>IF(Table132[[#This Row],[template]]="","","1")</f>
        <v>1</v>
      </c>
      <c r="H68" s="10" t="s">
        <v>453</v>
      </c>
      <c r="I68" s="13" t="str">
        <f>IF(Table132[[#This Row],[template]]="","","0x"&amp;Table132[[#This Row],[D_Index]]&amp;"000")</f>
        <v>0x06030000</v>
      </c>
      <c r="J68" s="18" t="s">
        <v>341</v>
      </c>
      <c r="K68" s="10">
        <v>0</v>
      </c>
      <c r="L68" s="11"/>
      <c r="M68" s="9" t="str">
        <f>IF(Table132[[#This Row],[template]]="","",Table132[[#This Row],[IP_NAME]]&amp;"_"&amp;Table132[[#This Row],[PARAM_NAME]]&amp;IF(Table132[[#This Row],[PARAM_SUB]]="","","_"&amp;Table132[[#This Row],[PARAM_SUB]]))</f>
        <v>ev_pdpRunStt_3</v>
      </c>
      <c r="N68" s="1" t="s">
        <v>262</v>
      </c>
      <c r="O68" s="1" t="s">
        <v>378</v>
      </c>
      <c r="P68" s="6" t="s">
        <v>244</v>
      </c>
      <c r="Q68" s="4">
        <v>23</v>
      </c>
      <c r="R68" s="6" t="s">
        <v>363</v>
      </c>
      <c r="S68" s="1" t="s">
        <v>315</v>
      </c>
      <c r="T68" s="16">
        <v>3</v>
      </c>
      <c r="U68" s="6" t="s">
        <v>363</v>
      </c>
      <c r="X68" s="11">
        <f>IF(Table132[[#This Row],[template]]="","",VLOOKUP(Table132[[#This Row],[IP_NAME]],Table511175[],2,FALSE))</f>
        <v>1</v>
      </c>
      <c r="Y68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>06030</v>
      </c>
      <c r="Z68" s="14">
        <f>IF(Table132[[#This Row],[template]]="","",HEX2DEC(Table132[[#This Row],[Addr_Hex]]))</f>
        <v>35</v>
      </c>
    </row>
    <row r="69" spans="2:26" x14ac:dyDescent="0.3">
      <c r="B69" s="4">
        <v>504</v>
      </c>
      <c r="C69" s="4" t="s">
        <v>230</v>
      </c>
      <c r="D69" s="9" t="str">
        <f>UPPER(Table132[[#This Row],[SIGNAL]])</f>
        <v>EV_PDPRUNSTT_4</v>
      </c>
      <c r="E69" s="9" t="str">
        <f>IF(Table132[[#This Row],[template]]="","","0x"&amp;Table132[[#This Row],[IP_Index]]&amp;DEC2HEX(Table132[[#This Row],[Addr_Dec]]*4,7))</f>
        <v>0x1000008C</v>
      </c>
      <c r="F69" s="9" t="str">
        <f>IF(Table132[[#This Row],[template]]="","",VLOOKUP(Table132[[#This Row],[template]],Table29153[],2,FALSE))</f>
        <v>asynParamInt32</v>
      </c>
      <c r="G69" s="18" t="str">
        <f>IF(Table132[[#This Row],[template]]="","","1")</f>
        <v>1</v>
      </c>
      <c r="H69" s="10" t="s">
        <v>453</v>
      </c>
      <c r="I69" s="13" t="str">
        <f>IF(Table132[[#This Row],[template]]="","","0x"&amp;Table132[[#This Row],[D_Index]]&amp;"000")</f>
        <v>0x06040000</v>
      </c>
      <c r="J69" s="18" t="s">
        <v>341</v>
      </c>
      <c r="K69" s="10">
        <v>0</v>
      </c>
      <c r="L69" s="11"/>
      <c r="M69" s="9" t="str">
        <f>IF(Table132[[#This Row],[template]]="","",Table132[[#This Row],[IP_NAME]]&amp;"_"&amp;Table132[[#This Row],[PARAM_NAME]]&amp;IF(Table132[[#This Row],[PARAM_SUB]]="","","_"&amp;Table132[[#This Row],[PARAM_SUB]]))</f>
        <v>ev_pdpRunStt_4</v>
      </c>
      <c r="N69" s="1" t="s">
        <v>262</v>
      </c>
      <c r="O69" s="1" t="s">
        <v>378</v>
      </c>
      <c r="P69" s="6" t="s">
        <v>245</v>
      </c>
      <c r="Q69" s="4">
        <v>23</v>
      </c>
      <c r="R69" s="6" t="s">
        <v>363</v>
      </c>
      <c r="S69" s="1" t="s">
        <v>315</v>
      </c>
      <c r="T69" s="16">
        <v>4</v>
      </c>
      <c r="U69" s="6" t="s">
        <v>363</v>
      </c>
      <c r="X69" s="11">
        <f>IF(Table132[[#This Row],[template]]="","",VLOOKUP(Table132[[#This Row],[IP_NAME]],Table511175[],2,FALSE))</f>
        <v>1</v>
      </c>
      <c r="Y69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>06040</v>
      </c>
      <c r="Z69" s="14">
        <f>IF(Table132[[#This Row],[template]]="","",HEX2DEC(Table132[[#This Row],[Addr_Hex]]))</f>
        <v>35</v>
      </c>
    </row>
    <row r="70" spans="2:26" x14ac:dyDescent="0.3">
      <c r="B70" s="4">
        <v>505</v>
      </c>
      <c r="C70" s="4" t="s">
        <v>230</v>
      </c>
      <c r="D70" s="9" t="str">
        <f>UPPER(Table132[[#This Row],[SIGNAL]])</f>
        <v>EV_PDPRUNSTT_5</v>
      </c>
      <c r="E70" s="9" t="str">
        <f>IF(Table132[[#This Row],[template]]="","","0x"&amp;Table132[[#This Row],[IP_Index]]&amp;DEC2HEX(Table132[[#This Row],[Addr_Dec]]*4,7))</f>
        <v>0x1000008C</v>
      </c>
      <c r="F70" s="9" t="str">
        <f>IF(Table132[[#This Row],[template]]="","",VLOOKUP(Table132[[#This Row],[template]],Table29153[],2,FALSE))</f>
        <v>asynParamInt32</v>
      </c>
      <c r="G70" s="18" t="str">
        <f>IF(Table132[[#This Row],[template]]="","","1")</f>
        <v>1</v>
      </c>
      <c r="H70" s="10" t="s">
        <v>453</v>
      </c>
      <c r="I70" s="13" t="str">
        <f>IF(Table132[[#This Row],[template]]="","","0x"&amp;Table132[[#This Row],[D_Index]]&amp;"000")</f>
        <v>0x06050000</v>
      </c>
      <c r="J70" s="18" t="s">
        <v>341</v>
      </c>
      <c r="K70" s="10">
        <v>0</v>
      </c>
      <c r="L70" s="11"/>
      <c r="M70" s="9" t="str">
        <f>IF(Table132[[#This Row],[template]]="","",Table132[[#This Row],[IP_NAME]]&amp;"_"&amp;Table132[[#This Row],[PARAM_NAME]]&amp;IF(Table132[[#This Row],[PARAM_SUB]]="","","_"&amp;Table132[[#This Row],[PARAM_SUB]]))</f>
        <v>ev_pdpRunStt_5</v>
      </c>
      <c r="N70" s="1" t="s">
        <v>262</v>
      </c>
      <c r="O70" s="1" t="s">
        <v>378</v>
      </c>
      <c r="P70" s="6" t="s">
        <v>246</v>
      </c>
      <c r="Q70" s="4">
        <v>23</v>
      </c>
      <c r="R70" s="6" t="s">
        <v>363</v>
      </c>
      <c r="S70" s="1" t="s">
        <v>315</v>
      </c>
      <c r="T70" s="16">
        <v>5</v>
      </c>
      <c r="U70" s="6" t="s">
        <v>363</v>
      </c>
      <c r="X70" s="11">
        <f>IF(Table132[[#This Row],[template]]="","",VLOOKUP(Table132[[#This Row],[IP_NAME]],Table511175[],2,FALSE))</f>
        <v>1</v>
      </c>
      <c r="Y70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>06050</v>
      </c>
      <c r="Z70" s="14">
        <f>IF(Table132[[#This Row],[template]]="","",HEX2DEC(Table132[[#This Row],[Addr_Hex]]))</f>
        <v>35</v>
      </c>
    </row>
    <row r="71" spans="2:26" x14ac:dyDescent="0.3">
      <c r="B71" s="4">
        <v>506</v>
      </c>
      <c r="C71" s="4" t="s">
        <v>230</v>
      </c>
      <c r="D71" s="9" t="str">
        <f>UPPER(Table132[[#This Row],[SIGNAL]])</f>
        <v>EV_PDPRUNSTT_6</v>
      </c>
      <c r="E71" s="9" t="str">
        <f>IF(Table132[[#This Row],[template]]="","","0x"&amp;Table132[[#This Row],[IP_Index]]&amp;DEC2HEX(Table132[[#This Row],[Addr_Dec]]*4,7))</f>
        <v>0x1000008C</v>
      </c>
      <c r="F71" s="9" t="str">
        <f>IF(Table132[[#This Row],[template]]="","",VLOOKUP(Table132[[#This Row],[template]],Table29153[],2,FALSE))</f>
        <v>asynParamInt32</v>
      </c>
      <c r="G71" s="18" t="str">
        <f>IF(Table132[[#This Row],[template]]="","","1")</f>
        <v>1</v>
      </c>
      <c r="H71" s="10" t="s">
        <v>453</v>
      </c>
      <c r="I71" s="13" t="str">
        <f>IF(Table132[[#This Row],[template]]="","","0x"&amp;Table132[[#This Row],[D_Index]]&amp;"000")</f>
        <v>0x06060000</v>
      </c>
      <c r="J71" s="18" t="s">
        <v>341</v>
      </c>
      <c r="K71" s="10">
        <v>0</v>
      </c>
      <c r="L71" s="11"/>
      <c r="M71" s="9" t="str">
        <f>IF(Table132[[#This Row],[template]]="","",Table132[[#This Row],[IP_NAME]]&amp;"_"&amp;Table132[[#This Row],[PARAM_NAME]]&amp;IF(Table132[[#This Row],[PARAM_SUB]]="","","_"&amp;Table132[[#This Row],[PARAM_SUB]]))</f>
        <v>ev_pdpRunStt_6</v>
      </c>
      <c r="N71" s="1" t="s">
        <v>262</v>
      </c>
      <c r="O71" s="1" t="s">
        <v>378</v>
      </c>
      <c r="P71" s="6" t="s">
        <v>247</v>
      </c>
      <c r="Q71" s="4">
        <v>23</v>
      </c>
      <c r="R71" s="6" t="s">
        <v>363</v>
      </c>
      <c r="S71" s="1" t="s">
        <v>315</v>
      </c>
      <c r="T71" s="16">
        <v>6</v>
      </c>
      <c r="U71" s="6" t="s">
        <v>363</v>
      </c>
      <c r="X71" s="11">
        <f>IF(Table132[[#This Row],[template]]="","",VLOOKUP(Table132[[#This Row],[IP_NAME]],Table511175[],2,FALSE))</f>
        <v>1</v>
      </c>
      <c r="Y71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>06060</v>
      </c>
      <c r="Z71" s="14">
        <f>IF(Table132[[#This Row],[template]]="","",HEX2DEC(Table132[[#This Row],[Addr_Hex]]))</f>
        <v>35</v>
      </c>
    </row>
    <row r="72" spans="2:26" x14ac:dyDescent="0.3">
      <c r="B72" s="4">
        <v>507</v>
      </c>
      <c r="C72" s="4" t="s">
        <v>230</v>
      </c>
      <c r="D72" s="9" t="str">
        <f>UPPER(Table132[[#This Row],[SIGNAL]])</f>
        <v>EV_PDPRUNSTT_7</v>
      </c>
      <c r="E72" s="9" t="str">
        <f>IF(Table132[[#This Row],[template]]="","","0x"&amp;Table132[[#This Row],[IP_Index]]&amp;DEC2HEX(Table132[[#This Row],[Addr_Dec]]*4,7))</f>
        <v>0x1000008C</v>
      </c>
      <c r="F72" s="9" t="str">
        <f>IF(Table132[[#This Row],[template]]="","",VLOOKUP(Table132[[#This Row],[template]],Table29153[],2,FALSE))</f>
        <v>asynParamInt32</v>
      </c>
      <c r="G72" s="18" t="str">
        <f>IF(Table132[[#This Row],[template]]="","","1")</f>
        <v>1</v>
      </c>
      <c r="H72" s="10" t="s">
        <v>453</v>
      </c>
      <c r="I72" s="13" t="str">
        <f>IF(Table132[[#This Row],[template]]="","","0x"&amp;Table132[[#This Row],[D_Index]]&amp;"000")</f>
        <v>0x06070000</v>
      </c>
      <c r="J72" s="18" t="s">
        <v>341</v>
      </c>
      <c r="K72" s="10">
        <v>0</v>
      </c>
      <c r="L72" s="11"/>
      <c r="M72" s="9" t="str">
        <f>IF(Table132[[#This Row],[template]]="","",Table132[[#This Row],[IP_NAME]]&amp;"_"&amp;Table132[[#This Row],[PARAM_NAME]]&amp;IF(Table132[[#This Row],[PARAM_SUB]]="","","_"&amp;Table132[[#This Row],[PARAM_SUB]]))</f>
        <v>ev_pdpRunStt_7</v>
      </c>
      <c r="N72" s="1" t="s">
        <v>262</v>
      </c>
      <c r="O72" s="1" t="s">
        <v>378</v>
      </c>
      <c r="P72" s="6" t="s">
        <v>248</v>
      </c>
      <c r="Q72" s="4">
        <v>23</v>
      </c>
      <c r="R72" s="6" t="s">
        <v>363</v>
      </c>
      <c r="S72" s="1" t="s">
        <v>315</v>
      </c>
      <c r="T72" s="16">
        <v>7</v>
      </c>
      <c r="U72" s="6" t="s">
        <v>363</v>
      </c>
      <c r="X72" s="11">
        <f>IF(Table132[[#This Row],[template]]="","",VLOOKUP(Table132[[#This Row],[IP_NAME]],Table511175[],2,FALSE))</f>
        <v>1</v>
      </c>
      <c r="Y72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>06070</v>
      </c>
      <c r="Z72" s="14">
        <f>IF(Table132[[#This Row],[template]]="","",HEX2DEC(Table132[[#This Row],[Addr_Hex]]))</f>
        <v>35</v>
      </c>
    </row>
    <row r="73" spans="2:26" x14ac:dyDescent="0.3">
      <c r="B73" s="4">
        <v>508</v>
      </c>
      <c r="C73" s="4" t="s">
        <v>230</v>
      </c>
      <c r="D73" s="9" t="str">
        <f>UPPER(Table132[[#This Row],[SIGNAL]])</f>
        <v>EV_PDPRUNSTT_8</v>
      </c>
      <c r="E73" s="9" t="str">
        <f>IF(Table132[[#This Row],[template]]="","","0x"&amp;Table132[[#This Row],[IP_Index]]&amp;DEC2HEX(Table132[[#This Row],[Addr_Dec]]*4,7))</f>
        <v>0x1000008C</v>
      </c>
      <c r="F73" s="9" t="str">
        <f>IF(Table132[[#This Row],[template]]="","",VLOOKUP(Table132[[#This Row],[template]],Table29153[],2,FALSE))</f>
        <v>asynParamInt32</v>
      </c>
      <c r="G73" s="18" t="str">
        <f>IF(Table132[[#This Row],[template]]="","","1")</f>
        <v>1</v>
      </c>
      <c r="H73" s="10" t="s">
        <v>453</v>
      </c>
      <c r="I73" s="13" t="str">
        <f>IF(Table132[[#This Row],[template]]="","","0x"&amp;Table132[[#This Row],[D_Index]]&amp;"000")</f>
        <v>0x06080000</v>
      </c>
      <c r="J73" s="18" t="s">
        <v>341</v>
      </c>
      <c r="K73" s="10">
        <v>0</v>
      </c>
      <c r="L73" s="11"/>
      <c r="M73" s="9" t="str">
        <f>IF(Table132[[#This Row],[template]]="","",Table132[[#This Row],[IP_NAME]]&amp;"_"&amp;Table132[[#This Row],[PARAM_NAME]]&amp;IF(Table132[[#This Row],[PARAM_SUB]]="","","_"&amp;Table132[[#This Row],[PARAM_SUB]]))</f>
        <v>ev_pdpRunStt_8</v>
      </c>
      <c r="N73" s="1" t="s">
        <v>262</v>
      </c>
      <c r="O73" s="1" t="s">
        <v>378</v>
      </c>
      <c r="P73" s="6" t="s">
        <v>249</v>
      </c>
      <c r="Q73" s="4">
        <v>23</v>
      </c>
      <c r="R73" s="6" t="s">
        <v>363</v>
      </c>
      <c r="S73" s="1" t="s">
        <v>315</v>
      </c>
      <c r="T73" s="16">
        <v>8</v>
      </c>
      <c r="U73" s="6" t="s">
        <v>363</v>
      </c>
      <c r="X73" s="11">
        <f>IF(Table132[[#This Row],[template]]="","",VLOOKUP(Table132[[#This Row],[IP_NAME]],Table511175[],2,FALSE))</f>
        <v>1</v>
      </c>
      <c r="Y73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>06080</v>
      </c>
      <c r="Z73" s="14">
        <f>IF(Table132[[#This Row],[template]]="","",HEX2DEC(Table132[[#This Row],[Addr_Hex]]))</f>
        <v>35</v>
      </c>
    </row>
    <row r="74" spans="2:26" x14ac:dyDescent="0.3">
      <c r="B74" s="4">
        <v>509</v>
      </c>
      <c r="C74" s="4" t="s">
        <v>230</v>
      </c>
      <c r="D74" s="9" t="str">
        <f>UPPER(Table132[[#This Row],[SIGNAL]])</f>
        <v>EV_PDPRUNSTT_9</v>
      </c>
      <c r="E74" s="9" t="str">
        <f>IF(Table132[[#This Row],[template]]="","","0x"&amp;Table132[[#This Row],[IP_Index]]&amp;DEC2HEX(Table132[[#This Row],[Addr_Dec]]*4,7))</f>
        <v>0x1000008C</v>
      </c>
      <c r="F74" s="9" t="str">
        <f>IF(Table132[[#This Row],[template]]="","",VLOOKUP(Table132[[#This Row],[template]],Table29153[],2,FALSE))</f>
        <v>asynParamInt32</v>
      </c>
      <c r="G74" s="18" t="str">
        <f>IF(Table132[[#This Row],[template]]="","","1")</f>
        <v>1</v>
      </c>
      <c r="H74" s="10" t="s">
        <v>453</v>
      </c>
      <c r="I74" s="13" t="str">
        <f>IF(Table132[[#This Row],[template]]="","","0x"&amp;Table132[[#This Row],[D_Index]]&amp;"000")</f>
        <v>0x06090000</v>
      </c>
      <c r="J74" s="18" t="s">
        <v>341</v>
      </c>
      <c r="K74" s="10">
        <v>0</v>
      </c>
      <c r="L74" s="11"/>
      <c r="M74" s="9" t="str">
        <f>IF(Table132[[#This Row],[template]]="","",Table132[[#This Row],[IP_NAME]]&amp;"_"&amp;Table132[[#This Row],[PARAM_NAME]]&amp;IF(Table132[[#This Row],[PARAM_SUB]]="","","_"&amp;Table132[[#This Row],[PARAM_SUB]]))</f>
        <v>ev_pdpRunStt_9</v>
      </c>
      <c r="N74" s="1" t="s">
        <v>262</v>
      </c>
      <c r="O74" s="1" t="s">
        <v>378</v>
      </c>
      <c r="P74" s="6" t="s">
        <v>250</v>
      </c>
      <c r="Q74" s="4">
        <v>23</v>
      </c>
      <c r="R74" s="6" t="s">
        <v>363</v>
      </c>
      <c r="S74" s="1" t="s">
        <v>315</v>
      </c>
      <c r="T74" s="16">
        <v>9</v>
      </c>
      <c r="U74" s="6" t="s">
        <v>363</v>
      </c>
      <c r="X74" s="11">
        <f>IF(Table132[[#This Row],[template]]="","",VLOOKUP(Table132[[#This Row],[IP_NAME]],Table511175[],2,FALSE))</f>
        <v>1</v>
      </c>
      <c r="Y74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>06090</v>
      </c>
      <c r="Z74" s="14">
        <f>IF(Table132[[#This Row],[template]]="","",HEX2DEC(Table132[[#This Row],[Addr_Hex]]))</f>
        <v>35</v>
      </c>
    </row>
    <row r="75" spans="2:26" x14ac:dyDescent="0.3">
      <c r="B75" s="4">
        <v>510</v>
      </c>
      <c r="C75" s="4" t="s">
        <v>230</v>
      </c>
      <c r="D75" s="9" t="str">
        <f>UPPER(Table132[[#This Row],[SIGNAL]])</f>
        <v>EV_PDPRUNSTT_10</v>
      </c>
      <c r="E75" s="9" t="str">
        <f>IF(Table132[[#This Row],[template]]="","","0x"&amp;Table132[[#This Row],[IP_Index]]&amp;DEC2HEX(Table132[[#This Row],[Addr_Dec]]*4,7))</f>
        <v>0x1000008C</v>
      </c>
      <c r="F75" s="9" t="str">
        <f>IF(Table132[[#This Row],[template]]="","",VLOOKUP(Table132[[#This Row],[template]],Table29153[],2,FALSE))</f>
        <v>asynParamInt32</v>
      </c>
      <c r="G75" s="18" t="str">
        <f>IF(Table132[[#This Row],[template]]="","","1")</f>
        <v>1</v>
      </c>
      <c r="H75" s="10" t="s">
        <v>453</v>
      </c>
      <c r="I75" s="13" t="str">
        <f>IF(Table132[[#This Row],[template]]="","","0x"&amp;Table132[[#This Row],[D_Index]]&amp;"000")</f>
        <v>0x060A0000</v>
      </c>
      <c r="J75" s="18" t="s">
        <v>341</v>
      </c>
      <c r="K75" s="10">
        <v>0</v>
      </c>
      <c r="L75" s="11"/>
      <c r="M75" s="9" t="str">
        <f>IF(Table132[[#This Row],[template]]="","",Table132[[#This Row],[IP_NAME]]&amp;"_"&amp;Table132[[#This Row],[PARAM_NAME]]&amp;IF(Table132[[#This Row],[PARAM_SUB]]="","","_"&amp;Table132[[#This Row],[PARAM_SUB]]))</f>
        <v>ev_pdpRunStt_10</v>
      </c>
      <c r="N75" s="1" t="s">
        <v>262</v>
      </c>
      <c r="O75" s="1" t="s">
        <v>378</v>
      </c>
      <c r="P75" s="6" t="s">
        <v>273</v>
      </c>
      <c r="Q75" s="4">
        <v>23</v>
      </c>
      <c r="R75" s="6" t="s">
        <v>363</v>
      </c>
      <c r="S75" s="1" t="s">
        <v>315</v>
      </c>
      <c r="T75" s="16">
        <v>10</v>
      </c>
      <c r="U75" s="6" t="s">
        <v>363</v>
      </c>
      <c r="X75" s="11">
        <f>IF(Table132[[#This Row],[template]]="","",VLOOKUP(Table132[[#This Row],[IP_NAME]],Table511175[],2,FALSE))</f>
        <v>1</v>
      </c>
      <c r="Y75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>060A0</v>
      </c>
      <c r="Z75" s="14">
        <f>IF(Table132[[#This Row],[template]]="","",HEX2DEC(Table132[[#This Row],[Addr_Hex]]))</f>
        <v>35</v>
      </c>
    </row>
    <row r="76" spans="2:26" x14ac:dyDescent="0.3">
      <c r="B76" s="4">
        <v>511</v>
      </c>
      <c r="C76" s="4" t="s">
        <v>230</v>
      </c>
      <c r="D76" s="9" t="str">
        <f>UPPER(Table132[[#This Row],[SIGNAL]])</f>
        <v>EV_PDPRUNSTT_11</v>
      </c>
      <c r="E76" s="9" t="str">
        <f>IF(Table132[[#This Row],[template]]="","","0x"&amp;Table132[[#This Row],[IP_Index]]&amp;DEC2HEX(Table132[[#This Row],[Addr_Dec]]*4,7))</f>
        <v>0x1000008C</v>
      </c>
      <c r="F76" s="9" t="str">
        <f>IF(Table132[[#This Row],[template]]="","",VLOOKUP(Table132[[#This Row],[template]],Table29153[],2,FALSE))</f>
        <v>asynParamInt32</v>
      </c>
      <c r="G76" s="18" t="str">
        <f>IF(Table132[[#This Row],[template]]="","","1")</f>
        <v>1</v>
      </c>
      <c r="H76" s="10" t="s">
        <v>453</v>
      </c>
      <c r="I76" s="13" t="str">
        <f>IF(Table132[[#This Row],[template]]="","","0x"&amp;Table132[[#This Row],[D_Index]]&amp;"000")</f>
        <v>0x060B0000</v>
      </c>
      <c r="J76" s="18" t="s">
        <v>341</v>
      </c>
      <c r="K76" s="10">
        <v>0</v>
      </c>
      <c r="L76" s="11"/>
      <c r="M76" s="9" t="str">
        <f>IF(Table132[[#This Row],[template]]="","",Table132[[#This Row],[IP_NAME]]&amp;"_"&amp;Table132[[#This Row],[PARAM_NAME]]&amp;IF(Table132[[#This Row],[PARAM_SUB]]="","","_"&amp;Table132[[#This Row],[PARAM_SUB]]))</f>
        <v>ev_pdpRunStt_11</v>
      </c>
      <c r="N76" s="1" t="s">
        <v>262</v>
      </c>
      <c r="O76" s="1" t="s">
        <v>378</v>
      </c>
      <c r="P76" s="6" t="s">
        <v>274</v>
      </c>
      <c r="Q76" s="4">
        <v>23</v>
      </c>
      <c r="R76" s="6" t="s">
        <v>363</v>
      </c>
      <c r="S76" s="1" t="s">
        <v>315</v>
      </c>
      <c r="T76" s="16">
        <v>11</v>
      </c>
      <c r="U76" s="6" t="s">
        <v>363</v>
      </c>
      <c r="X76" s="11">
        <f>IF(Table132[[#This Row],[template]]="","",VLOOKUP(Table132[[#This Row],[IP_NAME]],Table511175[],2,FALSE))</f>
        <v>1</v>
      </c>
      <c r="Y76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>060B0</v>
      </c>
      <c r="Z76" s="14">
        <f>IF(Table132[[#This Row],[template]]="","",HEX2DEC(Table132[[#This Row],[Addr_Hex]]))</f>
        <v>35</v>
      </c>
    </row>
    <row r="77" spans="2:26" x14ac:dyDescent="0.3">
      <c r="B77" s="4">
        <v>512</v>
      </c>
      <c r="C77" s="4" t="s">
        <v>230</v>
      </c>
      <c r="D77" s="9" t="str">
        <f>UPPER(Table132[[#This Row],[SIGNAL]])</f>
        <v>EV_PDPRUNSTT_12</v>
      </c>
      <c r="E77" s="9" t="str">
        <f>IF(Table132[[#This Row],[template]]="","","0x"&amp;Table132[[#This Row],[IP_Index]]&amp;DEC2HEX(Table132[[#This Row],[Addr_Dec]]*4,7))</f>
        <v>0x1000008C</v>
      </c>
      <c r="F77" s="9" t="str">
        <f>IF(Table132[[#This Row],[template]]="","",VLOOKUP(Table132[[#This Row],[template]],Table29153[],2,FALSE))</f>
        <v>asynParamInt32</v>
      </c>
      <c r="G77" s="18" t="str">
        <f>IF(Table132[[#This Row],[template]]="","","1")</f>
        <v>1</v>
      </c>
      <c r="H77" s="10" t="s">
        <v>453</v>
      </c>
      <c r="I77" s="13" t="str">
        <f>IF(Table132[[#This Row],[template]]="","","0x"&amp;Table132[[#This Row],[D_Index]]&amp;"000")</f>
        <v>0x060C0000</v>
      </c>
      <c r="J77" s="18" t="s">
        <v>341</v>
      </c>
      <c r="K77" s="10">
        <v>0</v>
      </c>
      <c r="L77" s="11"/>
      <c r="M77" s="9" t="str">
        <f>IF(Table132[[#This Row],[template]]="","",Table132[[#This Row],[IP_NAME]]&amp;"_"&amp;Table132[[#This Row],[PARAM_NAME]]&amp;IF(Table132[[#This Row],[PARAM_SUB]]="","","_"&amp;Table132[[#This Row],[PARAM_SUB]]))</f>
        <v>ev_pdpRunStt_12</v>
      </c>
      <c r="N77" s="1" t="s">
        <v>262</v>
      </c>
      <c r="O77" s="1" t="s">
        <v>378</v>
      </c>
      <c r="P77" s="6" t="s">
        <v>275</v>
      </c>
      <c r="Q77" s="4">
        <v>23</v>
      </c>
      <c r="R77" s="6" t="s">
        <v>363</v>
      </c>
      <c r="S77" s="1" t="s">
        <v>315</v>
      </c>
      <c r="T77" s="16">
        <v>12</v>
      </c>
      <c r="U77" s="6" t="s">
        <v>363</v>
      </c>
      <c r="X77" s="11">
        <f>IF(Table132[[#This Row],[template]]="","",VLOOKUP(Table132[[#This Row],[IP_NAME]],Table511175[],2,FALSE))</f>
        <v>1</v>
      </c>
      <c r="Y77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>060C0</v>
      </c>
      <c r="Z77" s="14">
        <f>IF(Table132[[#This Row],[template]]="","",HEX2DEC(Table132[[#This Row],[Addr_Hex]]))</f>
        <v>35</v>
      </c>
    </row>
    <row r="78" spans="2:26" x14ac:dyDescent="0.3">
      <c r="B78" s="4">
        <v>513</v>
      </c>
      <c r="C78" s="4" t="s">
        <v>230</v>
      </c>
      <c r="D78" s="9" t="str">
        <f>UPPER(Table132[[#This Row],[SIGNAL]])</f>
        <v>EV_PDPRUNSTT_13</v>
      </c>
      <c r="E78" s="9" t="str">
        <f>IF(Table132[[#This Row],[template]]="","","0x"&amp;Table132[[#This Row],[IP_Index]]&amp;DEC2HEX(Table132[[#This Row],[Addr_Dec]]*4,7))</f>
        <v>0x1000008C</v>
      </c>
      <c r="F78" s="9" t="str">
        <f>IF(Table132[[#This Row],[template]]="","",VLOOKUP(Table132[[#This Row],[template]],Table29153[],2,FALSE))</f>
        <v>asynParamInt32</v>
      </c>
      <c r="G78" s="18" t="str">
        <f>IF(Table132[[#This Row],[template]]="","","1")</f>
        <v>1</v>
      </c>
      <c r="H78" s="10" t="s">
        <v>453</v>
      </c>
      <c r="I78" s="13" t="str">
        <f>IF(Table132[[#This Row],[template]]="","","0x"&amp;Table132[[#This Row],[D_Index]]&amp;"000")</f>
        <v>0x060D0000</v>
      </c>
      <c r="J78" s="18" t="s">
        <v>341</v>
      </c>
      <c r="K78" s="10">
        <v>0</v>
      </c>
      <c r="L78" s="11"/>
      <c r="M78" s="9" t="str">
        <f>IF(Table132[[#This Row],[template]]="","",Table132[[#This Row],[IP_NAME]]&amp;"_"&amp;Table132[[#This Row],[PARAM_NAME]]&amp;IF(Table132[[#This Row],[PARAM_SUB]]="","","_"&amp;Table132[[#This Row],[PARAM_SUB]]))</f>
        <v>ev_pdpRunStt_13</v>
      </c>
      <c r="N78" s="1" t="s">
        <v>262</v>
      </c>
      <c r="O78" s="1" t="s">
        <v>378</v>
      </c>
      <c r="P78" s="6" t="s">
        <v>276</v>
      </c>
      <c r="Q78" s="4">
        <v>23</v>
      </c>
      <c r="R78" s="6" t="s">
        <v>363</v>
      </c>
      <c r="S78" s="1" t="s">
        <v>315</v>
      </c>
      <c r="T78" s="16">
        <v>13</v>
      </c>
      <c r="U78" s="6" t="s">
        <v>363</v>
      </c>
      <c r="X78" s="11">
        <f>IF(Table132[[#This Row],[template]]="","",VLOOKUP(Table132[[#This Row],[IP_NAME]],Table511175[],2,FALSE))</f>
        <v>1</v>
      </c>
      <c r="Y78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>060D0</v>
      </c>
      <c r="Z78" s="14">
        <f>IF(Table132[[#This Row],[template]]="","",HEX2DEC(Table132[[#This Row],[Addr_Hex]]))</f>
        <v>35</v>
      </c>
    </row>
    <row r="79" spans="2:26" x14ac:dyDescent="0.3">
      <c r="B79" s="4">
        <v>514</v>
      </c>
      <c r="C79" s="4" t="s">
        <v>230</v>
      </c>
      <c r="D79" s="9" t="str">
        <f>UPPER(Table132[[#This Row],[SIGNAL]])</f>
        <v>EV_PDPRUNSTT_14</v>
      </c>
      <c r="E79" s="9" t="str">
        <f>IF(Table132[[#This Row],[template]]="","","0x"&amp;Table132[[#This Row],[IP_Index]]&amp;DEC2HEX(Table132[[#This Row],[Addr_Dec]]*4,7))</f>
        <v>0x1000008C</v>
      </c>
      <c r="F79" s="9" t="str">
        <f>IF(Table132[[#This Row],[template]]="","",VLOOKUP(Table132[[#This Row],[template]],Table29153[],2,FALSE))</f>
        <v>asynParamInt32</v>
      </c>
      <c r="G79" s="18" t="str">
        <f>IF(Table132[[#This Row],[template]]="","","1")</f>
        <v>1</v>
      </c>
      <c r="H79" s="10" t="s">
        <v>453</v>
      </c>
      <c r="I79" s="13" t="str">
        <f>IF(Table132[[#This Row],[template]]="","","0x"&amp;Table132[[#This Row],[D_Index]]&amp;"000")</f>
        <v>0x060E0000</v>
      </c>
      <c r="J79" s="18" t="s">
        <v>341</v>
      </c>
      <c r="K79" s="10">
        <v>0</v>
      </c>
      <c r="L79" s="11"/>
      <c r="M79" s="9" t="str">
        <f>IF(Table132[[#This Row],[template]]="","",Table132[[#This Row],[IP_NAME]]&amp;"_"&amp;Table132[[#This Row],[PARAM_NAME]]&amp;IF(Table132[[#This Row],[PARAM_SUB]]="","","_"&amp;Table132[[#This Row],[PARAM_SUB]]))</f>
        <v>ev_pdpRunStt_14</v>
      </c>
      <c r="N79" s="1" t="s">
        <v>262</v>
      </c>
      <c r="O79" s="1" t="s">
        <v>378</v>
      </c>
      <c r="P79" s="6" t="s">
        <v>277</v>
      </c>
      <c r="Q79" s="4">
        <v>23</v>
      </c>
      <c r="R79" s="6" t="s">
        <v>363</v>
      </c>
      <c r="S79" s="1" t="s">
        <v>315</v>
      </c>
      <c r="T79" s="16">
        <v>14</v>
      </c>
      <c r="U79" s="6" t="s">
        <v>363</v>
      </c>
      <c r="X79" s="11">
        <f>IF(Table132[[#This Row],[template]]="","",VLOOKUP(Table132[[#This Row],[IP_NAME]],Table511175[],2,FALSE))</f>
        <v>1</v>
      </c>
      <c r="Y79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>060E0</v>
      </c>
      <c r="Z79" s="14">
        <f>IF(Table132[[#This Row],[template]]="","",HEX2DEC(Table132[[#This Row],[Addr_Hex]]))</f>
        <v>35</v>
      </c>
    </row>
    <row r="80" spans="2:26" x14ac:dyDescent="0.3">
      <c r="B80" s="4">
        <v>515</v>
      </c>
      <c r="C80" s="4" t="s">
        <v>230</v>
      </c>
      <c r="D80" s="9" t="str">
        <f>UPPER(Table132[[#This Row],[SIGNAL]])</f>
        <v>EV_PDPRUNSTT_15</v>
      </c>
      <c r="E80" s="9" t="str">
        <f>IF(Table132[[#This Row],[template]]="","","0x"&amp;Table132[[#This Row],[IP_Index]]&amp;DEC2HEX(Table132[[#This Row],[Addr_Dec]]*4,7))</f>
        <v>0x1000008C</v>
      </c>
      <c r="F80" s="9" t="str">
        <f>IF(Table132[[#This Row],[template]]="","",VLOOKUP(Table132[[#This Row],[template]],Table29153[],2,FALSE))</f>
        <v>asynParamInt32</v>
      </c>
      <c r="G80" s="18" t="str">
        <f>IF(Table132[[#This Row],[template]]="","","1")</f>
        <v>1</v>
      </c>
      <c r="H80" s="10" t="s">
        <v>453</v>
      </c>
      <c r="I80" s="13" t="str">
        <f>IF(Table132[[#This Row],[template]]="","","0x"&amp;Table132[[#This Row],[D_Index]]&amp;"000")</f>
        <v>0x060F0000</v>
      </c>
      <c r="J80" s="18" t="s">
        <v>341</v>
      </c>
      <c r="K80" s="10">
        <v>0</v>
      </c>
      <c r="L80" s="11"/>
      <c r="M80" s="9" t="str">
        <f>IF(Table132[[#This Row],[template]]="","",Table132[[#This Row],[IP_NAME]]&amp;"_"&amp;Table132[[#This Row],[PARAM_NAME]]&amp;IF(Table132[[#This Row],[PARAM_SUB]]="","","_"&amp;Table132[[#This Row],[PARAM_SUB]]))</f>
        <v>ev_pdpRunStt_15</v>
      </c>
      <c r="N80" s="1" t="s">
        <v>262</v>
      </c>
      <c r="O80" s="1" t="s">
        <v>378</v>
      </c>
      <c r="P80" s="6" t="s">
        <v>278</v>
      </c>
      <c r="Q80" s="4">
        <v>23</v>
      </c>
      <c r="R80" s="6" t="s">
        <v>363</v>
      </c>
      <c r="S80" s="1" t="s">
        <v>315</v>
      </c>
      <c r="T80" s="16">
        <v>15</v>
      </c>
      <c r="U80" s="6" t="s">
        <v>363</v>
      </c>
      <c r="X80" s="11">
        <f>IF(Table132[[#This Row],[template]]="","",VLOOKUP(Table132[[#This Row],[IP_NAME]],Table511175[],2,FALSE))</f>
        <v>1</v>
      </c>
      <c r="Y80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>060F0</v>
      </c>
      <c r="Z80" s="14">
        <f>IF(Table132[[#This Row],[template]]="","",HEX2DEC(Table132[[#This Row],[Addr_Hex]]))</f>
        <v>35</v>
      </c>
    </row>
    <row r="81" spans="2:26" x14ac:dyDescent="0.3">
      <c r="B81" s="4">
        <v>516</v>
      </c>
      <c r="C81" s="4" t="s">
        <v>230</v>
      </c>
      <c r="D81" s="9" t="str">
        <f>UPPER(Table132[[#This Row],[SIGNAL]])</f>
        <v>EV_PDPRUNSTT_16</v>
      </c>
      <c r="E81" s="9" t="str">
        <f>IF(Table132[[#This Row],[template]]="","","0x"&amp;Table132[[#This Row],[IP_Index]]&amp;DEC2HEX(Table132[[#This Row],[Addr_Dec]]*4,7))</f>
        <v>0x1000008C</v>
      </c>
      <c r="F81" s="9" t="str">
        <f>IF(Table132[[#This Row],[template]]="","",VLOOKUP(Table132[[#This Row],[template]],Table29153[],2,FALSE))</f>
        <v>asynParamInt32</v>
      </c>
      <c r="G81" s="18" t="str">
        <f>IF(Table132[[#This Row],[template]]="","","1")</f>
        <v>1</v>
      </c>
      <c r="H81" s="10" t="s">
        <v>453</v>
      </c>
      <c r="I81" s="13" t="str">
        <f>IF(Table132[[#This Row],[template]]="","","0x"&amp;Table132[[#This Row],[D_Index]]&amp;"000")</f>
        <v>0x06100000</v>
      </c>
      <c r="J81" s="18" t="s">
        <v>341</v>
      </c>
      <c r="K81" s="10">
        <v>0</v>
      </c>
      <c r="L81" s="11"/>
      <c r="M81" s="9" t="str">
        <f>IF(Table132[[#This Row],[template]]="","",Table132[[#This Row],[IP_NAME]]&amp;"_"&amp;Table132[[#This Row],[PARAM_NAME]]&amp;IF(Table132[[#This Row],[PARAM_SUB]]="","","_"&amp;Table132[[#This Row],[PARAM_SUB]]))</f>
        <v>ev_pdpRunStt_16</v>
      </c>
      <c r="N81" s="1" t="s">
        <v>262</v>
      </c>
      <c r="O81" s="1" t="s">
        <v>378</v>
      </c>
      <c r="P81" s="6" t="s">
        <v>279</v>
      </c>
      <c r="Q81" s="4">
        <v>23</v>
      </c>
      <c r="R81" s="6" t="s">
        <v>363</v>
      </c>
      <c r="S81" s="1" t="s">
        <v>315</v>
      </c>
      <c r="T81" s="16">
        <v>16</v>
      </c>
      <c r="U81" s="6" t="s">
        <v>363</v>
      </c>
      <c r="X81" s="11">
        <f>IF(Table132[[#This Row],[template]]="","",VLOOKUP(Table132[[#This Row],[IP_NAME]],Table511175[],2,FALSE))</f>
        <v>1</v>
      </c>
      <c r="Y81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>06100</v>
      </c>
      <c r="Z81" s="14">
        <f>IF(Table132[[#This Row],[template]]="","",HEX2DEC(Table132[[#This Row],[Addr_Hex]]))</f>
        <v>35</v>
      </c>
    </row>
    <row r="82" spans="2:26" x14ac:dyDescent="0.3">
      <c r="B82" s="4">
        <v>517</v>
      </c>
      <c r="C82" s="4" t="s">
        <v>230</v>
      </c>
      <c r="D82" s="9" t="str">
        <f>UPPER(Table132[[#This Row],[SIGNAL]])</f>
        <v>EV_PDPRUNSTT_17</v>
      </c>
      <c r="E82" s="9" t="str">
        <f>IF(Table132[[#This Row],[template]]="","","0x"&amp;Table132[[#This Row],[IP_Index]]&amp;DEC2HEX(Table132[[#This Row],[Addr_Dec]]*4,7))</f>
        <v>0x1000008C</v>
      </c>
      <c r="F82" s="9" t="str">
        <f>IF(Table132[[#This Row],[template]]="","",VLOOKUP(Table132[[#This Row],[template]],Table29153[],2,FALSE))</f>
        <v>asynParamInt32</v>
      </c>
      <c r="G82" s="18" t="str">
        <f>IF(Table132[[#This Row],[template]]="","","1")</f>
        <v>1</v>
      </c>
      <c r="H82" s="10" t="s">
        <v>453</v>
      </c>
      <c r="I82" s="13" t="str">
        <f>IF(Table132[[#This Row],[template]]="","","0x"&amp;Table132[[#This Row],[D_Index]]&amp;"000")</f>
        <v>0x06110000</v>
      </c>
      <c r="J82" s="18" t="s">
        <v>341</v>
      </c>
      <c r="K82" s="10">
        <v>0</v>
      </c>
      <c r="L82" s="11"/>
      <c r="M82" s="9" t="str">
        <f>IF(Table132[[#This Row],[template]]="","",Table132[[#This Row],[IP_NAME]]&amp;"_"&amp;Table132[[#This Row],[PARAM_NAME]]&amp;IF(Table132[[#This Row],[PARAM_SUB]]="","","_"&amp;Table132[[#This Row],[PARAM_SUB]]))</f>
        <v>ev_pdpRunStt_17</v>
      </c>
      <c r="N82" s="1" t="s">
        <v>262</v>
      </c>
      <c r="O82" s="1" t="s">
        <v>378</v>
      </c>
      <c r="P82" s="6" t="s">
        <v>280</v>
      </c>
      <c r="Q82" s="4">
        <v>23</v>
      </c>
      <c r="R82" s="6" t="s">
        <v>363</v>
      </c>
      <c r="S82" s="1" t="s">
        <v>315</v>
      </c>
      <c r="T82" s="16">
        <v>17</v>
      </c>
      <c r="U82" s="6" t="s">
        <v>363</v>
      </c>
      <c r="X82" s="11">
        <f>IF(Table132[[#This Row],[template]]="","",VLOOKUP(Table132[[#This Row],[IP_NAME]],Table511175[],2,FALSE))</f>
        <v>1</v>
      </c>
      <c r="Y82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>06110</v>
      </c>
      <c r="Z82" s="14">
        <f>IF(Table132[[#This Row],[template]]="","",HEX2DEC(Table132[[#This Row],[Addr_Hex]]))</f>
        <v>35</v>
      </c>
    </row>
    <row r="83" spans="2:26" x14ac:dyDescent="0.3">
      <c r="B83" s="4">
        <v>518</v>
      </c>
      <c r="C83" s="4" t="s">
        <v>230</v>
      </c>
      <c r="D83" s="9" t="str">
        <f>UPPER(Table132[[#This Row],[SIGNAL]])</f>
        <v>EV_PDPRUNSTT_18</v>
      </c>
      <c r="E83" s="9" t="str">
        <f>IF(Table132[[#This Row],[template]]="","","0x"&amp;Table132[[#This Row],[IP_Index]]&amp;DEC2HEX(Table132[[#This Row],[Addr_Dec]]*4,7))</f>
        <v>0x1000008C</v>
      </c>
      <c r="F83" s="9" t="str">
        <f>IF(Table132[[#This Row],[template]]="","",VLOOKUP(Table132[[#This Row],[template]],Table29153[],2,FALSE))</f>
        <v>asynParamInt32</v>
      </c>
      <c r="G83" s="18" t="str">
        <f>IF(Table132[[#This Row],[template]]="","","1")</f>
        <v>1</v>
      </c>
      <c r="H83" s="10" t="s">
        <v>453</v>
      </c>
      <c r="I83" s="13" t="str">
        <f>IF(Table132[[#This Row],[template]]="","","0x"&amp;Table132[[#This Row],[D_Index]]&amp;"000")</f>
        <v>0x06120000</v>
      </c>
      <c r="J83" s="18" t="s">
        <v>341</v>
      </c>
      <c r="K83" s="10">
        <v>0</v>
      </c>
      <c r="L83" s="11"/>
      <c r="M83" s="9" t="str">
        <f>IF(Table132[[#This Row],[template]]="","",Table132[[#This Row],[IP_NAME]]&amp;"_"&amp;Table132[[#This Row],[PARAM_NAME]]&amp;IF(Table132[[#This Row],[PARAM_SUB]]="","","_"&amp;Table132[[#This Row],[PARAM_SUB]]))</f>
        <v>ev_pdpRunStt_18</v>
      </c>
      <c r="N83" s="1" t="s">
        <v>262</v>
      </c>
      <c r="O83" s="1" t="s">
        <v>378</v>
      </c>
      <c r="P83" s="6" t="s">
        <v>281</v>
      </c>
      <c r="Q83" s="4">
        <v>23</v>
      </c>
      <c r="R83" s="6" t="s">
        <v>363</v>
      </c>
      <c r="S83" s="1" t="s">
        <v>315</v>
      </c>
      <c r="T83" s="16">
        <v>18</v>
      </c>
      <c r="U83" s="6" t="s">
        <v>363</v>
      </c>
      <c r="X83" s="11">
        <f>IF(Table132[[#This Row],[template]]="","",VLOOKUP(Table132[[#This Row],[IP_NAME]],Table511175[],2,FALSE))</f>
        <v>1</v>
      </c>
      <c r="Y83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>06120</v>
      </c>
      <c r="Z83" s="14">
        <f>IF(Table132[[#This Row],[template]]="","",HEX2DEC(Table132[[#This Row],[Addr_Hex]]))</f>
        <v>35</v>
      </c>
    </row>
    <row r="84" spans="2:26" x14ac:dyDescent="0.3">
      <c r="B84" s="4">
        <v>519</v>
      </c>
      <c r="C84" s="4" t="s">
        <v>230</v>
      </c>
      <c r="D84" s="9" t="str">
        <f>UPPER(Table132[[#This Row],[SIGNAL]])</f>
        <v>EV_PDPRUNSTT_19</v>
      </c>
      <c r="E84" s="9" t="str">
        <f>IF(Table132[[#This Row],[template]]="","","0x"&amp;Table132[[#This Row],[IP_Index]]&amp;DEC2HEX(Table132[[#This Row],[Addr_Dec]]*4,7))</f>
        <v>0x1000008C</v>
      </c>
      <c r="F84" s="9" t="str">
        <f>IF(Table132[[#This Row],[template]]="","",VLOOKUP(Table132[[#This Row],[template]],Table29153[],2,FALSE))</f>
        <v>asynParamInt32</v>
      </c>
      <c r="G84" s="18" t="str">
        <f>IF(Table132[[#This Row],[template]]="","","1")</f>
        <v>1</v>
      </c>
      <c r="H84" s="10" t="s">
        <v>453</v>
      </c>
      <c r="I84" s="13" t="str">
        <f>IF(Table132[[#This Row],[template]]="","","0x"&amp;Table132[[#This Row],[D_Index]]&amp;"000")</f>
        <v>0x06130000</v>
      </c>
      <c r="J84" s="18" t="s">
        <v>341</v>
      </c>
      <c r="K84" s="10">
        <v>0</v>
      </c>
      <c r="L84" s="11"/>
      <c r="M84" s="9" t="str">
        <f>IF(Table132[[#This Row],[template]]="","",Table132[[#This Row],[IP_NAME]]&amp;"_"&amp;Table132[[#This Row],[PARAM_NAME]]&amp;IF(Table132[[#This Row],[PARAM_SUB]]="","","_"&amp;Table132[[#This Row],[PARAM_SUB]]))</f>
        <v>ev_pdpRunStt_19</v>
      </c>
      <c r="N84" s="1" t="s">
        <v>262</v>
      </c>
      <c r="O84" s="1" t="s">
        <v>378</v>
      </c>
      <c r="P84" s="6" t="s">
        <v>282</v>
      </c>
      <c r="Q84" s="4">
        <v>23</v>
      </c>
      <c r="R84" s="6" t="s">
        <v>363</v>
      </c>
      <c r="S84" s="1" t="s">
        <v>315</v>
      </c>
      <c r="T84" s="16">
        <v>19</v>
      </c>
      <c r="U84" s="6" t="s">
        <v>363</v>
      </c>
      <c r="X84" s="11">
        <f>IF(Table132[[#This Row],[template]]="","",VLOOKUP(Table132[[#This Row],[IP_NAME]],Table511175[],2,FALSE))</f>
        <v>1</v>
      </c>
      <c r="Y84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>06130</v>
      </c>
      <c r="Z84" s="14">
        <f>IF(Table132[[#This Row],[template]]="","",HEX2DEC(Table132[[#This Row],[Addr_Hex]]))</f>
        <v>35</v>
      </c>
    </row>
    <row r="85" spans="2:26" x14ac:dyDescent="0.3">
      <c r="B85" s="4">
        <v>520</v>
      </c>
      <c r="C85" s="4" t="s">
        <v>230</v>
      </c>
      <c r="D85" s="9" t="str">
        <f>UPPER(Table132[[#This Row],[SIGNAL]])</f>
        <v>EV_PDPRUNSTT_20</v>
      </c>
      <c r="E85" s="9" t="str">
        <f>IF(Table132[[#This Row],[template]]="","","0x"&amp;Table132[[#This Row],[IP_Index]]&amp;DEC2HEX(Table132[[#This Row],[Addr_Dec]]*4,7))</f>
        <v>0x1000008C</v>
      </c>
      <c r="F85" s="9" t="str">
        <f>IF(Table132[[#This Row],[template]]="","",VLOOKUP(Table132[[#This Row],[template]],Table29153[],2,FALSE))</f>
        <v>asynParamInt32</v>
      </c>
      <c r="G85" s="18" t="str">
        <f>IF(Table132[[#This Row],[template]]="","","1")</f>
        <v>1</v>
      </c>
      <c r="H85" s="10" t="s">
        <v>453</v>
      </c>
      <c r="I85" s="13" t="str">
        <f>IF(Table132[[#This Row],[template]]="","","0x"&amp;Table132[[#This Row],[D_Index]]&amp;"000")</f>
        <v>0x06140000</v>
      </c>
      <c r="J85" s="18" t="s">
        <v>341</v>
      </c>
      <c r="K85" s="10">
        <v>0</v>
      </c>
      <c r="L85" s="11"/>
      <c r="M85" s="9" t="str">
        <f>IF(Table132[[#This Row],[template]]="","",Table132[[#This Row],[IP_NAME]]&amp;"_"&amp;Table132[[#This Row],[PARAM_NAME]]&amp;IF(Table132[[#This Row],[PARAM_SUB]]="","","_"&amp;Table132[[#This Row],[PARAM_SUB]]))</f>
        <v>ev_pdpRunStt_20</v>
      </c>
      <c r="N85" s="1" t="s">
        <v>262</v>
      </c>
      <c r="O85" s="1" t="s">
        <v>378</v>
      </c>
      <c r="P85" s="6" t="s">
        <v>283</v>
      </c>
      <c r="Q85" s="4">
        <v>23</v>
      </c>
      <c r="R85" s="6" t="s">
        <v>363</v>
      </c>
      <c r="S85" s="1" t="s">
        <v>315</v>
      </c>
      <c r="T85" s="16">
        <v>20</v>
      </c>
      <c r="U85" s="6" t="s">
        <v>363</v>
      </c>
      <c r="X85" s="11">
        <f>IF(Table132[[#This Row],[template]]="","",VLOOKUP(Table132[[#This Row],[IP_NAME]],Table511175[],2,FALSE))</f>
        <v>1</v>
      </c>
      <c r="Y85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>06140</v>
      </c>
      <c r="Z85" s="14">
        <f>IF(Table132[[#This Row],[template]]="","",HEX2DEC(Table132[[#This Row],[Addr_Hex]]))</f>
        <v>35</v>
      </c>
    </row>
    <row r="86" spans="2:26" x14ac:dyDescent="0.3">
      <c r="B86" s="4">
        <v>521</v>
      </c>
      <c r="C86" s="4" t="s">
        <v>230</v>
      </c>
      <c r="D86" s="9" t="str">
        <f>UPPER(Table132[[#This Row],[SIGNAL]])</f>
        <v>EV_PDPRUNSTT_21</v>
      </c>
      <c r="E86" s="9" t="str">
        <f>IF(Table132[[#This Row],[template]]="","","0x"&amp;Table132[[#This Row],[IP_Index]]&amp;DEC2HEX(Table132[[#This Row],[Addr_Dec]]*4,7))</f>
        <v>0x1000008C</v>
      </c>
      <c r="F86" s="9" t="str">
        <f>IF(Table132[[#This Row],[template]]="","",VLOOKUP(Table132[[#This Row],[template]],Table29153[],2,FALSE))</f>
        <v>asynParamInt32</v>
      </c>
      <c r="G86" s="18" t="str">
        <f>IF(Table132[[#This Row],[template]]="","","1")</f>
        <v>1</v>
      </c>
      <c r="H86" s="10" t="s">
        <v>453</v>
      </c>
      <c r="I86" s="13" t="str">
        <f>IF(Table132[[#This Row],[template]]="","","0x"&amp;Table132[[#This Row],[D_Index]]&amp;"000")</f>
        <v>0x06150000</v>
      </c>
      <c r="J86" s="18" t="s">
        <v>341</v>
      </c>
      <c r="K86" s="10">
        <v>0</v>
      </c>
      <c r="L86" s="11"/>
      <c r="M86" s="9" t="str">
        <f>IF(Table132[[#This Row],[template]]="","",Table132[[#This Row],[IP_NAME]]&amp;"_"&amp;Table132[[#This Row],[PARAM_NAME]]&amp;IF(Table132[[#This Row],[PARAM_SUB]]="","","_"&amp;Table132[[#This Row],[PARAM_SUB]]))</f>
        <v>ev_pdpRunStt_21</v>
      </c>
      <c r="N86" s="1" t="s">
        <v>262</v>
      </c>
      <c r="O86" s="1" t="s">
        <v>378</v>
      </c>
      <c r="P86" s="6" t="s">
        <v>284</v>
      </c>
      <c r="Q86" s="4">
        <v>23</v>
      </c>
      <c r="R86" s="6" t="s">
        <v>363</v>
      </c>
      <c r="S86" s="1" t="s">
        <v>315</v>
      </c>
      <c r="T86" s="16">
        <v>21</v>
      </c>
      <c r="U86" s="6" t="s">
        <v>363</v>
      </c>
      <c r="X86" s="11">
        <f>IF(Table132[[#This Row],[template]]="","",VLOOKUP(Table132[[#This Row],[IP_NAME]],Table511175[],2,FALSE))</f>
        <v>1</v>
      </c>
      <c r="Y86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>06150</v>
      </c>
      <c r="Z86" s="14">
        <f>IF(Table132[[#This Row],[template]]="","",HEX2DEC(Table132[[#This Row],[Addr_Hex]]))</f>
        <v>35</v>
      </c>
    </row>
    <row r="87" spans="2:26" x14ac:dyDescent="0.3">
      <c r="B87" s="4">
        <v>522</v>
      </c>
      <c r="C87" s="4" t="s">
        <v>230</v>
      </c>
      <c r="D87" s="9" t="str">
        <f>UPPER(Table132[[#This Row],[SIGNAL]])</f>
        <v>EV_PDPRUNSTT_22</v>
      </c>
      <c r="E87" s="9" t="str">
        <f>IF(Table132[[#This Row],[template]]="","","0x"&amp;Table132[[#This Row],[IP_Index]]&amp;DEC2HEX(Table132[[#This Row],[Addr_Dec]]*4,7))</f>
        <v>0x1000008C</v>
      </c>
      <c r="F87" s="9" t="str">
        <f>IF(Table132[[#This Row],[template]]="","",VLOOKUP(Table132[[#This Row],[template]],Table29153[],2,FALSE))</f>
        <v>asynParamInt32</v>
      </c>
      <c r="G87" s="18" t="str">
        <f>IF(Table132[[#This Row],[template]]="","","1")</f>
        <v>1</v>
      </c>
      <c r="H87" s="10" t="s">
        <v>453</v>
      </c>
      <c r="I87" s="13" t="str">
        <f>IF(Table132[[#This Row],[template]]="","","0x"&amp;Table132[[#This Row],[D_Index]]&amp;"000")</f>
        <v>0x06160000</v>
      </c>
      <c r="J87" s="18" t="s">
        <v>341</v>
      </c>
      <c r="K87" s="10">
        <v>0</v>
      </c>
      <c r="L87" s="11"/>
      <c r="M87" s="9" t="str">
        <f>IF(Table132[[#This Row],[template]]="","",Table132[[#This Row],[IP_NAME]]&amp;"_"&amp;Table132[[#This Row],[PARAM_NAME]]&amp;IF(Table132[[#This Row],[PARAM_SUB]]="","","_"&amp;Table132[[#This Row],[PARAM_SUB]]))</f>
        <v>ev_pdpRunStt_22</v>
      </c>
      <c r="N87" s="1" t="s">
        <v>262</v>
      </c>
      <c r="O87" s="1" t="s">
        <v>378</v>
      </c>
      <c r="P87" s="6" t="s">
        <v>285</v>
      </c>
      <c r="Q87" s="4">
        <v>23</v>
      </c>
      <c r="R87" s="6" t="s">
        <v>363</v>
      </c>
      <c r="S87" s="1" t="s">
        <v>315</v>
      </c>
      <c r="T87" s="16">
        <v>22</v>
      </c>
      <c r="U87" s="6" t="s">
        <v>363</v>
      </c>
      <c r="X87" s="11">
        <f>IF(Table132[[#This Row],[template]]="","",VLOOKUP(Table132[[#This Row],[IP_NAME]],Table511175[],2,FALSE))</f>
        <v>1</v>
      </c>
      <c r="Y87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>06160</v>
      </c>
      <c r="Z87" s="14">
        <f>IF(Table132[[#This Row],[template]]="","",HEX2DEC(Table132[[#This Row],[Addr_Hex]]))</f>
        <v>35</v>
      </c>
    </row>
    <row r="88" spans="2:26" x14ac:dyDescent="0.3">
      <c r="B88" s="4">
        <v>523</v>
      </c>
      <c r="C88" s="4" t="s">
        <v>230</v>
      </c>
      <c r="D88" s="9" t="str">
        <f>UPPER(Table132[[#This Row],[SIGNAL]])</f>
        <v>EV_PDPRUNSTT_23</v>
      </c>
      <c r="E88" s="9" t="str">
        <f>IF(Table132[[#This Row],[template]]="","","0x"&amp;Table132[[#This Row],[IP_Index]]&amp;DEC2HEX(Table132[[#This Row],[Addr_Dec]]*4,7))</f>
        <v>0x1000008C</v>
      </c>
      <c r="F88" s="9" t="str">
        <f>IF(Table132[[#This Row],[template]]="","",VLOOKUP(Table132[[#This Row],[template]],Table29153[],2,FALSE))</f>
        <v>asynParamInt32</v>
      </c>
      <c r="G88" s="18" t="str">
        <f>IF(Table132[[#This Row],[template]]="","","1")</f>
        <v>1</v>
      </c>
      <c r="H88" s="10" t="s">
        <v>453</v>
      </c>
      <c r="I88" s="13" t="str">
        <f>IF(Table132[[#This Row],[template]]="","","0x"&amp;Table132[[#This Row],[D_Index]]&amp;"000")</f>
        <v>0x06170000</v>
      </c>
      <c r="J88" s="18" t="s">
        <v>341</v>
      </c>
      <c r="K88" s="10">
        <v>0</v>
      </c>
      <c r="L88" s="11"/>
      <c r="M88" s="9" t="str">
        <f>IF(Table132[[#This Row],[template]]="","",Table132[[#This Row],[IP_NAME]]&amp;"_"&amp;Table132[[#This Row],[PARAM_NAME]]&amp;IF(Table132[[#This Row],[PARAM_SUB]]="","","_"&amp;Table132[[#This Row],[PARAM_SUB]]))</f>
        <v>ev_pdpRunStt_23</v>
      </c>
      <c r="N88" s="1" t="s">
        <v>262</v>
      </c>
      <c r="O88" s="1" t="s">
        <v>378</v>
      </c>
      <c r="P88" s="6" t="s">
        <v>286</v>
      </c>
      <c r="Q88" s="4">
        <v>23</v>
      </c>
      <c r="R88" s="6" t="s">
        <v>363</v>
      </c>
      <c r="S88" s="1" t="s">
        <v>315</v>
      </c>
      <c r="T88" s="16">
        <v>23</v>
      </c>
      <c r="U88" s="6" t="s">
        <v>363</v>
      </c>
      <c r="X88" s="11">
        <f>IF(Table132[[#This Row],[template]]="","",VLOOKUP(Table132[[#This Row],[IP_NAME]],Table511175[],2,FALSE))</f>
        <v>1</v>
      </c>
      <c r="Y88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>06170</v>
      </c>
      <c r="Z88" s="14">
        <f>IF(Table132[[#This Row],[template]]="","",HEX2DEC(Table132[[#This Row],[Addr_Hex]]))</f>
        <v>35</v>
      </c>
    </row>
    <row r="89" spans="2:26" x14ac:dyDescent="0.3">
      <c r="B89" s="4">
        <v>524</v>
      </c>
      <c r="C89" s="4" t="s">
        <v>230</v>
      </c>
      <c r="D89" s="9" t="str">
        <f>UPPER(Table132[[#This Row],[SIGNAL]])</f>
        <v>EV_PDPRUNSTT_24</v>
      </c>
      <c r="E89" s="9" t="str">
        <f>IF(Table132[[#This Row],[template]]="","","0x"&amp;Table132[[#This Row],[IP_Index]]&amp;DEC2HEX(Table132[[#This Row],[Addr_Dec]]*4,7))</f>
        <v>0x1000008C</v>
      </c>
      <c r="F89" s="9" t="str">
        <f>IF(Table132[[#This Row],[template]]="","",VLOOKUP(Table132[[#This Row],[template]],Table29153[],2,FALSE))</f>
        <v>asynParamInt32</v>
      </c>
      <c r="G89" s="18" t="str">
        <f>IF(Table132[[#This Row],[template]]="","","1")</f>
        <v>1</v>
      </c>
      <c r="H89" s="10" t="s">
        <v>453</v>
      </c>
      <c r="I89" s="13" t="str">
        <f>IF(Table132[[#This Row],[template]]="","","0x"&amp;Table132[[#This Row],[D_Index]]&amp;"000")</f>
        <v>0x06180000</v>
      </c>
      <c r="J89" s="18" t="s">
        <v>341</v>
      </c>
      <c r="K89" s="10">
        <v>0</v>
      </c>
      <c r="L89" s="11"/>
      <c r="M89" s="9" t="str">
        <f>IF(Table132[[#This Row],[template]]="","",Table132[[#This Row],[IP_NAME]]&amp;"_"&amp;Table132[[#This Row],[PARAM_NAME]]&amp;IF(Table132[[#This Row],[PARAM_SUB]]="","","_"&amp;Table132[[#This Row],[PARAM_SUB]]))</f>
        <v>ev_pdpRunStt_24</v>
      </c>
      <c r="N89" s="1" t="s">
        <v>262</v>
      </c>
      <c r="O89" s="1" t="s">
        <v>378</v>
      </c>
      <c r="P89" s="6" t="s">
        <v>287</v>
      </c>
      <c r="Q89" s="4">
        <v>23</v>
      </c>
      <c r="R89" s="6" t="s">
        <v>363</v>
      </c>
      <c r="S89" s="1" t="s">
        <v>315</v>
      </c>
      <c r="T89" s="16">
        <v>24</v>
      </c>
      <c r="U89" s="6" t="s">
        <v>363</v>
      </c>
      <c r="X89" s="11">
        <f>IF(Table132[[#This Row],[template]]="","",VLOOKUP(Table132[[#This Row],[IP_NAME]],Table511175[],2,FALSE))</f>
        <v>1</v>
      </c>
      <c r="Y89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>06180</v>
      </c>
      <c r="Z89" s="14">
        <f>IF(Table132[[#This Row],[template]]="","",HEX2DEC(Table132[[#This Row],[Addr_Hex]]))</f>
        <v>35</v>
      </c>
    </row>
    <row r="90" spans="2:26" x14ac:dyDescent="0.3">
      <c r="B90" s="4">
        <v>525</v>
      </c>
      <c r="C90" s="4" t="s">
        <v>230</v>
      </c>
      <c r="D90" s="9" t="str">
        <f>UPPER(Table132[[#This Row],[SIGNAL]])</f>
        <v>EV_PDPRUNSTT_25</v>
      </c>
      <c r="E90" s="9" t="str">
        <f>IF(Table132[[#This Row],[template]]="","","0x"&amp;Table132[[#This Row],[IP_Index]]&amp;DEC2HEX(Table132[[#This Row],[Addr_Dec]]*4,7))</f>
        <v>0x1000008C</v>
      </c>
      <c r="F90" s="9" t="str">
        <f>IF(Table132[[#This Row],[template]]="","",VLOOKUP(Table132[[#This Row],[template]],Table29153[],2,FALSE))</f>
        <v>asynParamInt32</v>
      </c>
      <c r="G90" s="18" t="str">
        <f>IF(Table132[[#This Row],[template]]="","","1")</f>
        <v>1</v>
      </c>
      <c r="H90" s="10" t="s">
        <v>453</v>
      </c>
      <c r="I90" s="13" t="str">
        <f>IF(Table132[[#This Row],[template]]="","","0x"&amp;Table132[[#This Row],[D_Index]]&amp;"000")</f>
        <v>0x06190000</v>
      </c>
      <c r="J90" s="18" t="s">
        <v>341</v>
      </c>
      <c r="K90" s="10">
        <v>0</v>
      </c>
      <c r="L90" s="11"/>
      <c r="M90" s="9" t="str">
        <f>IF(Table132[[#This Row],[template]]="","",Table132[[#This Row],[IP_NAME]]&amp;"_"&amp;Table132[[#This Row],[PARAM_NAME]]&amp;IF(Table132[[#This Row],[PARAM_SUB]]="","","_"&amp;Table132[[#This Row],[PARAM_SUB]]))</f>
        <v>ev_pdpRunStt_25</v>
      </c>
      <c r="N90" s="1" t="s">
        <v>262</v>
      </c>
      <c r="O90" s="1" t="s">
        <v>378</v>
      </c>
      <c r="P90" s="6" t="s">
        <v>288</v>
      </c>
      <c r="Q90" s="4">
        <v>23</v>
      </c>
      <c r="R90" s="6" t="s">
        <v>363</v>
      </c>
      <c r="S90" s="1" t="s">
        <v>315</v>
      </c>
      <c r="T90" s="16">
        <v>25</v>
      </c>
      <c r="U90" s="6" t="s">
        <v>363</v>
      </c>
      <c r="X90" s="11">
        <f>IF(Table132[[#This Row],[template]]="","",VLOOKUP(Table132[[#This Row],[IP_NAME]],Table511175[],2,FALSE))</f>
        <v>1</v>
      </c>
      <c r="Y90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>06190</v>
      </c>
      <c r="Z90" s="14">
        <f>IF(Table132[[#This Row],[template]]="","",HEX2DEC(Table132[[#This Row],[Addr_Hex]]))</f>
        <v>35</v>
      </c>
    </row>
    <row r="91" spans="2:26" x14ac:dyDescent="0.3">
      <c r="B91" s="4">
        <v>526</v>
      </c>
      <c r="C91" s="4" t="s">
        <v>230</v>
      </c>
      <c r="D91" s="9" t="str">
        <f>UPPER(Table132[[#This Row],[SIGNAL]])</f>
        <v>EV_PDPRUNSTT_26</v>
      </c>
      <c r="E91" s="9" t="str">
        <f>IF(Table132[[#This Row],[template]]="","","0x"&amp;Table132[[#This Row],[IP_Index]]&amp;DEC2HEX(Table132[[#This Row],[Addr_Dec]]*4,7))</f>
        <v>0x1000008C</v>
      </c>
      <c r="F91" s="9" t="str">
        <f>IF(Table132[[#This Row],[template]]="","",VLOOKUP(Table132[[#This Row],[template]],Table29153[],2,FALSE))</f>
        <v>asynParamInt32</v>
      </c>
      <c r="G91" s="18" t="str">
        <f>IF(Table132[[#This Row],[template]]="","","1")</f>
        <v>1</v>
      </c>
      <c r="H91" s="10" t="s">
        <v>453</v>
      </c>
      <c r="I91" s="13" t="str">
        <f>IF(Table132[[#This Row],[template]]="","","0x"&amp;Table132[[#This Row],[D_Index]]&amp;"000")</f>
        <v>0x061A0000</v>
      </c>
      <c r="J91" s="18" t="s">
        <v>341</v>
      </c>
      <c r="K91" s="10">
        <v>0</v>
      </c>
      <c r="L91" s="11"/>
      <c r="M91" s="9" t="str">
        <f>IF(Table132[[#This Row],[template]]="","",Table132[[#This Row],[IP_NAME]]&amp;"_"&amp;Table132[[#This Row],[PARAM_NAME]]&amp;IF(Table132[[#This Row],[PARAM_SUB]]="","","_"&amp;Table132[[#This Row],[PARAM_SUB]]))</f>
        <v>ev_pdpRunStt_26</v>
      </c>
      <c r="N91" s="1" t="s">
        <v>262</v>
      </c>
      <c r="O91" s="1" t="s">
        <v>378</v>
      </c>
      <c r="P91" s="6" t="s">
        <v>289</v>
      </c>
      <c r="Q91" s="4">
        <v>23</v>
      </c>
      <c r="R91" s="6" t="s">
        <v>363</v>
      </c>
      <c r="S91" s="1" t="s">
        <v>315</v>
      </c>
      <c r="T91" s="16">
        <v>26</v>
      </c>
      <c r="U91" s="6" t="s">
        <v>363</v>
      </c>
      <c r="X91" s="11">
        <f>IF(Table132[[#This Row],[template]]="","",VLOOKUP(Table132[[#This Row],[IP_NAME]],Table511175[],2,FALSE))</f>
        <v>1</v>
      </c>
      <c r="Y91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>061A0</v>
      </c>
      <c r="Z91" s="14">
        <f>IF(Table132[[#This Row],[template]]="","",HEX2DEC(Table132[[#This Row],[Addr_Hex]]))</f>
        <v>35</v>
      </c>
    </row>
    <row r="92" spans="2:26" x14ac:dyDescent="0.3">
      <c r="B92" s="4">
        <v>527</v>
      </c>
      <c r="C92" s="4" t="s">
        <v>230</v>
      </c>
      <c r="D92" s="9" t="str">
        <f>UPPER(Table132[[#This Row],[SIGNAL]])</f>
        <v>EV_PDPRUNSTT_27</v>
      </c>
      <c r="E92" s="9" t="str">
        <f>IF(Table132[[#This Row],[template]]="","","0x"&amp;Table132[[#This Row],[IP_Index]]&amp;DEC2HEX(Table132[[#This Row],[Addr_Dec]]*4,7))</f>
        <v>0x1000008C</v>
      </c>
      <c r="F92" s="9" t="str">
        <f>IF(Table132[[#This Row],[template]]="","",VLOOKUP(Table132[[#This Row],[template]],Table29153[],2,FALSE))</f>
        <v>asynParamInt32</v>
      </c>
      <c r="G92" s="18" t="str">
        <f>IF(Table132[[#This Row],[template]]="","","1")</f>
        <v>1</v>
      </c>
      <c r="H92" s="10" t="s">
        <v>453</v>
      </c>
      <c r="I92" s="13" t="str">
        <f>IF(Table132[[#This Row],[template]]="","","0x"&amp;Table132[[#This Row],[D_Index]]&amp;"000")</f>
        <v>0x061B0000</v>
      </c>
      <c r="J92" s="18" t="s">
        <v>341</v>
      </c>
      <c r="K92" s="10">
        <v>0</v>
      </c>
      <c r="L92" s="11"/>
      <c r="M92" s="9" t="str">
        <f>IF(Table132[[#This Row],[template]]="","",Table132[[#This Row],[IP_NAME]]&amp;"_"&amp;Table132[[#This Row],[PARAM_NAME]]&amp;IF(Table132[[#This Row],[PARAM_SUB]]="","","_"&amp;Table132[[#This Row],[PARAM_SUB]]))</f>
        <v>ev_pdpRunStt_27</v>
      </c>
      <c r="N92" s="1" t="s">
        <v>262</v>
      </c>
      <c r="O92" s="1" t="s">
        <v>378</v>
      </c>
      <c r="P92" s="6" t="s">
        <v>290</v>
      </c>
      <c r="Q92" s="4">
        <v>23</v>
      </c>
      <c r="R92" s="6" t="s">
        <v>363</v>
      </c>
      <c r="S92" s="1" t="s">
        <v>315</v>
      </c>
      <c r="T92" s="16">
        <v>27</v>
      </c>
      <c r="U92" s="6" t="s">
        <v>363</v>
      </c>
      <c r="X92" s="11">
        <f>IF(Table132[[#This Row],[template]]="","",VLOOKUP(Table132[[#This Row],[IP_NAME]],Table511175[],2,FALSE))</f>
        <v>1</v>
      </c>
      <c r="Y92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>061B0</v>
      </c>
      <c r="Z92" s="14">
        <f>IF(Table132[[#This Row],[template]]="","",HEX2DEC(Table132[[#This Row],[Addr_Hex]]))</f>
        <v>35</v>
      </c>
    </row>
    <row r="93" spans="2:26" x14ac:dyDescent="0.3">
      <c r="B93" s="4">
        <v>528</v>
      </c>
      <c r="C93" s="4" t="s">
        <v>230</v>
      </c>
      <c r="D93" s="9" t="str">
        <f>UPPER(Table132[[#This Row],[SIGNAL]])</f>
        <v>EV_PDPRUNSTT_28</v>
      </c>
      <c r="E93" s="9" t="str">
        <f>IF(Table132[[#This Row],[template]]="","","0x"&amp;Table132[[#This Row],[IP_Index]]&amp;DEC2HEX(Table132[[#This Row],[Addr_Dec]]*4,7))</f>
        <v>0x1000008C</v>
      </c>
      <c r="F93" s="9" t="str">
        <f>IF(Table132[[#This Row],[template]]="","",VLOOKUP(Table132[[#This Row],[template]],Table29153[],2,FALSE))</f>
        <v>asynParamInt32</v>
      </c>
      <c r="G93" s="18" t="str">
        <f>IF(Table132[[#This Row],[template]]="","","1")</f>
        <v>1</v>
      </c>
      <c r="H93" s="10" t="s">
        <v>453</v>
      </c>
      <c r="I93" s="13" t="str">
        <f>IF(Table132[[#This Row],[template]]="","","0x"&amp;Table132[[#This Row],[D_Index]]&amp;"000")</f>
        <v>0x061C0000</v>
      </c>
      <c r="J93" s="18" t="s">
        <v>341</v>
      </c>
      <c r="K93" s="10">
        <v>0</v>
      </c>
      <c r="L93" s="11"/>
      <c r="M93" s="9" t="str">
        <f>IF(Table132[[#This Row],[template]]="","",Table132[[#This Row],[IP_NAME]]&amp;"_"&amp;Table132[[#This Row],[PARAM_NAME]]&amp;IF(Table132[[#This Row],[PARAM_SUB]]="","","_"&amp;Table132[[#This Row],[PARAM_SUB]]))</f>
        <v>ev_pdpRunStt_28</v>
      </c>
      <c r="N93" s="1" t="s">
        <v>262</v>
      </c>
      <c r="O93" s="1" t="s">
        <v>378</v>
      </c>
      <c r="P93" s="6" t="s">
        <v>291</v>
      </c>
      <c r="Q93" s="4">
        <v>23</v>
      </c>
      <c r="R93" s="6" t="s">
        <v>363</v>
      </c>
      <c r="S93" s="1" t="s">
        <v>315</v>
      </c>
      <c r="T93" s="16">
        <v>28</v>
      </c>
      <c r="U93" s="6" t="s">
        <v>363</v>
      </c>
      <c r="X93" s="11">
        <f>IF(Table132[[#This Row],[template]]="","",VLOOKUP(Table132[[#This Row],[IP_NAME]],Table511175[],2,FALSE))</f>
        <v>1</v>
      </c>
      <c r="Y93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>061C0</v>
      </c>
      <c r="Z93" s="14">
        <f>IF(Table132[[#This Row],[template]]="","",HEX2DEC(Table132[[#This Row],[Addr_Hex]]))</f>
        <v>35</v>
      </c>
    </row>
    <row r="94" spans="2:26" x14ac:dyDescent="0.3">
      <c r="B94" s="4">
        <v>529</v>
      </c>
      <c r="C94" s="4" t="s">
        <v>230</v>
      </c>
      <c r="D94" s="9" t="str">
        <f>UPPER(Table132[[#This Row],[SIGNAL]])</f>
        <v>EV_PDPRUNSTT_29</v>
      </c>
      <c r="E94" s="9" t="str">
        <f>IF(Table132[[#This Row],[template]]="","","0x"&amp;Table132[[#This Row],[IP_Index]]&amp;DEC2HEX(Table132[[#This Row],[Addr_Dec]]*4,7))</f>
        <v>0x1000008C</v>
      </c>
      <c r="F94" s="9" t="str">
        <f>IF(Table132[[#This Row],[template]]="","",VLOOKUP(Table132[[#This Row],[template]],Table29153[],2,FALSE))</f>
        <v>asynParamInt32</v>
      </c>
      <c r="G94" s="18" t="str">
        <f>IF(Table132[[#This Row],[template]]="","","1")</f>
        <v>1</v>
      </c>
      <c r="H94" s="10" t="s">
        <v>453</v>
      </c>
      <c r="I94" s="13" t="str">
        <f>IF(Table132[[#This Row],[template]]="","","0x"&amp;Table132[[#This Row],[D_Index]]&amp;"000")</f>
        <v>0x061D0000</v>
      </c>
      <c r="J94" s="18" t="s">
        <v>341</v>
      </c>
      <c r="K94" s="10">
        <v>0</v>
      </c>
      <c r="L94" s="11"/>
      <c r="M94" s="9" t="str">
        <f>IF(Table132[[#This Row],[template]]="","",Table132[[#This Row],[IP_NAME]]&amp;"_"&amp;Table132[[#This Row],[PARAM_NAME]]&amp;IF(Table132[[#This Row],[PARAM_SUB]]="","","_"&amp;Table132[[#This Row],[PARAM_SUB]]))</f>
        <v>ev_pdpRunStt_29</v>
      </c>
      <c r="N94" s="1" t="s">
        <v>262</v>
      </c>
      <c r="O94" s="1" t="s">
        <v>378</v>
      </c>
      <c r="P94" s="6" t="s">
        <v>292</v>
      </c>
      <c r="Q94" s="4">
        <v>23</v>
      </c>
      <c r="R94" s="6" t="s">
        <v>363</v>
      </c>
      <c r="S94" s="1" t="s">
        <v>315</v>
      </c>
      <c r="T94" s="16">
        <v>29</v>
      </c>
      <c r="U94" s="6" t="s">
        <v>363</v>
      </c>
      <c r="X94" s="11">
        <f>IF(Table132[[#This Row],[template]]="","",VLOOKUP(Table132[[#This Row],[IP_NAME]],Table511175[],2,FALSE))</f>
        <v>1</v>
      </c>
      <c r="Y94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>061D0</v>
      </c>
      <c r="Z94" s="14">
        <f>IF(Table132[[#This Row],[template]]="","",HEX2DEC(Table132[[#This Row],[Addr_Hex]]))</f>
        <v>35</v>
      </c>
    </row>
    <row r="95" spans="2:26" x14ac:dyDescent="0.3">
      <c r="B95" s="4">
        <v>530</v>
      </c>
      <c r="C95" s="4" t="s">
        <v>230</v>
      </c>
      <c r="D95" s="9" t="str">
        <f>UPPER(Table132[[#This Row],[SIGNAL]])</f>
        <v>EV_PDPRUNSTT_30</v>
      </c>
      <c r="E95" s="9" t="str">
        <f>IF(Table132[[#This Row],[template]]="","","0x"&amp;Table132[[#This Row],[IP_Index]]&amp;DEC2HEX(Table132[[#This Row],[Addr_Dec]]*4,7))</f>
        <v>0x1000008C</v>
      </c>
      <c r="F95" s="9" t="str">
        <f>IF(Table132[[#This Row],[template]]="","",VLOOKUP(Table132[[#This Row],[template]],Table29153[],2,FALSE))</f>
        <v>asynParamInt32</v>
      </c>
      <c r="G95" s="18" t="str">
        <f>IF(Table132[[#This Row],[template]]="","","1")</f>
        <v>1</v>
      </c>
      <c r="H95" s="10" t="s">
        <v>453</v>
      </c>
      <c r="I95" s="13" t="str">
        <f>IF(Table132[[#This Row],[template]]="","","0x"&amp;Table132[[#This Row],[D_Index]]&amp;"000")</f>
        <v>0x061E0000</v>
      </c>
      <c r="J95" s="18" t="s">
        <v>341</v>
      </c>
      <c r="K95" s="10">
        <v>0</v>
      </c>
      <c r="L95" s="11"/>
      <c r="M95" s="9" t="str">
        <f>IF(Table132[[#This Row],[template]]="","",Table132[[#This Row],[IP_NAME]]&amp;"_"&amp;Table132[[#This Row],[PARAM_NAME]]&amp;IF(Table132[[#This Row],[PARAM_SUB]]="","","_"&amp;Table132[[#This Row],[PARAM_SUB]]))</f>
        <v>ev_pdpRunStt_30</v>
      </c>
      <c r="N95" s="1" t="s">
        <v>262</v>
      </c>
      <c r="O95" s="1" t="s">
        <v>378</v>
      </c>
      <c r="P95" s="6" t="s">
        <v>293</v>
      </c>
      <c r="Q95" s="4">
        <v>23</v>
      </c>
      <c r="R95" s="6" t="s">
        <v>363</v>
      </c>
      <c r="S95" s="1" t="s">
        <v>315</v>
      </c>
      <c r="T95" s="16">
        <v>30</v>
      </c>
      <c r="U95" s="6" t="s">
        <v>363</v>
      </c>
      <c r="X95" s="11">
        <f>IF(Table132[[#This Row],[template]]="","",VLOOKUP(Table132[[#This Row],[IP_NAME]],Table511175[],2,FALSE))</f>
        <v>1</v>
      </c>
      <c r="Y95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>061E0</v>
      </c>
      <c r="Z95" s="14">
        <f>IF(Table132[[#This Row],[template]]="","",HEX2DEC(Table132[[#This Row],[Addr_Hex]]))</f>
        <v>35</v>
      </c>
    </row>
    <row r="96" spans="2:26" x14ac:dyDescent="0.3">
      <c r="B96" s="4">
        <v>531</v>
      </c>
      <c r="C96" s="4" t="s">
        <v>230</v>
      </c>
      <c r="D96" s="9" t="str">
        <f>UPPER(Table132[[#This Row],[SIGNAL]])</f>
        <v>EV_PDPRUNSTT_31</v>
      </c>
      <c r="E96" s="9" t="str">
        <f>IF(Table132[[#This Row],[template]]="","","0x"&amp;Table132[[#This Row],[IP_Index]]&amp;DEC2HEX(Table132[[#This Row],[Addr_Dec]]*4,7))</f>
        <v>0x1000008C</v>
      </c>
      <c r="F96" s="9" t="str">
        <f>IF(Table132[[#This Row],[template]]="","",VLOOKUP(Table132[[#This Row],[template]],Table29153[],2,FALSE))</f>
        <v>asynParamInt32</v>
      </c>
      <c r="G96" s="18" t="str">
        <f>IF(Table132[[#This Row],[template]]="","","1")</f>
        <v>1</v>
      </c>
      <c r="H96" s="10" t="s">
        <v>453</v>
      </c>
      <c r="I96" s="13" t="str">
        <f>IF(Table132[[#This Row],[template]]="","","0x"&amp;Table132[[#This Row],[D_Index]]&amp;"000")</f>
        <v>0x061F0000</v>
      </c>
      <c r="J96" s="18" t="s">
        <v>341</v>
      </c>
      <c r="K96" s="10">
        <v>0</v>
      </c>
      <c r="L96" s="11"/>
      <c r="M96" s="9" t="str">
        <f>IF(Table132[[#This Row],[template]]="","",Table132[[#This Row],[IP_NAME]]&amp;"_"&amp;Table132[[#This Row],[PARAM_NAME]]&amp;IF(Table132[[#This Row],[PARAM_SUB]]="","","_"&amp;Table132[[#This Row],[PARAM_SUB]]))</f>
        <v>ev_pdpRunStt_31</v>
      </c>
      <c r="N96" s="1" t="s">
        <v>262</v>
      </c>
      <c r="O96" s="1" t="s">
        <v>378</v>
      </c>
      <c r="P96" s="6" t="s">
        <v>294</v>
      </c>
      <c r="Q96" s="4">
        <v>23</v>
      </c>
      <c r="R96" s="6" t="s">
        <v>363</v>
      </c>
      <c r="S96" s="1" t="s">
        <v>315</v>
      </c>
      <c r="T96" s="16">
        <v>31</v>
      </c>
      <c r="U96" s="6" t="s">
        <v>363</v>
      </c>
      <c r="X96" s="11">
        <f>IF(Table132[[#This Row],[template]]="","",VLOOKUP(Table132[[#This Row],[IP_NAME]],Table511175[],2,FALSE))</f>
        <v>1</v>
      </c>
      <c r="Y96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>061F0</v>
      </c>
      <c r="Z96" s="14">
        <f>IF(Table132[[#This Row],[template]]="","",HEX2DEC(Table132[[#This Row],[Addr_Hex]]))</f>
        <v>35</v>
      </c>
    </row>
    <row r="97" spans="2:26" x14ac:dyDescent="0.3">
      <c r="B97" s="4">
        <v>532</v>
      </c>
      <c r="C97" s="4"/>
      <c r="D97" s="9" t="str">
        <f>UPPER(Table132[[#This Row],[SIGNAL]])</f>
        <v/>
      </c>
      <c r="E97" s="9" t="str">
        <f>IF(Table132[[#This Row],[template]]="","","0x"&amp;Table132[[#This Row],[IP_Index]]&amp;DEC2HEX(Table132[[#This Row],[Addr_Dec]]*4,7))</f>
        <v/>
      </c>
      <c r="F97" s="9" t="str">
        <f>IF(Table132[[#This Row],[template]]="","",VLOOKUP(Table132[[#This Row],[template]],Table29153[],2,FALSE))</f>
        <v/>
      </c>
      <c r="G97" s="18" t="str">
        <f>IF(Table132[[#This Row],[template]]="","","1")</f>
        <v/>
      </c>
      <c r="H97" s="10" t="s">
        <v>453</v>
      </c>
      <c r="I97" s="13" t="str">
        <f>IF(Table132[[#This Row],[template]]="","","0x"&amp;Table132[[#This Row],[D_Index]]&amp;"000")</f>
        <v/>
      </c>
      <c r="J97" s="18"/>
      <c r="K97" s="10">
        <v>0</v>
      </c>
      <c r="L97" s="11"/>
      <c r="M97" s="9" t="str">
        <f>IF(Table132[[#This Row],[template]]="","",Table132[[#This Row],[IP_NAME]]&amp;"_"&amp;Table132[[#This Row],[PARAM_NAME]]&amp;IF(Table132[[#This Row],[PARAM_SUB]]="","","_"&amp;Table132[[#This Row],[PARAM_SUB]]))</f>
        <v/>
      </c>
      <c r="P97" s="6"/>
      <c r="Q97" s="4"/>
      <c r="R97" s="6"/>
      <c r="T97" s="16"/>
      <c r="U97" s="6"/>
      <c r="X97" s="11" t="str">
        <f>IF(Table132[[#This Row],[template]]="","",VLOOKUP(Table132[[#This Row],[IP_NAME]],Table511175[],2,FALSE))</f>
        <v/>
      </c>
      <c r="Y97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/>
      </c>
      <c r="Z97" s="14" t="str">
        <f>IF(Table132[[#This Row],[template]]="","",HEX2DEC(Table132[[#This Row],[Addr_Hex]]))</f>
        <v/>
      </c>
    </row>
    <row r="98" spans="2:26" x14ac:dyDescent="0.3">
      <c r="B98" s="4">
        <v>400</v>
      </c>
      <c r="C98" s="4" t="s">
        <v>237</v>
      </c>
      <c r="D98" s="9" t="str">
        <f>UPPER(Table132[[#This Row],[SIGNAL]])</f>
        <v>EV_EVG_CURRTIME</v>
      </c>
      <c r="E98" s="9" t="str">
        <f>IF(Table132[[#This Row],[template]]="","","0x"&amp;Table132[[#This Row],[IP_Index]]&amp;DEC2HEX(Table132[[#This Row],[Addr_Dec]]*4,7))</f>
        <v>0x10000078</v>
      </c>
      <c r="F98" s="9" t="str">
        <f>IF(Table132[[#This Row],[template]]="","",VLOOKUP(Table132[[#This Row],[template]],Table29153[],2,FALSE))</f>
        <v>asynParamOctet</v>
      </c>
      <c r="G98" s="18" t="str">
        <f>IF(Table132[[#This Row],[template]]="","","1")</f>
        <v>1</v>
      </c>
      <c r="H98" s="10" t="s">
        <v>453</v>
      </c>
      <c r="I98" s="13" t="str">
        <f>IF(Table132[[#This Row],[template]]="","","0x"&amp;Table132[[#This Row],[D_Index]]&amp;"000")</f>
        <v>0x01004000</v>
      </c>
      <c r="J98" s="18" t="s">
        <v>460</v>
      </c>
      <c r="K98" s="10" t="s">
        <v>352</v>
      </c>
      <c r="L98" s="11"/>
      <c r="M98" s="9" t="str">
        <f>IF(Table132[[#This Row],[template]]="","",Table132[[#This Row],[IP_NAME]]&amp;"_"&amp;Table132[[#This Row],[PARAM_NAME]]&amp;IF(Table132[[#This Row],[PARAM_SUB]]="","","_"&amp;Table132[[#This Row],[PARAM_SUB]]))</f>
        <v>ev_evg_CurrTime</v>
      </c>
      <c r="N98" s="1" t="s">
        <v>262</v>
      </c>
      <c r="O98" s="1" t="s">
        <v>379</v>
      </c>
      <c r="P98" s="6"/>
      <c r="Q98" s="4" t="s">
        <v>380</v>
      </c>
      <c r="R98" s="6" t="s">
        <v>363</v>
      </c>
      <c r="S98" s="1" t="s">
        <v>254</v>
      </c>
      <c r="T98" s="16">
        <v>0</v>
      </c>
      <c r="U98" s="6" t="s">
        <v>356</v>
      </c>
      <c r="X98" s="11">
        <f>IF(Table132[[#This Row],[template]]="","",VLOOKUP(Table132[[#This Row],[IP_NAME]],Table511175[],2,FALSE))</f>
        <v>1</v>
      </c>
      <c r="Y98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>01004</v>
      </c>
      <c r="Z98" s="14">
        <f>IF(Table132[[#This Row],[template]]="","",HEX2DEC(Table132[[#This Row],[Addr_Hex]]))</f>
        <v>30</v>
      </c>
    </row>
    <row r="99" spans="2:26" x14ac:dyDescent="0.3">
      <c r="B99" s="4">
        <v>401</v>
      </c>
      <c r="C99" s="4" t="s">
        <v>237</v>
      </c>
      <c r="D99" s="9" t="str">
        <f>UPPER(Table132[[#This Row],[SIGNAL]])</f>
        <v>EV_EVR_CURRTIME</v>
      </c>
      <c r="E99" s="9" t="str">
        <f>IF(Table132[[#This Row],[template]]="","","0x"&amp;Table132[[#This Row],[IP_Index]]&amp;DEC2HEX(Table132[[#This Row],[Addr_Dec]]*4,7))</f>
        <v>0x10000090</v>
      </c>
      <c r="F99" s="9" t="str">
        <f>IF(Table132[[#This Row],[template]]="","",VLOOKUP(Table132[[#This Row],[template]],Table29153[],2,FALSE))</f>
        <v>asynParamOctet</v>
      </c>
      <c r="G99" s="18" t="str">
        <f>IF(Table132[[#This Row],[template]]="","","1")</f>
        <v>1</v>
      </c>
      <c r="H99" s="10" t="s">
        <v>453</v>
      </c>
      <c r="I99" s="13" t="str">
        <f>IF(Table132[[#This Row],[template]]="","","0x"&amp;Table132[[#This Row],[D_Index]]&amp;"000")</f>
        <v>0x01004000</v>
      </c>
      <c r="J99" s="18" t="s">
        <v>461</v>
      </c>
      <c r="K99" s="10" t="s">
        <v>352</v>
      </c>
      <c r="L99" s="11"/>
      <c r="M99" s="9" t="str">
        <f>IF(Table132[[#This Row],[template]]="","",Table132[[#This Row],[IP_NAME]]&amp;"_"&amp;Table132[[#This Row],[PARAM_NAME]]&amp;IF(Table132[[#This Row],[PARAM_SUB]]="","","_"&amp;Table132[[#This Row],[PARAM_SUB]]))</f>
        <v>ev_evr_CurrTime</v>
      </c>
      <c r="N99" s="1" t="s">
        <v>262</v>
      </c>
      <c r="O99" s="1" t="s">
        <v>381</v>
      </c>
      <c r="P99" s="6"/>
      <c r="Q99" s="4">
        <v>24</v>
      </c>
      <c r="R99" s="6" t="s">
        <v>363</v>
      </c>
      <c r="S99" s="1" t="s">
        <v>254</v>
      </c>
      <c r="T99" s="16">
        <v>0</v>
      </c>
      <c r="U99" s="6" t="s">
        <v>356</v>
      </c>
      <c r="X99" s="11">
        <f>IF(Table132[[#This Row],[template]]="","",VLOOKUP(Table132[[#This Row],[IP_NAME]],Table511175[],2,FALSE))</f>
        <v>1</v>
      </c>
      <c r="Y99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>01004</v>
      </c>
      <c r="Z99" s="14">
        <f>IF(Table132[[#This Row],[template]]="","",HEX2DEC(Table132[[#This Row],[Addr_Hex]]))</f>
        <v>36</v>
      </c>
    </row>
    <row r="100" spans="2:26" x14ac:dyDescent="0.3">
      <c r="B100" s="4">
        <v>402</v>
      </c>
      <c r="C100" s="4"/>
      <c r="D100" s="9" t="str">
        <f>UPPER(Table132[[#This Row],[SIGNAL]])</f>
        <v/>
      </c>
      <c r="E100" s="9" t="str">
        <f>IF(Table132[[#This Row],[template]]="","","0x"&amp;Table132[[#This Row],[IP_Index]]&amp;DEC2HEX(Table132[[#This Row],[Addr_Dec]]*4,7))</f>
        <v/>
      </c>
      <c r="F100" s="9" t="str">
        <f>IF(Table132[[#This Row],[template]]="","",VLOOKUP(Table132[[#This Row],[template]],Table29153[],2,FALSE))</f>
        <v/>
      </c>
      <c r="G100" s="18" t="str">
        <f>IF(Table132[[#This Row],[template]]="","","1")</f>
        <v/>
      </c>
      <c r="H100" s="10"/>
      <c r="I100" s="13" t="str">
        <f>IF(Table132[[#This Row],[template]]="","","0x"&amp;Table132[[#This Row],[D_Index]]&amp;"000")</f>
        <v/>
      </c>
      <c r="J100" s="18"/>
      <c r="K100" s="10">
        <v>0</v>
      </c>
      <c r="L100" s="11"/>
      <c r="M100" s="9" t="str">
        <f>IF(Table132[[#This Row],[template]]="","",Table132[[#This Row],[IP_NAME]]&amp;"_"&amp;Table132[[#This Row],[PARAM_NAME]]&amp;IF(Table132[[#This Row],[PARAM_SUB]]="","","_"&amp;Table132[[#This Row],[PARAM_SUB]]))</f>
        <v/>
      </c>
      <c r="P100" s="6"/>
      <c r="Q100" s="4"/>
      <c r="R100" s="6"/>
      <c r="T100" s="16"/>
      <c r="U100" s="6"/>
      <c r="X100" s="11" t="str">
        <f>IF(Table132[[#This Row],[template]]="","",VLOOKUP(Table132[[#This Row],[IP_NAME]],Table511175[],2,FALSE))</f>
        <v/>
      </c>
      <c r="Y100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/>
      </c>
      <c r="Z100" s="14" t="str">
        <f>IF(Table132[[#This Row],[template]]="","",HEX2DEC(Table132[[#This Row],[Addr_Hex]]))</f>
        <v/>
      </c>
    </row>
    <row r="101" spans="2:26" x14ac:dyDescent="0.3">
      <c r="B101" s="4">
        <v>400</v>
      </c>
      <c r="C101" s="4" t="s">
        <v>233</v>
      </c>
      <c r="D101" s="9" t="str">
        <f>UPPER(Table132[[#This Row],[SIGNAL]])</f>
        <v>EV_EVGW_RST</v>
      </c>
      <c r="E101" s="9" t="str">
        <f>IF(Table132[[#This Row],[template]]="","","0x"&amp;Table132[[#This Row],[IP_Index]]&amp;DEC2HEX(Table132[[#This Row],[Addr_Dec]]*4,7))</f>
        <v>0x100000C0</v>
      </c>
      <c r="F101" s="9" t="str">
        <f>IF(Table132[[#This Row],[template]]="","",VLOOKUP(Table132[[#This Row],[template]],Table29153[],2,FALSE))</f>
        <v>asynParamInt32</v>
      </c>
      <c r="G101" s="18" t="str">
        <f>IF(Table132[[#This Row],[template]]="","","1")</f>
        <v>1</v>
      </c>
      <c r="H101" s="10"/>
      <c r="I101" s="13" t="str">
        <f>IF(Table132[[#This Row],[template]]="","","0x"&amp;Table132[[#This Row],[D_Index]]&amp;"000")</f>
        <v>0x061F1000</v>
      </c>
      <c r="J101" s="18" t="s">
        <v>341</v>
      </c>
      <c r="K101" s="10">
        <v>0</v>
      </c>
      <c r="L101" s="11"/>
      <c r="M101" s="9" t="str">
        <f>IF(Table132[[#This Row],[template]]="","",Table132[[#This Row],[IP_NAME]]&amp;"_"&amp;Table132[[#This Row],[PARAM_NAME]]&amp;IF(Table132[[#This Row],[PARAM_SUB]]="","","_"&amp;Table132[[#This Row],[PARAM_SUB]]))</f>
        <v>ev_evgW_rst</v>
      </c>
      <c r="N101" s="1" t="s">
        <v>262</v>
      </c>
      <c r="O101" s="1" t="s">
        <v>327</v>
      </c>
      <c r="P101" s="6"/>
      <c r="Q101" s="4">
        <v>30</v>
      </c>
      <c r="R101" s="6" t="s">
        <v>363</v>
      </c>
      <c r="S101" s="1" t="s">
        <v>315</v>
      </c>
      <c r="T101" s="16">
        <v>31</v>
      </c>
      <c r="U101" s="6" t="s">
        <v>336</v>
      </c>
      <c r="X101" s="11">
        <f>IF(Table132[[#This Row],[template]]="","",VLOOKUP(Table132[[#This Row],[IP_NAME]],Table511175[],2,FALSE))</f>
        <v>1</v>
      </c>
      <c r="Y101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>061F1</v>
      </c>
      <c r="Z101" s="14">
        <f>IF(Table132[[#This Row],[template]]="","",HEX2DEC(Table132[[#This Row],[Addr_Hex]]))</f>
        <v>48</v>
      </c>
    </row>
    <row r="102" spans="2:26" x14ac:dyDescent="0.3">
      <c r="B102" s="4">
        <v>401</v>
      </c>
      <c r="C102" s="4" t="s">
        <v>233</v>
      </c>
      <c r="D102" s="9" t="str">
        <f>UPPER(Table132[[#This Row],[SIGNAL]])</f>
        <v>EV_IGEN_RST</v>
      </c>
      <c r="E102" s="9" t="str">
        <f>IF(Table132[[#This Row],[template]]="","","0x"&amp;Table132[[#This Row],[IP_Index]]&amp;DEC2HEX(Table132[[#This Row],[Addr_Dec]]*4,7))</f>
        <v>0x100000C0</v>
      </c>
      <c r="F102" s="9" t="str">
        <f>IF(Table132[[#This Row],[template]]="","",VLOOKUP(Table132[[#This Row],[template]],Table29153[],2,FALSE))</f>
        <v>asynParamInt32</v>
      </c>
      <c r="G102" s="18" t="str">
        <f>IF(Table132[[#This Row],[template]]="","","1")</f>
        <v>1</v>
      </c>
      <c r="H102" s="10"/>
      <c r="I102" s="13" t="str">
        <f>IF(Table132[[#This Row],[template]]="","","0x"&amp;Table132[[#This Row],[D_Index]]&amp;"000")</f>
        <v>0x061D1000</v>
      </c>
      <c r="J102" s="18" t="s">
        <v>341</v>
      </c>
      <c r="K102" s="10">
        <v>0</v>
      </c>
      <c r="L102" s="11"/>
      <c r="M102" s="9" t="str">
        <f>IF(Table132[[#This Row],[template]]="","",Table132[[#This Row],[IP_NAME]]&amp;"_"&amp;Table132[[#This Row],[PARAM_NAME]]&amp;IF(Table132[[#This Row],[PARAM_SUB]]="","","_"&amp;Table132[[#This Row],[PARAM_SUB]]))</f>
        <v>ev_igen_rst</v>
      </c>
      <c r="N102" s="1" t="s">
        <v>262</v>
      </c>
      <c r="O102" s="1" t="s">
        <v>328</v>
      </c>
      <c r="P102" s="6"/>
      <c r="Q102" s="4">
        <v>30</v>
      </c>
      <c r="R102" s="6" t="s">
        <v>363</v>
      </c>
      <c r="S102" s="1" t="s">
        <v>315</v>
      </c>
      <c r="T102" s="16">
        <v>29</v>
      </c>
      <c r="U102" s="6" t="s">
        <v>336</v>
      </c>
      <c r="X102" s="11">
        <f>IF(Table132[[#This Row],[template]]="","",VLOOKUP(Table132[[#This Row],[IP_NAME]],Table511175[],2,FALSE))</f>
        <v>1</v>
      </c>
      <c r="Y102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>061D1</v>
      </c>
      <c r="Z102" s="14">
        <f>IF(Table132[[#This Row],[template]]="","",HEX2DEC(Table132[[#This Row],[Addr_Hex]]))</f>
        <v>48</v>
      </c>
    </row>
    <row r="103" spans="2:26" x14ac:dyDescent="0.3">
      <c r="B103" s="4">
        <v>402</v>
      </c>
      <c r="C103" s="4" t="s">
        <v>233</v>
      </c>
      <c r="D103" s="9" t="str">
        <f>UPPER(Table132[[#This Row],[SIGNAL]])</f>
        <v>EV_IDEC_RST</v>
      </c>
      <c r="E103" s="9" t="str">
        <f>IF(Table132[[#This Row],[template]]="","","0x"&amp;Table132[[#This Row],[IP_Index]]&amp;DEC2HEX(Table132[[#This Row],[Addr_Dec]]*4,7))</f>
        <v>0x100000C0</v>
      </c>
      <c r="F103" s="9" t="str">
        <f>IF(Table132[[#This Row],[template]]="","",VLOOKUP(Table132[[#This Row],[template]],Table29153[],2,FALSE))</f>
        <v>asynParamInt32</v>
      </c>
      <c r="G103" s="18" t="str">
        <f>IF(Table132[[#This Row],[template]]="","","1")</f>
        <v>1</v>
      </c>
      <c r="H103" s="10"/>
      <c r="I103" s="13" t="str">
        <f>IF(Table132[[#This Row],[template]]="","","0x"&amp;Table132[[#This Row],[D_Index]]&amp;"000")</f>
        <v>0x061C1000</v>
      </c>
      <c r="J103" s="18" t="s">
        <v>341</v>
      </c>
      <c r="K103" s="10">
        <v>0</v>
      </c>
      <c r="L103" s="11"/>
      <c r="M103" s="9" t="str">
        <f>IF(Table132[[#This Row],[template]]="","",Table132[[#This Row],[IP_NAME]]&amp;"_"&amp;Table132[[#This Row],[PARAM_NAME]]&amp;IF(Table132[[#This Row],[PARAM_SUB]]="","","_"&amp;Table132[[#This Row],[PARAM_SUB]]))</f>
        <v>ev_idec_rst</v>
      </c>
      <c r="N103" s="1" t="s">
        <v>262</v>
      </c>
      <c r="O103" s="1" t="s">
        <v>329</v>
      </c>
      <c r="P103" s="6"/>
      <c r="Q103" s="4">
        <v>30</v>
      </c>
      <c r="R103" s="6" t="s">
        <v>363</v>
      </c>
      <c r="S103" s="1" t="s">
        <v>315</v>
      </c>
      <c r="T103" s="16">
        <v>28</v>
      </c>
      <c r="U103" s="6" t="s">
        <v>336</v>
      </c>
      <c r="X103" s="11">
        <f>IF(Table132[[#This Row],[template]]="","",VLOOKUP(Table132[[#This Row],[IP_NAME]],Table511175[],2,FALSE))</f>
        <v>1</v>
      </c>
      <c r="Y103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>061C1</v>
      </c>
      <c r="Z103" s="14">
        <f>IF(Table132[[#This Row],[template]]="","",HEX2DEC(Table132[[#This Row],[Addr_Hex]]))</f>
        <v>48</v>
      </c>
    </row>
    <row r="104" spans="2:26" x14ac:dyDescent="0.3">
      <c r="B104" s="4">
        <v>400</v>
      </c>
      <c r="C104" s="4" t="s">
        <v>233</v>
      </c>
      <c r="D104" s="9" t="str">
        <f>UPPER(Table132[[#This Row],[SIGNAL]])</f>
        <v>EV_TX_DBUSSEL_SET</v>
      </c>
      <c r="E104" s="9" t="str">
        <f>IF(Table132[[#This Row],[template]]="","","0x"&amp;Table132[[#This Row],[IP_Index]]&amp;DEC2HEX(Table132[[#This Row],[Addr_Dec]]*4,7))</f>
        <v>0x100000C0</v>
      </c>
      <c r="F104" s="9" t="str">
        <f>IF(Table132[[#This Row],[template]]="","",VLOOKUP(Table132[[#This Row],[template]],Table29153[],2,FALSE))</f>
        <v>asynParamInt32</v>
      </c>
      <c r="G104" s="18" t="str">
        <f>IF(Table132[[#This Row],[template]]="","","1")</f>
        <v>1</v>
      </c>
      <c r="H104" s="10"/>
      <c r="I104" s="13" t="str">
        <f>IF(Table132[[#This Row],[template]]="","","0x"&amp;Table132[[#This Row],[D_Index]]&amp;"000")</f>
        <v>0x06071000</v>
      </c>
      <c r="J104" s="18" t="s">
        <v>341</v>
      </c>
      <c r="K104" s="10">
        <v>0</v>
      </c>
      <c r="L104" s="11"/>
      <c r="M104" s="9" t="str">
        <f>IF(Table132[[#This Row],[template]]="","",Table132[[#This Row],[IP_NAME]]&amp;"_"&amp;Table132[[#This Row],[PARAM_NAME]]&amp;IF(Table132[[#This Row],[PARAM_SUB]]="","","_"&amp;Table132[[#This Row],[PARAM_SUB]]))</f>
        <v>ev_tx_DBusSel_set</v>
      </c>
      <c r="N104" s="1" t="s">
        <v>262</v>
      </c>
      <c r="O104" s="1" t="s">
        <v>330</v>
      </c>
      <c r="P104" s="6"/>
      <c r="Q104" s="4">
        <v>30</v>
      </c>
      <c r="R104" s="6" t="s">
        <v>363</v>
      </c>
      <c r="S104" s="1" t="s">
        <v>315</v>
      </c>
      <c r="T104" s="16">
        <v>7</v>
      </c>
      <c r="U104" s="6" t="s">
        <v>336</v>
      </c>
      <c r="X104" s="11">
        <f>IF(Table132[[#This Row],[template]]="","",VLOOKUP(Table132[[#This Row],[IP_NAME]],Table511175[],2,FALSE))</f>
        <v>1</v>
      </c>
      <c r="Y104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>06071</v>
      </c>
      <c r="Z104" s="14">
        <f>IF(Table132[[#This Row],[template]]="","",HEX2DEC(Table132[[#This Row],[Addr_Hex]]))</f>
        <v>48</v>
      </c>
    </row>
    <row r="105" spans="2:26" x14ac:dyDescent="0.3">
      <c r="B105" s="4">
        <v>401</v>
      </c>
      <c r="C105" s="4" t="s">
        <v>233</v>
      </c>
      <c r="D105" s="9" t="str">
        <f>UPPER(Table132[[#This Row],[SIGNAL]])</f>
        <v>EV_EVSRC_SET</v>
      </c>
      <c r="E105" s="9" t="str">
        <f>IF(Table132[[#This Row],[template]]="","","0x"&amp;Table132[[#This Row],[IP_Index]]&amp;DEC2HEX(Table132[[#This Row],[Addr_Dec]]*4,7))</f>
        <v>0x100000C0</v>
      </c>
      <c r="F105" s="9" t="str">
        <f>IF(Table132[[#This Row],[template]]="","",VLOOKUP(Table132[[#This Row],[template]],Table29153[],2,FALSE))</f>
        <v>asynParamInt32</v>
      </c>
      <c r="G105" s="18" t="str">
        <f>IF(Table132[[#This Row],[template]]="","","1")</f>
        <v>1</v>
      </c>
      <c r="H105" s="10"/>
      <c r="I105" s="13" t="str">
        <f>IF(Table132[[#This Row],[template]]="","","0x"&amp;Table132[[#This Row],[D_Index]]&amp;"000")</f>
        <v>0x06061000</v>
      </c>
      <c r="J105" s="18" t="s">
        <v>341</v>
      </c>
      <c r="K105" s="10">
        <v>0</v>
      </c>
      <c r="L105" s="11"/>
      <c r="M105" s="9" t="str">
        <f>IF(Table132[[#This Row],[template]]="","",Table132[[#This Row],[IP_NAME]]&amp;"_"&amp;Table132[[#This Row],[PARAM_NAME]]&amp;IF(Table132[[#This Row],[PARAM_SUB]]="","","_"&amp;Table132[[#This Row],[PARAM_SUB]]))</f>
        <v>ev_evSrc_set</v>
      </c>
      <c r="N105" s="1" t="s">
        <v>262</v>
      </c>
      <c r="O105" s="1" t="s">
        <v>331</v>
      </c>
      <c r="P105" s="6"/>
      <c r="Q105" s="4">
        <v>30</v>
      </c>
      <c r="R105" s="6" t="s">
        <v>363</v>
      </c>
      <c r="S105" s="1" t="s">
        <v>315</v>
      </c>
      <c r="T105" s="16">
        <v>6</v>
      </c>
      <c r="U105" s="6" t="s">
        <v>336</v>
      </c>
      <c r="X105" s="11">
        <f>IF(Table132[[#This Row],[template]]="","",VLOOKUP(Table132[[#This Row],[IP_NAME]],Table511175[],2,FALSE))</f>
        <v>1</v>
      </c>
      <c r="Y105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>06061</v>
      </c>
      <c r="Z105" s="14">
        <f>IF(Table132[[#This Row],[template]]="","",HEX2DEC(Table132[[#This Row],[Addr_Hex]]))</f>
        <v>48</v>
      </c>
    </row>
    <row r="106" spans="2:26" x14ac:dyDescent="0.3">
      <c r="B106" s="4">
        <v>402</v>
      </c>
      <c r="C106" s="4" t="s">
        <v>233</v>
      </c>
      <c r="D106" s="9" t="str">
        <f>UPPER(Table132[[#This Row],[SIGNAL]])</f>
        <v>EV_USRTRG</v>
      </c>
      <c r="E106" s="9" t="str">
        <f>IF(Table132[[#This Row],[template]]="","","0x"&amp;Table132[[#This Row],[IP_Index]]&amp;DEC2HEX(Table132[[#This Row],[Addr_Dec]]*4,7))</f>
        <v>0x100000C0</v>
      </c>
      <c r="F106" s="9" t="str">
        <f>IF(Table132[[#This Row],[template]]="","",VLOOKUP(Table132[[#This Row],[template]],Table29153[],2,FALSE))</f>
        <v>asynParamInt32</v>
      </c>
      <c r="G106" s="18" t="str">
        <f>IF(Table132[[#This Row],[template]]="","","1")</f>
        <v>1</v>
      </c>
      <c r="H106" s="10"/>
      <c r="I106" s="13" t="str">
        <f>IF(Table132[[#This Row],[template]]="","","0x"&amp;Table132[[#This Row],[D_Index]]&amp;"000")</f>
        <v>0x06051000</v>
      </c>
      <c r="J106" s="18" t="s">
        <v>341</v>
      </c>
      <c r="K106" s="10">
        <v>0</v>
      </c>
      <c r="L106" s="11"/>
      <c r="M106" s="9" t="str">
        <f>IF(Table132[[#This Row],[template]]="","",Table132[[#This Row],[IP_NAME]]&amp;"_"&amp;Table132[[#This Row],[PARAM_NAME]]&amp;IF(Table132[[#This Row],[PARAM_SUB]]="","","_"&amp;Table132[[#This Row],[PARAM_SUB]]))</f>
        <v>ev_usrTrg</v>
      </c>
      <c r="N106" s="1" t="s">
        <v>262</v>
      </c>
      <c r="O106" s="1" t="s">
        <v>332</v>
      </c>
      <c r="P106" s="6"/>
      <c r="Q106" s="4">
        <v>30</v>
      </c>
      <c r="R106" s="6" t="s">
        <v>363</v>
      </c>
      <c r="S106" s="1" t="s">
        <v>315</v>
      </c>
      <c r="T106" s="16">
        <v>5</v>
      </c>
      <c r="U106" s="6" t="s">
        <v>336</v>
      </c>
      <c r="X106" s="11">
        <f>IF(Table132[[#This Row],[template]]="","",VLOOKUP(Table132[[#This Row],[IP_NAME]],Table511175[],2,FALSE))</f>
        <v>1</v>
      </c>
      <c r="Y106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>06051</v>
      </c>
      <c r="Z106" s="14">
        <f>IF(Table132[[#This Row],[template]]="","",HEX2DEC(Table132[[#This Row],[Addr_Hex]]))</f>
        <v>48</v>
      </c>
    </row>
    <row r="107" spans="2:26" x14ac:dyDescent="0.3">
      <c r="B107" s="4">
        <v>400</v>
      </c>
      <c r="C107" s="4" t="s">
        <v>233</v>
      </c>
      <c r="D107" s="9" t="str">
        <f>UPPER(Table132[[#This Row],[SIGNAL]])</f>
        <v>EV_GETTIME</v>
      </c>
      <c r="E107" s="9" t="str">
        <f>IF(Table132[[#This Row],[template]]="","","0x"&amp;Table132[[#This Row],[IP_Index]]&amp;DEC2HEX(Table132[[#This Row],[Addr_Dec]]*4,7))</f>
        <v>0x100000C0</v>
      </c>
      <c r="F107" s="9" t="str">
        <f>IF(Table132[[#This Row],[template]]="","",VLOOKUP(Table132[[#This Row],[template]],Table29153[],2,FALSE))</f>
        <v>asynParamInt32</v>
      </c>
      <c r="G107" s="18" t="str">
        <f>IF(Table132[[#This Row],[template]]="","","1")</f>
        <v>1</v>
      </c>
      <c r="H107" s="10"/>
      <c r="I107" s="13" t="str">
        <f>IF(Table132[[#This Row],[template]]="","","0x"&amp;Table132[[#This Row],[D_Index]]&amp;"000")</f>
        <v>0x06041000</v>
      </c>
      <c r="J107" s="18" t="s">
        <v>341</v>
      </c>
      <c r="K107" s="10">
        <v>0</v>
      </c>
      <c r="L107" s="11"/>
      <c r="M107" s="9" t="str">
        <f>IF(Table132[[#This Row],[template]]="","",Table132[[#This Row],[IP_NAME]]&amp;"_"&amp;Table132[[#This Row],[PARAM_NAME]]&amp;IF(Table132[[#This Row],[PARAM_SUB]]="","","_"&amp;Table132[[#This Row],[PARAM_SUB]]))</f>
        <v>ev_getTime</v>
      </c>
      <c r="N107" s="1" t="s">
        <v>262</v>
      </c>
      <c r="O107" s="1" t="s">
        <v>333</v>
      </c>
      <c r="P107" s="6"/>
      <c r="Q107" s="4">
        <v>30</v>
      </c>
      <c r="R107" s="6" t="s">
        <v>363</v>
      </c>
      <c r="S107" s="1" t="s">
        <v>315</v>
      </c>
      <c r="T107" s="16">
        <v>4</v>
      </c>
      <c r="U107" s="6" t="s">
        <v>336</v>
      </c>
      <c r="X107" s="11">
        <f>IF(Table132[[#This Row],[template]]="","",VLOOKUP(Table132[[#This Row],[IP_NAME]],Table511175[],2,FALSE))</f>
        <v>1</v>
      </c>
      <c r="Y107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>06041</v>
      </c>
      <c r="Z107" s="14">
        <f>IF(Table132[[#This Row],[template]]="","",HEX2DEC(Table132[[#This Row],[Addr_Hex]]))</f>
        <v>48</v>
      </c>
    </row>
    <row r="108" spans="2:26" x14ac:dyDescent="0.3">
      <c r="B108" s="4">
        <v>401</v>
      </c>
      <c r="C108" s="4" t="s">
        <v>233</v>
      </c>
      <c r="D108" s="9" t="str">
        <f>UPPER(Table132[[#This Row],[SIGNAL]])</f>
        <v>EV_IGEN_SET_TIME</v>
      </c>
      <c r="E108" s="9" t="str">
        <f>IF(Table132[[#This Row],[template]]="","","0x"&amp;Table132[[#This Row],[IP_Index]]&amp;DEC2HEX(Table132[[#This Row],[Addr_Dec]]*4,7))</f>
        <v>0x100000C0</v>
      </c>
      <c r="F108" s="9" t="str">
        <f>IF(Table132[[#This Row],[template]]="","",VLOOKUP(Table132[[#This Row],[template]],Table29153[],2,FALSE))</f>
        <v>asynParamInt32</v>
      </c>
      <c r="G108" s="18" t="str">
        <f>IF(Table132[[#This Row],[template]]="","","1")</f>
        <v>1</v>
      </c>
      <c r="H108" s="10"/>
      <c r="I108" s="13" t="str">
        <f>IF(Table132[[#This Row],[template]]="","","0x"&amp;Table132[[#This Row],[D_Index]]&amp;"000")</f>
        <v>0x06031000</v>
      </c>
      <c r="J108" s="18" t="s">
        <v>341</v>
      </c>
      <c r="K108" s="10">
        <v>0</v>
      </c>
      <c r="L108" s="11"/>
      <c r="M108" s="9" t="str">
        <f>IF(Table132[[#This Row],[template]]="","",Table132[[#This Row],[IP_NAME]]&amp;"_"&amp;Table132[[#This Row],[PARAM_NAME]]&amp;IF(Table132[[#This Row],[PARAM_SUB]]="","","_"&amp;Table132[[#This Row],[PARAM_SUB]]))</f>
        <v>ev_igen_set_time</v>
      </c>
      <c r="N108" s="1" t="s">
        <v>262</v>
      </c>
      <c r="O108" s="1" t="s">
        <v>334</v>
      </c>
      <c r="P108" s="6"/>
      <c r="Q108" s="4">
        <v>30</v>
      </c>
      <c r="R108" s="6" t="s">
        <v>363</v>
      </c>
      <c r="S108" s="1" t="s">
        <v>315</v>
      </c>
      <c r="T108" s="16">
        <v>3</v>
      </c>
      <c r="U108" s="6" t="s">
        <v>336</v>
      </c>
      <c r="X108" s="11">
        <f>IF(Table132[[#This Row],[template]]="","",VLOOKUP(Table132[[#This Row],[IP_NAME]],Table511175[],2,FALSE))</f>
        <v>1</v>
      </c>
      <c r="Y108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>06031</v>
      </c>
      <c r="Z108" s="14">
        <f>IF(Table132[[#This Row],[template]]="","",HEX2DEC(Table132[[#This Row],[Addr_Hex]]))</f>
        <v>48</v>
      </c>
    </row>
    <row r="109" spans="2:26" x14ac:dyDescent="0.3">
      <c r="B109" s="4">
        <v>402</v>
      </c>
      <c r="C109" s="4" t="s">
        <v>233</v>
      </c>
      <c r="D109" s="9" t="str">
        <f>UPPER(Table132[[#This Row],[SIGNAL]])</f>
        <v>EV_SW_EVGW_SET_TIME</v>
      </c>
      <c r="E109" s="9" t="str">
        <f>IF(Table132[[#This Row],[template]]="","","0x"&amp;Table132[[#This Row],[IP_Index]]&amp;DEC2HEX(Table132[[#This Row],[Addr_Dec]]*4,7))</f>
        <v>0x100000C0</v>
      </c>
      <c r="F109" s="9" t="str">
        <f>IF(Table132[[#This Row],[template]]="","",VLOOKUP(Table132[[#This Row],[template]],Table29153[],2,FALSE))</f>
        <v>asynParamInt32</v>
      </c>
      <c r="G109" s="18" t="str">
        <f>IF(Table132[[#This Row],[template]]="","","1")</f>
        <v>1</v>
      </c>
      <c r="H109" s="10"/>
      <c r="I109" s="13" t="str">
        <f>IF(Table132[[#This Row],[template]]="","","0x"&amp;Table132[[#This Row],[D_Index]]&amp;"000")</f>
        <v>0x06021000</v>
      </c>
      <c r="J109" s="18" t="s">
        <v>341</v>
      </c>
      <c r="K109" s="10">
        <v>0</v>
      </c>
      <c r="L109" s="11"/>
      <c r="M109" s="9" t="str">
        <f>IF(Table132[[#This Row],[template]]="","",Table132[[#This Row],[IP_NAME]]&amp;"_"&amp;Table132[[#This Row],[PARAM_NAME]]&amp;IF(Table132[[#This Row],[PARAM_SUB]]="","","_"&amp;Table132[[#This Row],[PARAM_SUB]]))</f>
        <v>ev_sw_evgW_set_time</v>
      </c>
      <c r="N109" s="1" t="s">
        <v>262</v>
      </c>
      <c r="O109" s="1" t="s">
        <v>335</v>
      </c>
      <c r="P109" s="6"/>
      <c r="Q109" s="4">
        <v>30</v>
      </c>
      <c r="R109" s="6" t="s">
        <v>363</v>
      </c>
      <c r="S109" s="1" t="s">
        <v>315</v>
      </c>
      <c r="T109" s="16">
        <v>2</v>
      </c>
      <c r="U109" s="6" t="s">
        <v>336</v>
      </c>
      <c r="X109" s="11">
        <f>IF(Table132[[#This Row],[template]]="","",VLOOKUP(Table132[[#This Row],[IP_NAME]],Table511175[],2,FALSE))</f>
        <v>1</v>
      </c>
      <c r="Y109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>06021</v>
      </c>
      <c r="Z109" s="14">
        <f>IF(Table132[[#This Row],[template]]="","",HEX2DEC(Table132[[#This Row],[Addr_Hex]]))</f>
        <v>48</v>
      </c>
    </row>
    <row r="110" spans="2:26" x14ac:dyDescent="0.3">
      <c r="B110" s="4">
        <v>400</v>
      </c>
      <c r="C110" s="4" t="s">
        <v>233</v>
      </c>
      <c r="D110" s="9" t="str">
        <f>UPPER(Table132[[#This Row],[SIGNAL]])</f>
        <v>EV_SEQTRG_RESUME_0</v>
      </c>
      <c r="E110" s="9" t="str">
        <f>IF(Table132[[#This Row],[template]]="","","0x"&amp;Table132[[#This Row],[IP_Index]]&amp;DEC2HEX(Table132[[#This Row],[Addr_Dec]]*4,7))</f>
        <v>0x100000C0</v>
      </c>
      <c r="F110" s="9" t="str">
        <f>IF(Table132[[#This Row],[template]]="","",VLOOKUP(Table132[[#This Row],[template]],Table29153[],2,FALSE))</f>
        <v>asynParamInt32</v>
      </c>
      <c r="G110" s="18" t="str">
        <f>IF(Table132[[#This Row],[template]]="","","1")</f>
        <v>1</v>
      </c>
      <c r="H110" s="10"/>
      <c r="I110" s="13" t="str">
        <f>IF(Table132[[#This Row],[template]]="","","0x"&amp;Table132[[#This Row],[D_Index]]&amp;"000")</f>
        <v>0x06011000</v>
      </c>
      <c r="J110" s="18" t="s">
        <v>341</v>
      </c>
      <c r="K110" s="10">
        <v>0</v>
      </c>
      <c r="L110" s="11"/>
      <c r="M110" s="9" t="str">
        <f>IF(Table132[[#This Row],[template]]="","",Table132[[#This Row],[IP_NAME]]&amp;"_"&amp;Table132[[#This Row],[PARAM_NAME]]&amp;IF(Table132[[#This Row],[PARAM_SUB]]="","","_"&amp;Table132[[#This Row],[PARAM_SUB]]))</f>
        <v>ev_seqTrg_resume_0</v>
      </c>
      <c r="N110" s="1" t="s">
        <v>262</v>
      </c>
      <c r="O110" s="1" t="s">
        <v>382</v>
      </c>
      <c r="P110" s="6" t="s">
        <v>367</v>
      </c>
      <c r="Q110" s="4">
        <v>30</v>
      </c>
      <c r="R110" s="6" t="s">
        <v>363</v>
      </c>
      <c r="S110" s="1" t="s">
        <v>315</v>
      </c>
      <c r="T110" s="16">
        <v>1</v>
      </c>
      <c r="U110" s="6" t="s">
        <v>336</v>
      </c>
      <c r="X110" s="11">
        <f>IF(Table132[[#This Row],[template]]="","",VLOOKUP(Table132[[#This Row],[IP_NAME]],Table511175[],2,FALSE))</f>
        <v>1</v>
      </c>
      <c r="Y110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>06011</v>
      </c>
      <c r="Z110" s="14">
        <f>IF(Table132[[#This Row],[template]]="","",HEX2DEC(Table132[[#This Row],[Addr_Hex]]))</f>
        <v>48</v>
      </c>
    </row>
    <row r="111" spans="2:26" x14ac:dyDescent="0.3">
      <c r="B111" s="4">
        <v>401</v>
      </c>
      <c r="C111" s="4" t="s">
        <v>233</v>
      </c>
      <c r="D111" s="9" t="str">
        <f>UPPER(Table132[[#This Row],[SIGNAL]])</f>
        <v>EV_SEQTRG_RESUME_1</v>
      </c>
      <c r="E111" s="9" t="str">
        <f>IF(Table132[[#This Row],[template]]="","","0x"&amp;Table132[[#This Row],[IP_Index]]&amp;DEC2HEX(Table132[[#This Row],[Addr_Dec]]*4,7))</f>
        <v>0x100000C0</v>
      </c>
      <c r="F111" s="9" t="str">
        <f>IF(Table132[[#This Row],[template]]="","",VLOOKUP(Table132[[#This Row],[template]],Table29153[],2,FALSE))</f>
        <v>asynParamInt32</v>
      </c>
      <c r="G111" s="18" t="str">
        <f>IF(Table132[[#This Row],[template]]="","","1")</f>
        <v>1</v>
      </c>
      <c r="H111" s="10"/>
      <c r="I111" s="13" t="str">
        <f>IF(Table132[[#This Row],[template]]="","","0x"&amp;Table132[[#This Row],[D_Index]]&amp;"000")</f>
        <v>0x06001000</v>
      </c>
      <c r="J111" s="18" t="s">
        <v>341</v>
      </c>
      <c r="K111" s="10">
        <v>0</v>
      </c>
      <c r="L111" s="11"/>
      <c r="M111" s="9" t="str">
        <f>IF(Table132[[#This Row],[template]]="","",Table132[[#This Row],[IP_NAME]]&amp;"_"&amp;Table132[[#This Row],[PARAM_NAME]]&amp;IF(Table132[[#This Row],[PARAM_SUB]]="","","_"&amp;Table132[[#This Row],[PARAM_SUB]]))</f>
        <v>ev_seqTrg_resume_1</v>
      </c>
      <c r="N111" s="1" t="s">
        <v>262</v>
      </c>
      <c r="O111" s="1" t="s">
        <v>382</v>
      </c>
      <c r="P111" s="6" t="s">
        <v>271</v>
      </c>
      <c r="Q111" s="4">
        <v>30</v>
      </c>
      <c r="R111" s="6" t="s">
        <v>363</v>
      </c>
      <c r="S111" s="1" t="s">
        <v>315</v>
      </c>
      <c r="T111" s="16">
        <v>0</v>
      </c>
      <c r="U111" s="6" t="s">
        <v>336</v>
      </c>
      <c r="X111" s="11">
        <f>IF(Table132[[#This Row],[template]]="","",VLOOKUP(Table132[[#This Row],[IP_NAME]],Table511175[],2,FALSE))</f>
        <v>1</v>
      </c>
      <c r="Y111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>06001</v>
      </c>
      <c r="Z111" s="14">
        <f>IF(Table132[[#This Row],[template]]="","",HEX2DEC(Table132[[#This Row],[Addr_Hex]]))</f>
        <v>48</v>
      </c>
    </row>
    <row r="112" spans="2:26" x14ac:dyDescent="0.3">
      <c r="B112" s="4">
        <v>402</v>
      </c>
      <c r="C112" s="4"/>
      <c r="D112" s="9" t="str">
        <f>UPPER(Table132[[#This Row],[SIGNAL]])</f>
        <v/>
      </c>
      <c r="E112" s="9" t="str">
        <f>IF(Table132[[#This Row],[template]]="","","0x"&amp;Table132[[#This Row],[IP_Index]]&amp;DEC2HEX(Table132[[#This Row],[Addr_Dec]]*4,7))</f>
        <v/>
      </c>
      <c r="F112" s="9" t="str">
        <f>IF(Table132[[#This Row],[template]]="","",VLOOKUP(Table132[[#This Row],[template]],Table29153[],2,FALSE))</f>
        <v/>
      </c>
      <c r="G112" s="18" t="str">
        <f>IF(Table132[[#This Row],[template]]="","","1")</f>
        <v/>
      </c>
      <c r="H112" s="10"/>
      <c r="I112" s="13" t="str">
        <f>IF(Table132[[#This Row],[template]]="","","0x"&amp;Table132[[#This Row],[D_Index]]&amp;"000")</f>
        <v/>
      </c>
      <c r="J112" s="18"/>
      <c r="K112" s="10">
        <v>0</v>
      </c>
      <c r="L112" s="11"/>
      <c r="M112" s="9" t="str">
        <f>IF(Table132[[#This Row],[template]]="","",Table132[[#This Row],[IP_NAME]]&amp;"_"&amp;Table132[[#This Row],[PARAM_NAME]]&amp;IF(Table132[[#This Row],[PARAM_SUB]]="","","_"&amp;Table132[[#This Row],[PARAM_SUB]]))</f>
        <v/>
      </c>
      <c r="P112" s="6"/>
      <c r="Q112" s="4"/>
      <c r="R112" s="6"/>
      <c r="T112" s="16"/>
      <c r="U112" s="6"/>
      <c r="X112" s="11" t="str">
        <f>IF(Table132[[#This Row],[template]]="","",VLOOKUP(Table132[[#This Row],[IP_NAME]],Table511175[],2,FALSE))</f>
        <v/>
      </c>
      <c r="Y112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/>
      </c>
      <c r="Z112" s="14" t="str">
        <f>IF(Table132[[#This Row],[template]]="","",HEX2DEC(Table132[[#This Row],[Addr_Hex]]))</f>
        <v/>
      </c>
    </row>
    <row r="113" spans="2:26" x14ac:dyDescent="0.3">
      <c r="B113" s="4">
        <v>400</v>
      </c>
      <c r="C113" s="4" t="s">
        <v>233</v>
      </c>
      <c r="D113" s="9" t="str">
        <f>UPPER(Table132[[#This Row],[SIGNAL]])</f>
        <v>EV_TXENABLE_DBUS</v>
      </c>
      <c r="E113" s="9" t="str">
        <f>IF(Table132[[#This Row],[template]]="","","0x"&amp;Table132[[#This Row],[IP_Index]]&amp;DEC2HEX(Table132[[#This Row],[Addr_Dec]]*4,7))</f>
        <v>0x100000E0</v>
      </c>
      <c r="F113" s="9" t="str">
        <f>IF(Table132[[#This Row],[template]]="","",VLOOKUP(Table132[[#This Row],[template]],Table29153[],2,FALSE))</f>
        <v>asynParamInt32</v>
      </c>
      <c r="G113" s="18" t="str">
        <f>IF(Table132[[#This Row],[template]]="","","1")</f>
        <v>1</v>
      </c>
      <c r="H113" s="10"/>
      <c r="I113" s="13" t="str">
        <f>IF(Table132[[#This Row],[template]]="","","0x"&amp;Table132[[#This Row],[D_Index]]&amp;"000")</f>
        <v>0x061F0000</v>
      </c>
      <c r="J113" s="18" t="s">
        <v>341</v>
      </c>
      <c r="K113" s="10">
        <v>0</v>
      </c>
      <c r="L113" s="11"/>
      <c r="M113" s="9" t="str">
        <f>IF(Table132[[#This Row],[template]]="","",Table132[[#This Row],[IP_NAME]]&amp;"_"&amp;Table132[[#This Row],[PARAM_NAME]]&amp;IF(Table132[[#This Row],[PARAM_SUB]]="","","_"&amp;Table132[[#This Row],[PARAM_SUB]]))</f>
        <v>ev_txEnable_Dbus</v>
      </c>
      <c r="N113" s="1" t="s">
        <v>262</v>
      </c>
      <c r="O113" s="1" t="s">
        <v>383</v>
      </c>
      <c r="P113" s="6"/>
      <c r="Q113" s="4">
        <v>38</v>
      </c>
      <c r="R113" s="6" t="s">
        <v>363</v>
      </c>
      <c r="S113" s="1" t="s">
        <v>315</v>
      </c>
      <c r="T113" s="16">
        <v>31</v>
      </c>
      <c r="U113" s="6" t="s">
        <v>363</v>
      </c>
      <c r="X113" s="11">
        <f>IF(Table132[[#This Row],[template]]="","",VLOOKUP(Table132[[#This Row],[IP_NAME]],Table511175[],2,FALSE))</f>
        <v>1</v>
      </c>
      <c r="Y113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>061F0</v>
      </c>
      <c r="Z113" s="14">
        <f>IF(Table132[[#This Row],[template]]="","",HEX2DEC(Table132[[#This Row],[Addr_Hex]]))</f>
        <v>56</v>
      </c>
    </row>
    <row r="114" spans="2:26" x14ac:dyDescent="0.3">
      <c r="B114" s="4">
        <v>401</v>
      </c>
      <c r="C114" s="4" t="s">
        <v>233</v>
      </c>
      <c r="D114" s="9" t="str">
        <f>UPPER(Table132[[#This Row],[SIGNAL]])</f>
        <v>EV_TXENABLE_EVCODEA</v>
      </c>
      <c r="E114" s="9" t="str">
        <f>IF(Table132[[#This Row],[template]]="","","0x"&amp;Table132[[#This Row],[IP_Index]]&amp;DEC2HEX(Table132[[#This Row],[Addr_Dec]]*4,7))</f>
        <v>0x100000E0</v>
      </c>
      <c r="F114" s="9" t="str">
        <f>IF(Table132[[#This Row],[template]]="","",VLOOKUP(Table132[[#This Row],[template]],Table29153[],2,FALSE))</f>
        <v>asynParamInt32</v>
      </c>
      <c r="G114" s="18" t="str">
        <f>IF(Table132[[#This Row],[template]]="","","1")</f>
        <v>1</v>
      </c>
      <c r="H114" s="10"/>
      <c r="I114" s="13" t="str">
        <f>IF(Table132[[#This Row],[template]]="","","0x"&amp;Table132[[#This Row],[D_Index]]&amp;"000")</f>
        <v>0x061E0000</v>
      </c>
      <c r="J114" s="18" t="s">
        <v>341</v>
      </c>
      <c r="K114" s="10">
        <v>0</v>
      </c>
      <c r="L114" s="11"/>
      <c r="M114" s="9" t="str">
        <f>IF(Table132[[#This Row],[template]]="","",Table132[[#This Row],[IP_NAME]]&amp;"_"&amp;Table132[[#This Row],[PARAM_NAME]]&amp;IF(Table132[[#This Row],[PARAM_SUB]]="","","_"&amp;Table132[[#This Row],[PARAM_SUB]]))</f>
        <v>ev_txEnable_evCodeA</v>
      </c>
      <c r="N114" s="1" t="s">
        <v>262</v>
      </c>
      <c r="O114" s="1" t="s">
        <v>384</v>
      </c>
      <c r="P114" s="6"/>
      <c r="Q114" s="4">
        <v>38</v>
      </c>
      <c r="R114" s="6" t="s">
        <v>363</v>
      </c>
      <c r="S114" s="1" t="s">
        <v>315</v>
      </c>
      <c r="T114" s="16">
        <v>30</v>
      </c>
      <c r="U114" s="6" t="s">
        <v>363</v>
      </c>
      <c r="X114" s="11">
        <f>IF(Table132[[#This Row],[template]]="","",VLOOKUP(Table132[[#This Row],[IP_NAME]],Table511175[],2,FALSE))</f>
        <v>1</v>
      </c>
      <c r="Y114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>061E0</v>
      </c>
      <c r="Z114" s="14">
        <f>IF(Table132[[#This Row],[template]]="","",HEX2DEC(Table132[[#This Row],[Addr_Hex]]))</f>
        <v>56</v>
      </c>
    </row>
    <row r="115" spans="2:26" x14ac:dyDescent="0.3">
      <c r="B115" s="4">
        <v>402</v>
      </c>
      <c r="C115" s="4" t="s">
        <v>233</v>
      </c>
      <c r="D115" s="9" t="str">
        <f>UPPER(Table132[[#This Row],[SIGNAL]])</f>
        <v>EV_TXENABLE_EVCODEB</v>
      </c>
      <c r="E115" s="9" t="str">
        <f>IF(Table132[[#This Row],[template]]="","","0x"&amp;Table132[[#This Row],[IP_Index]]&amp;DEC2HEX(Table132[[#This Row],[Addr_Dec]]*4,7))</f>
        <v>0x100000E0</v>
      </c>
      <c r="F115" s="9" t="str">
        <f>IF(Table132[[#This Row],[template]]="","",VLOOKUP(Table132[[#This Row],[template]],Table29153[],2,FALSE))</f>
        <v>asynParamInt32</v>
      </c>
      <c r="G115" s="18" t="str">
        <f>IF(Table132[[#This Row],[template]]="","","1")</f>
        <v>1</v>
      </c>
      <c r="H115" s="10"/>
      <c r="I115" s="13" t="str">
        <f>IF(Table132[[#This Row],[template]]="","","0x"&amp;Table132[[#This Row],[D_Index]]&amp;"000")</f>
        <v>0x061D0000</v>
      </c>
      <c r="J115" s="18" t="s">
        <v>341</v>
      </c>
      <c r="K115" s="10">
        <v>0</v>
      </c>
      <c r="L115" s="11"/>
      <c r="M115" s="9" t="str">
        <f>IF(Table132[[#This Row],[template]]="","",Table132[[#This Row],[IP_NAME]]&amp;"_"&amp;Table132[[#This Row],[PARAM_NAME]]&amp;IF(Table132[[#This Row],[PARAM_SUB]]="","","_"&amp;Table132[[#This Row],[PARAM_SUB]]))</f>
        <v>ev_txEnable_evCodeB</v>
      </c>
      <c r="N115" s="1" t="s">
        <v>262</v>
      </c>
      <c r="O115" s="1" t="s">
        <v>385</v>
      </c>
      <c r="P115" s="6"/>
      <c r="Q115" s="4">
        <v>38</v>
      </c>
      <c r="R115" s="6" t="s">
        <v>363</v>
      </c>
      <c r="S115" s="1" t="s">
        <v>315</v>
      </c>
      <c r="T115" s="16">
        <v>29</v>
      </c>
      <c r="U115" s="6" t="s">
        <v>363</v>
      </c>
      <c r="X115" s="11">
        <f>IF(Table132[[#This Row],[template]]="","",VLOOKUP(Table132[[#This Row],[IP_NAME]],Table511175[],2,FALSE))</f>
        <v>1</v>
      </c>
      <c r="Y115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>061D0</v>
      </c>
      <c r="Z115" s="14">
        <f>IF(Table132[[#This Row],[template]]="","",HEX2DEC(Table132[[#This Row],[Addr_Hex]]))</f>
        <v>56</v>
      </c>
    </row>
    <row r="116" spans="2:26" x14ac:dyDescent="0.3">
      <c r="B116" s="4">
        <v>400</v>
      </c>
      <c r="C116" s="4" t="s">
        <v>233</v>
      </c>
      <c r="D116" s="9" t="str">
        <f>UPPER(Table132[[#This Row],[SIGNAL]])</f>
        <v>EV_TXENABLE_MEVCODEA</v>
      </c>
      <c r="E116" s="9" t="str">
        <f>IF(Table132[[#This Row],[template]]="","","0x"&amp;Table132[[#This Row],[IP_Index]]&amp;DEC2HEX(Table132[[#This Row],[Addr_Dec]]*4,7))</f>
        <v>0x100000E0</v>
      </c>
      <c r="F116" s="9" t="str">
        <f>IF(Table132[[#This Row],[template]]="","",VLOOKUP(Table132[[#This Row],[template]],Table29153[],2,FALSE))</f>
        <v>asynParamInt32</v>
      </c>
      <c r="G116" s="18" t="str">
        <f>IF(Table132[[#This Row],[template]]="","","1")</f>
        <v>1</v>
      </c>
      <c r="H116" s="10"/>
      <c r="I116" s="13" t="str">
        <f>IF(Table132[[#This Row],[template]]="","","0x"&amp;Table132[[#This Row],[D_Index]]&amp;"000")</f>
        <v>0x061C0000</v>
      </c>
      <c r="J116" s="18" t="s">
        <v>341</v>
      </c>
      <c r="K116" s="10">
        <v>0</v>
      </c>
      <c r="L116" s="11"/>
      <c r="M116" s="9" t="str">
        <f>IF(Table132[[#This Row],[template]]="","",Table132[[#This Row],[IP_NAME]]&amp;"_"&amp;Table132[[#This Row],[PARAM_NAME]]&amp;IF(Table132[[#This Row],[PARAM_SUB]]="","","_"&amp;Table132[[#This Row],[PARAM_SUB]]))</f>
        <v>ev_txEnable_mevCodeA</v>
      </c>
      <c r="N116" s="1" t="s">
        <v>262</v>
      </c>
      <c r="O116" s="1" t="s">
        <v>386</v>
      </c>
      <c r="P116" s="6"/>
      <c r="Q116" s="4">
        <v>38</v>
      </c>
      <c r="R116" s="6" t="s">
        <v>363</v>
      </c>
      <c r="S116" s="1" t="s">
        <v>315</v>
      </c>
      <c r="T116" s="16">
        <v>28</v>
      </c>
      <c r="U116" s="6" t="s">
        <v>363</v>
      </c>
      <c r="X116" s="11">
        <f>IF(Table132[[#This Row],[template]]="","",VLOOKUP(Table132[[#This Row],[IP_NAME]],Table511175[],2,FALSE))</f>
        <v>1</v>
      </c>
      <c r="Y116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>061C0</v>
      </c>
      <c r="Z116" s="14">
        <f>IF(Table132[[#This Row],[template]]="","",HEX2DEC(Table132[[#This Row],[Addr_Hex]]))</f>
        <v>56</v>
      </c>
    </row>
    <row r="117" spans="2:26" x14ac:dyDescent="0.3">
      <c r="B117" s="4">
        <v>401</v>
      </c>
      <c r="C117" s="4" t="s">
        <v>233</v>
      </c>
      <c r="D117" s="9" t="str">
        <f>UPPER(Table132[[#This Row],[SIGNAL]])</f>
        <v>EV_SEQTRG_EN_0</v>
      </c>
      <c r="E117" s="9" t="str">
        <f>IF(Table132[[#This Row],[template]]="","","0x"&amp;Table132[[#This Row],[IP_Index]]&amp;DEC2HEX(Table132[[#This Row],[Addr_Dec]]*4,7))</f>
        <v>0x100000E0</v>
      </c>
      <c r="F117" s="9" t="str">
        <f>IF(Table132[[#This Row],[template]]="","",VLOOKUP(Table132[[#This Row],[template]],Table29153[],2,FALSE))</f>
        <v>asynParamInt32</v>
      </c>
      <c r="G117" s="18" t="str">
        <f>IF(Table132[[#This Row],[template]]="","","1")</f>
        <v>1</v>
      </c>
      <c r="H117" s="10"/>
      <c r="I117" s="13" t="str">
        <f>IF(Table132[[#This Row],[template]]="","","0x"&amp;Table132[[#This Row],[D_Index]]&amp;"000")</f>
        <v>0x061B0000</v>
      </c>
      <c r="J117" s="18" t="s">
        <v>341</v>
      </c>
      <c r="K117" s="10">
        <v>0</v>
      </c>
      <c r="L117" s="11"/>
      <c r="M117" s="9" t="str">
        <f>IF(Table132[[#This Row],[template]]="","",Table132[[#This Row],[IP_NAME]]&amp;"_"&amp;Table132[[#This Row],[PARAM_NAME]]&amp;IF(Table132[[#This Row],[PARAM_SUB]]="","","_"&amp;Table132[[#This Row],[PARAM_SUB]]))</f>
        <v>ev_seqTrg_en_0</v>
      </c>
      <c r="N117" s="1" t="s">
        <v>262</v>
      </c>
      <c r="O117" s="1" t="s">
        <v>387</v>
      </c>
      <c r="P117" s="6" t="s">
        <v>367</v>
      </c>
      <c r="Q117" s="4">
        <v>38</v>
      </c>
      <c r="R117" s="6" t="s">
        <v>363</v>
      </c>
      <c r="S117" s="1" t="s">
        <v>315</v>
      </c>
      <c r="T117" s="16">
        <v>27</v>
      </c>
      <c r="U117" s="6" t="s">
        <v>363</v>
      </c>
      <c r="X117" s="11">
        <f>IF(Table132[[#This Row],[template]]="","",VLOOKUP(Table132[[#This Row],[IP_NAME]],Table511175[],2,FALSE))</f>
        <v>1</v>
      </c>
      <c r="Y117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>061B0</v>
      </c>
      <c r="Z117" s="14">
        <f>IF(Table132[[#This Row],[template]]="","",HEX2DEC(Table132[[#This Row],[Addr_Hex]]))</f>
        <v>56</v>
      </c>
    </row>
    <row r="118" spans="2:26" x14ac:dyDescent="0.3">
      <c r="B118" s="4">
        <v>402</v>
      </c>
      <c r="C118" s="4" t="s">
        <v>233</v>
      </c>
      <c r="D118" s="9" t="str">
        <f>UPPER(Table132[[#This Row],[SIGNAL]])</f>
        <v>EV_SEQTRG_EN_1</v>
      </c>
      <c r="E118" s="9" t="str">
        <f>IF(Table132[[#This Row],[template]]="","","0x"&amp;Table132[[#This Row],[IP_Index]]&amp;DEC2HEX(Table132[[#This Row],[Addr_Dec]]*4,7))</f>
        <v>0x100000E0</v>
      </c>
      <c r="F118" s="9" t="str">
        <f>IF(Table132[[#This Row],[template]]="","",VLOOKUP(Table132[[#This Row],[template]],Table29153[],2,FALSE))</f>
        <v>asynParamInt32</v>
      </c>
      <c r="G118" s="18" t="str">
        <f>IF(Table132[[#This Row],[template]]="","","1")</f>
        <v>1</v>
      </c>
      <c r="H118" s="10"/>
      <c r="I118" s="13" t="str">
        <f>IF(Table132[[#This Row],[template]]="","","0x"&amp;Table132[[#This Row],[D_Index]]&amp;"000")</f>
        <v>0x061A0000</v>
      </c>
      <c r="J118" s="18" t="s">
        <v>341</v>
      </c>
      <c r="K118" s="10">
        <v>0</v>
      </c>
      <c r="L118" s="11"/>
      <c r="M118" s="9" t="str">
        <f>IF(Table132[[#This Row],[template]]="","",Table132[[#This Row],[IP_NAME]]&amp;"_"&amp;Table132[[#This Row],[PARAM_NAME]]&amp;IF(Table132[[#This Row],[PARAM_SUB]]="","","_"&amp;Table132[[#This Row],[PARAM_SUB]]))</f>
        <v>ev_seqTrg_en_1</v>
      </c>
      <c r="N118" s="1" t="s">
        <v>262</v>
      </c>
      <c r="O118" s="1" t="s">
        <v>387</v>
      </c>
      <c r="P118" s="6" t="s">
        <v>271</v>
      </c>
      <c r="Q118" s="4">
        <v>38</v>
      </c>
      <c r="R118" s="6" t="s">
        <v>363</v>
      </c>
      <c r="S118" s="1" t="s">
        <v>315</v>
      </c>
      <c r="T118" s="16">
        <v>26</v>
      </c>
      <c r="U118" s="6" t="s">
        <v>363</v>
      </c>
      <c r="X118" s="11">
        <f>IF(Table132[[#This Row],[template]]="","",VLOOKUP(Table132[[#This Row],[IP_NAME]],Table511175[],2,FALSE))</f>
        <v>1</v>
      </c>
      <c r="Y118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>061A0</v>
      </c>
      <c r="Z118" s="14">
        <f>IF(Table132[[#This Row],[template]]="","",HEX2DEC(Table132[[#This Row],[Addr_Hex]]))</f>
        <v>56</v>
      </c>
    </row>
    <row r="119" spans="2:26" x14ac:dyDescent="0.3">
      <c r="B119" s="4">
        <v>400</v>
      </c>
      <c r="C119" s="4" t="s">
        <v>233</v>
      </c>
      <c r="D119" s="9" t="str">
        <f>UPPER(Table132[[#This Row],[SIGNAL]])</f>
        <v>EV_MXC14ENABLE</v>
      </c>
      <c r="E119" s="9" t="str">
        <f>IF(Table132[[#This Row],[template]]="","","0x"&amp;Table132[[#This Row],[IP_Index]]&amp;DEC2HEX(Table132[[#This Row],[Addr_Dec]]*4,7))</f>
        <v>0x100000E0</v>
      </c>
      <c r="F119" s="9" t="str">
        <f>IF(Table132[[#This Row],[template]]="","",VLOOKUP(Table132[[#This Row],[template]],Table29153[],2,FALSE))</f>
        <v>asynParamInt32</v>
      </c>
      <c r="G119" s="18" t="str">
        <f>IF(Table132[[#This Row],[template]]="","","1")</f>
        <v>1</v>
      </c>
      <c r="H119" s="10"/>
      <c r="I119" s="13" t="str">
        <f>IF(Table132[[#This Row],[template]]="","","0x"&amp;Table132[[#This Row],[D_Index]]&amp;"000")</f>
        <v>0x06190000</v>
      </c>
      <c r="J119" s="18" t="s">
        <v>341</v>
      </c>
      <c r="K119" s="10">
        <v>0</v>
      </c>
      <c r="L119" s="11"/>
      <c r="M119" s="9" t="str">
        <f>IF(Table132[[#This Row],[template]]="","",Table132[[#This Row],[IP_NAME]]&amp;"_"&amp;Table132[[#This Row],[PARAM_NAME]]&amp;IF(Table132[[#This Row],[PARAM_SUB]]="","","_"&amp;Table132[[#This Row],[PARAM_SUB]]))</f>
        <v>ev_mxc14Enable</v>
      </c>
      <c r="N119" s="1" t="s">
        <v>262</v>
      </c>
      <c r="O119" s="1" t="s">
        <v>388</v>
      </c>
      <c r="P119" s="6"/>
      <c r="Q119" s="4">
        <v>38</v>
      </c>
      <c r="R119" s="6" t="s">
        <v>363</v>
      </c>
      <c r="S119" s="1" t="s">
        <v>315</v>
      </c>
      <c r="T119" s="16">
        <v>25</v>
      </c>
      <c r="U119" s="6" t="s">
        <v>363</v>
      </c>
      <c r="X119" s="11">
        <f>IF(Table132[[#This Row],[template]]="","",VLOOKUP(Table132[[#This Row],[IP_NAME]],Table511175[],2,FALSE))</f>
        <v>1</v>
      </c>
      <c r="Y119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>06190</v>
      </c>
      <c r="Z119" s="14">
        <f>IF(Table132[[#This Row],[template]]="","",HEX2DEC(Table132[[#This Row],[Addr_Hex]]))</f>
        <v>56</v>
      </c>
    </row>
    <row r="120" spans="2:26" x14ac:dyDescent="0.3">
      <c r="B120" s="4">
        <v>401</v>
      </c>
      <c r="C120" s="4"/>
      <c r="D120" s="9" t="str">
        <f>UPPER(Table132[[#This Row],[SIGNAL]])</f>
        <v/>
      </c>
      <c r="E120" s="9" t="str">
        <f>IF(Table132[[#This Row],[template]]="","","0x"&amp;Table132[[#This Row],[IP_Index]]&amp;DEC2HEX(Table132[[#This Row],[Addr_Dec]]*4,7))</f>
        <v/>
      </c>
      <c r="F120" s="9" t="str">
        <f>IF(Table132[[#This Row],[template]]="","",VLOOKUP(Table132[[#This Row],[template]],Table29153[],2,FALSE))</f>
        <v/>
      </c>
      <c r="G120" s="18" t="str">
        <f>IF(Table132[[#This Row],[template]]="","","1")</f>
        <v/>
      </c>
      <c r="H120" s="10"/>
      <c r="I120" s="13" t="str">
        <f>IF(Table132[[#This Row],[template]]="","","0x"&amp;Table132[[#This Row],[D_Index]]&amp;"000")</f>
        <v/>
      </c>
      <c r="J120" s="18"/>
      <c r="K120" s="10">
        <v>0</v>
      </c>
      <c r="L120" s="11"/>
      <c r="M120" s="9" t="str">
        <f>IF(Table132[[#This Row],[template]]="","",Table132[[#This Row],[IP_NAME]]&amp;"_"&amp;Table132[[#This Row],[PARAM_NAME]]&amp;IF(Table132[[#This Row],[PARAM_SUB]]="","","_"&amp;Table132[[#This Row],[PARAM_SUB]]))</f>
        <v/>
      </c>
      <c r="P120" s="6"/>
      <c r="Q120" s="4"/>
      <c r="R120" s="6"/>
      <c r="T120" s="16"/>
      <c r="U120" s="6"/>
      <c r="X120" s="11" t="str">
        <f>IF(Table132[[#This Row],[template]]="","",VLOOKUP(Table132[[#This Row],[IP_NAME]],Table511175[],2,FALSE))</f>
        <v/>
      </c>
      <c r="Y120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/>
      </c>
      <c r="Z120" s="14" t="str">
        <f>IF(Table132[[#This Row],[template]]="","",HEX2DEC(Table132[[#This Row],[Addr_Hex]]))</f>
        <v/>
      </c>
    </row>
    <row r="121" spans="2:26" x14ac:dyDescent="0.3">
      <c r="B121" s="4">
        <v>402</v>
      </c>
      <c r="C121" s="4" t="s">
        <v>233</v>
      </c>
      <c r="D121" s="9" t="str">
        <f>UPPER(Table132[[#This Row],[SIGNAL]])</f>
        <v>EV_TX_DBUS_0</v>
      </c>
      <c r="E121" s="9" t="str">
        <f>IF(Table132[[#This Row],[template]]="","","0x"&amp;Table132[[#This Row],[IP_Index]]&amp;DEC2HEX(Table132[[#This Row],[Addr_Dec]]*4,7))</f>
        <v>0x10000100</v>
      </c>
      <c r="F121" s="9" t="str">
        <f>IF(Table132[[#This Row],[template]]="","",VLOOKUP(Table132[[#This Row],[template]],Table29153[],2,FALSE))</f>
        <v>asynParamInt32</v>
      </c>
      <c r="G121" s="18" t="str">
        <f>IF(Table132[[#This Row],[template]]="","","1")</f>
        <v>1</v>
      </c>
      <c r="H121" s="10"/>
      <c r="I121" s="13" t="str">
        <f>IF(Table132[[#This Row],[template]]="","","0x"&amp;Table132[[#This Row],[D_Index]]&amp;"000")</f>
        <v>0x01002000</v>
      </c>
      <c r="J121" s="18" t="s">
        <v>341</v>
      </c>
      <c r="K121" s="10" t="s">
        <v>351</v>
      </c>
      <c r="L121" s="11"/>
      <c r="M121" s="9" t="str">
        <f>IF(Table132[[#This Row],[template]]="","",Table132[[#This Row],[IP_NAME]]&amp;"_"&amp;Table132[[#This Row],[PARAM_NAME]]&amp;IF(Table132[[#This Row],[PARAM_SUB]]="","","_"&amp;Table132[[#This Row],[PARAM_SUB]]))</f>
        <v>ev_tx_Dbus_0</v>
      </c>
      <c r="N121" s="1" t="s">
        <v>262</v>
      </c>
      <c r="O121" s="1" t="s">
        <v>389</v>
      </c>
      <c r="P121" s="6" t="s">
        <v>367</v>
      </c>
      <c r="Q121" s="4">
        <v>40</v>
      </c>
      <c r="R121" s="6" t="s">
        <v>363</v>
      </c>
      <c r="S121" s="1" t="s">
        <v>254</v>
      </c>
      <c r="T121" s="16">
        <v>0</v>
      </c>
      <c r="U121" s="6" t="s">
        <v>390</v>
      </c>
      <c r="X121" s="11">
        <f>IF(Table132[[#This Row],[template]]="","",VLOOKUP(Table132[[#This Row],[IP_NAME]],Table511175[],2,FALSE))</f>
        <v>1</v>
      </c>
      <c r="Y121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>01002</v>
      </c>
      <c r="Z121" s="14">
        <f>IF(Table132[[#This Row],[template]]="","",HEX2DEC(Table132[[#This Row],[Addr_Hex]]))</f>
        <v>64</v>
      </c>
    </row>
    <row r="122" spans="2:26" x14ac:dyDescent="0.3">
      <c r="B122" s="4">
        <v>400</v>
      </c>
      <c r="C122" s="4" t="s">
        <v>233</v>
      </c>
      <c r="D122" s="9" t="str">
        <f>UPPER(Table132[[#This Row],[SIGNAL]])</f>
        <v>EV_TX_DBUS_1</v>
      </c>
      <c r="E122" s="9" t="str">
        <f>IF(Table132[[#This Row],[template]]="","","0x"&amp;Table132[[#This Row],[IP_Index]]&amp;DEC2HEX(Table132[[#This Row],[Addr_Dec]]*4,7))</f>
        <v>0x10000100</v>
      </c>
      <c r="F122" s="9" t="str">
        <f>IF(Table132[[#This Row],[template]]="","",VLOOKUP(Table132[[#This Row],[template]],Table29153[],2,FALSE))</f>
        <v>asynParamInt32</v>
      </c>
      <c r="G122" s="18" t="str">
        <f>IF(Table132[[#This Row],[template]]="","","1")</f>
        <v>1</v>
      </c>
      <c r="H122" s="10"/>
      <c r="I122" s="13" t="str">
        <f>IF(Table132[[#This Row],[template]]="","","0x"&amp;Table132[[#This Row],[D_Index]]&amp;"000")</f>
        <v>0x01002000</v>
      </c>
      <c r="J122" s="18" t="s">
        <v>343</v>
      </c>
      <c r="K122" s="10" t="s">
        <v>351</v>
      </c>
      <c r="L122" s="11"/>
      <c r="M122" s="9" t="str">
        <f>IF(Table132[[#This Row],[template]]="","",Table132[[#This Row],[IP_NAME]]&amp;"_"&amp;Table132[[#This Row],[PARAM_NAME]]&amp;IF(Table132[[#This Row],[PARAM_SUB]]="","","_"&amp;Table132[[#This Row],[PARAM_SUB]]))</f>
        <v>ev_tx_Dbus_1</v>
      </c>
      <c r="N122" s="1" t="s">
        <v>262</v>
      </c>
      <c r="O122" s="1" t="s">
        <v>389</v>
      </c>
      <c r="P122" s="6" t="s">
        <v>271</v>
      </c>
      <c r="Q122" s="4">
        <v>40</v>
      </c>
      <c r="R122" s="6" t="s">
        <v>363</v>
      </c>
      <c r="S122" s="1" t="s">
        <v>254</v>
      </c>
      <c r="T122" s="16">
        <v>0</v>
      </c>
      <c r="U122" s="6" t="s">
        <v>390</v>
      </c>
      <c r="X122" s="11">
        <f>IF(Table132[[#This Row],[template]]="","",VLOOKUP(Table132[[#This Row],[IP_NAME]],Table511175[],2,FALSE))</f>
        <v>1</v>
      </c>
      <c r="Y122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>01002</v>
      </c>
      <c r="Z122" s="14">
        <f>IF(Table132[[#This Row],[template]]="","",HEX2DEC(Table132[[#This Row],[Addr_Hex]]))</f>
        <v>64</v>
      </c>
    </row>
    <row r="123" spans="2:26" x14ac:dyDescent="0.3">
      <c r="B123" s="4">
        <v>401</v>
      </c>
      <c r="C123" s="4" t="s">
        <v>233</v>
      </c>
      <c r="D123" s="9" t="str">
        <f>UPPER(Table132[[#This Row],[SIGNAL]])</f>
        <v>EV_TX_DBUS_2</v>
      </c>
      <c r="E123" s="9" t="str">
        <f>IF(Table132[[#This Row],[template]]="","","0x"&amp;Table132[[#This Row],[IP_Index]]&amp;DEC2HEX(Table132[[#This Row],[Addr_Dec]]*4,7))</f>
        <v>0x10000100</v>
      </c>
      <c r="F123" s="9" t="str">
        <f>IF(Table132[[#This Row],[template]]="","",VLOOKUP(Table132[[#This Row],[template]],Table29153[],2,FALSE))</f>
        <v>asynParamInt32</v>
      </c>
      <c r="G123" s="18" t="str">
        <f>IF(Table132[[#This Row],[template]]="","","1")</f>
        <v>1</v>
      </c>
      <c r="H123" s="10"/>
      <c r="I123" s="13" t="str">
        <f>IF(Table132[[#This Row],[template]]="","","0x"&amp;Table132[[#This Row],[D_Index]]&amp;"000")</f>
        <v>0x01002000</v>
      </c>
      <c r="J123" s="18" t="s">
        <v>344</v>
      </c>
      <c r="K123" s="10" t="s">
        <v>351</v>
      </c>
      <c r="L123" s="11"/>
      <c r="M123" s="9" t="str">
        <f>IF(Table132[[#This Row],[template]]="","",Table132[[#This Row],[IP_NAME]]&amp;"_"&amp;Table132[[#This Row],[PARAM_NAME]]&amp;IF(Table132[[#This Row],[PARAM_SUB]]="","","_"&amp;Table132[[#This Row],[PARAM_SUB]]))</f>
        <v>ev_tx_Dbus_2</v>
      </c>
      <c r="N123" s="1" t="s">
        <v>262</v>
      </c>
      <c r="O123" s="1" t="s">
        <v>389</v>
      </c>
      <c r="P123" s="6" t="s">
        <v>243</v>
      </c>
      <c r="Q123" s="4">
        <v>40</v>
      </c>
      <c r="R123" s="6" t="s">
        <v>363</v>
      </c>
      <c r="S123" s="1" t="s">
        <v>254</v>
      </c>
      <c r="T123" s="16">
        <v>0</v>
      </c>
      <c r="U123" s="6" t="s">
        <v>390</v>
      </c>
      <c r="X123" s="11">
        <f>IF(Table132[[#This Row],[template]]="","",VLOOKUP(Table132[[#This Row],[IP_NAME]],Table511175[],2,FALSE))</f>
        <v>1</v>
      </c>
      <c r="Y123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>01002</v>
      </c>
      <c r="Z123" s="14">
        <f>IF(Table132[[#This Row],[template]]="","",HEX2DEC(Table132[[#This Row],[Addr_Hex]]))</f>
        <v>64</v>
      </c>
    </row>
    <row r="124" spans="2:26" x14ac:dyDescent="0.3">
      <c r="B124" s="4">
        <v>402</v>
      </c>
      <c r="C124" s="4" t="s">
        <v>233</v>
      </c>
      <c r="D124" s="9" t="str">
        <f>UPPER(Table132[[#This Row],[SIGNAL]])</f>
        <v>EV_TX_DBUS_3</v>
      </c>
      <c r="E124" s="9" t="str">
        <f>IF(Table132[[#This Row],[template]]="","","0x"&amp;Table132[[#This Row],[IP_Index]]&amp;DEC2HEX(Table132[[#This Row],[Addr_Dec]]*4,7))</f>
        <v>0x10000100</v>
      </c>
      <c r="F124" s="9" t="str">
        <f>IF(Table132[[#This Row],[template]]="","",VLOOKUP(Table132[[#This Row],[template]],Table29153[],2,FALSE))</f>
        <v>asynParamInt32</v>
      </c>
      <c r="G124" s="18" t="str">
        <f>IF(Table132[[#This Row],[template]]="","","1")</f>
        <v>1</v>
      </c>
      <c r="H124" s="10"/>
      <c r="I124" s="13" t="str">
        <f>IF(Table132[[#This Row],[template]]="","","0x"&amp;Table132[[#This Row],[D_Index]]&amp;"000")</f>
        <v>0x01002000</v>
      </c>
      <c r="J124" s="18" t="s">
        <v>345</v>
      </c>
      <c r="K124" s="10" t="s">
        <v>351</v>
      </c>
      <c r="L124" s="11"/>
      <c r="M124" s="9" t="str">
        <f>IF(Table132[[#This Row],[template]]="","",Table132[[#This Row],[IP_NAME]]&amp;"_"&amp;Table132[[#This Row],[PARAM_NAME]]&amp;IF(Table132[[#This Row],[PARAM_SUB]]="","","_"&amp;Table132[[#This Row],[PARAM_SUB]]))</f>
        <v>ev_tx_Dbus_3</v>
      </c>
      <c r="N124" s="1" t="s">
        <v>262</v>
      </c>
      <c r="O124" s="1" t="s">
        <v>389</v>
      </c>
      <c r="P124" s="6" t="s">
        <v>244</v>
      </c>
      <c r="Q124" s="4">
        <v>40</v>
      </c>
      <c r="R124" s="6" t="s">
        <v>363</v>
      </c>
      <c r="S124" s="1" t="s">
        <v>254</v>
      </c>
      <c r="T124" s="16">
        <v>0</v>
      </c>
      <c r="U124" s="6" t="s">
        <v>390</v>
      </c>
      <c r="X124" s="11">
        <f>IF(Table132[[#This Row],[template]]="","",VLOOKUP(Table132[[#This Row],[IP_NAME]],Table511175[],2,FALSE))</f>
        <v>1</v>
      </c>
      <c r="Y124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>01002</v>
      </c>
      <c r="Z124" s="14">
        <f>IF(Table132[[#This Row],[template]]="","",HEX2DEC(Table132[[#This Row],[Addr_Hex]]))</f>
        <v>64</v>
      </c>
    </row>
    <row r="125" spans="2:26" x14ac:dyDescent="0.3">
      <c r="B125" s="4">
        <v>400</v>
      </c>
      <c r="C125" s="4" t="s">
        <v>233</v>
      </c>
      <c r="D125" s="9" t="str">
        <f>UPPER(Table132[[#This Row],[SIGNAL]])</f>
        <v>EV_TX_DBUS_4</v>
      </c>
      <c r="E125" s="9" t="str">
        <f>IF(Table132[[#This Row],[template]]="","","0x"&amp;Table132[[#This Row],[IP_Index]]&amp;DEC2HEX(Table132[[#This Row],[Addr_Dec]]*4,7))</f>
        <v>0x10000100</v>
      </c>
      <c r="F125" s="9" t="str">
        <f>IF(Table132[[#This Row],[template]]="","",VLOOKUP(Table132[[#This Row],[template]],Table29153[],2,FALSE))</f>
        <v>asynParamInt32</v>
      </c>
      <c r="G125" s="18" t="str">
        <f>IF(Table132[[#This Row],[template]]="","","1")</f>
        <v>1</v>
      </c>
      <c r="H125" s="10"/>
      <c r="I125" s="13" t="str">
        <f>IF(Table132[[#This Row],[template]]="","","0x"&amp;Table132[[#This Row],[D_Index]]&amp;"000")</f>
        <v>0x01002000</v>
      </c>
      <c r="J125" s="18" t="s">
        <v>346</v>
      </c>
      <c r="K125" s="10" t="s">
        <v>351</v>
      </c>
      <c r="L125" s="11"/>
      <c r="M125" s="9" t="str">
        <f>IF(Table132[[#This Row],[template]]="","",Table132[[#This Row],[IP_NAME]]&amp;"_"&amp;Table132[[#This Row],[PARAM_NAME]]&amp;IF(Table132[[#This Row],[PARAM_SUB]]="","","_"&amp;Table132[[#This Row],[PARAM_SUB]]))</f>
        <v>ev_tx_Dbus_4</v>
      </c>
      <c r="N125" s="1" t="s">
        <v>262</v>
      </c>
      <c r="O125" s="1" t="s">
        <v>389</v>
      </c>
      <c r="P125" s="6" t="s">
        <v>245</v>
      </c>
      <c r="Q125" s="4">
        <v>40</v>
      </c>
      <c r="R125" s="6" t="s">
        <v>363</v>
      </c>
      <c r="S125" s="1" t="s">
        <v>254</v>
      </c>
      <c r="T125" s="16">
        <v>0</v>
      </c>
      <c r="U125" s="6" t="s">
        <v>390</v>
      </c>
      <c r="X125" s="11">
        <f>IF(Table132[[#This Row],[template]]="","",VLOOKUP(Table132[[#This Row],[IP_NAME]],Table511175[],2,FALSE))</f>
        <v>1</v>
      </c>
      <c r="Y125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>01002</v>
      </c>
      <c r="Z125" s="14">
        <f>IF(Table132[[#This Row],[template]]="","",HEX2DEC(Table132[[#This Row],[Addr_Hex]]))</f>
        <v>64</v>
      </c>
    </row>
    <row r="126" spans="2:26" x14ac:dyDescent="0.3">
      <c r="B126" s="4">
        <v>401</v>
      </c>
      <c r="C126" s="4" t="s">
        <v>233</v>
      </c>
      <c r="D126" s="9" t="str">
        <f>UPPER(Table132[[#This Row],[SIGNAL]])</f>
        <v>EV_TX_DBUS_5</v>
      </c>
      <c r="E126" s="9" t="str">
        <f>IF(Table132[[#This Row],[template]]="","","0x"&amp;Table132[[#This Row],[IP_Index]]&amp;DEC2HEX(Table132[[#This Row],[Addr_Dec]]*4,7))</f>
        <v>0x10000100</v>
      </c>
      <c r="F126" s="9" t="str">
        <f>IF(Table132[[#This Row],[template]]="","",VLOOKUP(Table132[[#This Row],[template]],Table29153[],2,FALSE))</f>
        <v>asynParamInt32</v>
      </c>
      <c r="G126" s="18" t="str">
        <f>IF(Table132[[#This Row],[template]]="","","1")</f>
        <v>1</v>
      </c>
      <c r="H126" s="10"/>
      <c r="I126" s="13" t="str">
        <f>IF(Table132[[#This Row],[template]]="","","0x"&amp;Table132[[#This Row],[D_Index]]&amp;"000")</f>
        <v>0x01002000</v>
      </c>
      <c r="J126" s="18" t="s">
        <v>347</v>
      </c>
      <c r="K126" s="10" t="s">
        <v>351</v>
      </c>
      <c r="L126" s="11"/>
      <c r="M126" s="9" t="str">
        <f>IF(Table132[[#This Row],[template]]="","",Table132[[#This Row],[IP_NAME]]&amp;"_"&amp;Table132[[#This Row],[PARAM_NAME]]&amp;IF(Table132[[#This Row],[PARAM_SUB]]="","","_"&amp;Table132[[#This Row],[PARAM_SUB]]))</f>
        <v>ev_tx_Dbus_5</v>
      </c>
      <c r="N126" s="1" t="s">
        <v>262</v>
      </c>
      <c r="O126" s="1" t="s">
        <v>389</v>
      </c>
      <c r="P126" s="6" t="s">
        <v>246</v>
      </c>
      <c r="Q126" s="4">
        <v>40</v>
      </c>
      <c r="R126" s="6" t="s">
        <v>363</v>
      </c>
      <c r="S126" s="1" t="s">
        <v>254</v>
      </c>
      <c r="T126" s="16">
        <v>0</v>
      </c>
      <c r="U126" s="6" t="s">
        <v>390</v>
      </c>
      <c r="X126" s="11">
        <f>IF(Table132[[#This Row],[template]]="","",VLOOKUP(Table132[[#This Row],[IP_NAME]],Table511175[],2,FALSE))</f>
        <v>1</v>
      </c>
      <c r="Y126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>01002</v>
      </c>
      <c r="Z126" s="14">
        <f>IF(Table132[[#This Row],[template]]="","",HEX2DEC(Table132[[#This Row],[Addr_Hex]]))</f>
        <v>64</v>
      </c>
    </row>
    <row r="127" spans="2:26" x14ac:dyDescent="0.3">
      <c r="B127" s="4">
        <v>402</v>
      </c>
      <c r="C127" s="4" t="s">
        <v>233</v>
      </c>
      <c r="D127" s="9" t="str">
        <f>UPPER(Table132[[#This Row],[SIGNAL]])</f>
        <v>EV_TX_DBUS_6</v>
      </c>
      <c r="E127" s="9" t="str">
        <f>IF(Table132[[#This Row],[template]]="","","0x"&amp;Table132[[#This Row],[IP_Index]]&amp;DEC2HEX(Table132[[#This Row],[Addr_Dec]]*4,7))</f>
        <v>0x10000100</v>
      </c>
      <c r="F127" s="9" t="str">
        <f>IF(Table132[[#This Row],[template]]="","",VLOOKUP(Table132[[#This Row],[template]],Table29153[],2,FALSE))</f>
        <v>asynParamInt32</v>
      </c>
      <c r="G127" s="18" t="str">
        <f>IF(Table132[[#This Row],[template]]="","","1")</f>
        <v>1</v>
      </c>
      <c r="H127" s="10"/>
      <c r="I127" s="13" t="str">
        <f>IF(Table132[[#This Row],[template]]="","","0x"&amp;Table132[[#This Row],[D_Index]]&amp;"000")</f>
        <v>0x01002000</v>
      </c>
      <c r="J127" s="18" t="s">
        <v>348</v>
      </c>
      <c r="K127" s="10" t="s">
        <v>351</v>
      </c>
      <c r="L127" s="11"/>
      <c r="M127" s="9" t="str">
        <f>IF(Table132[[#This Row],[template]]="","",Table132[[#This Row],[IP_NAME]]&amp;"_"&amp;Table132[[#This Row],[PARAM_NAME]]&amp;IF(Table132[[#This Row],[PARAM_SUB]]="","","_"&amp;Table132[[#This Row],[PARAM_SUB]]))</f>
        <v>ev_tx_Dbus_6</v>
      </c>
      <c r="N127" s="1" t="s">
        <v>262</v>
      </c>
      <c r="O127" s="1" t="s">
        <v>389</v>
      </c>
      <c r="P127" s="6" t="s">
        <v>247</v>
      </c>
      <c r="Q127" s="4">
        <v>40</v>
      </c>
      <c r="R127" s="6" t="s">
        <v>363</v>
      </c>
      <c r="S127" s="1" t="s">
        <v>254</v>
      </c>
      <c r="T127" s="16">
        <v>0</v>
      </c>
      <c r="U127" s="6" t="s">
        <v>390</v>
      </c>
      <c r="X127" s="11">
        <f>IF(Table132[[#This Row],[template]]="","",VLOOKUP(Table132[[#This Row],[IP_NAME]],Table511175[],2,FALSE))</f>
        <v>1</v>
      </c>
      <c r="Y127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>01002</v>
      </c>
      <c r="Z127" s="14">
        <f>IF(Table132[[#This Row],[template]]="","",HEX2DEC(Table132[[#This Row],[Addr_Hex]]))</f>
        <v>64</v>
      </c>
    </row>
    <row r="128" spans="2:26" x14ac:dyDescent="0.3">
      <c r="B128" s="4">
        <v>400</v>
      </c>
      <c r="C128" s="4" t="s">
        <v>233</v>
      </c>
      <c r="D128" s="9" t="str">
        <f>UPPER(Table132[[#This Row],[SIGNAL]])</f>
        <v>EV_TX_DBUS_7</v>
      </c>
      <c r="E128" s="9" t="str">
        <f>IF(Table132[[#This Row],[template]]="","","0x"&amp;Table132[[#This Row],[IP_Index]]&amp;DEC2HEX(Table132[[#This Row],[Addr_Dec]]*4,7))</f>
        <v>0x10000100</v>
      </c>
      <c r="F128" s="9" t="str">
        <f>IF(Table132[[#This Row],[template]]="","",VLOOKUP(Table132[[#This Row],[template]],Table29153[],2,FALSE))</f>
        <v>asynParamInt32</v>
      </c>
      <c r="G128" s="18" t="str">
        <f>IF(Table132[[#This Row],[template]]="","","1")</f>
        <v>1</v>
      </c>
      <c r="H128" s="10"/>
      <c r="I128" s="13" t="str">
        <f>IF(Table132[[#This Row],[template]]="","","0x"&amp;Table132[[#This Row],[D_Index]]&amp;"000")</f>
        <v>0x01002000</v>
      </c>
      <c r="J128" s="18" t="s">
        <v>349</v>
      </c>
      <c r="K128" s="10" t="s">
        <v>351</v>
      </c>
      <c r="L128" s="11"/>
      <c r="M128" s="9" t="str">
        <f>IF(Table132[[#This Row],[template]]="","",Table132[[#This Row],[IP_NAME]]&amp;"_"&amp;Table132[[#This Row],[PARAM_NAME]]&amp;IF(Table132[[#This Row],[PARAM_SUB]]="","","_"&amp;Table132[[#This Row],[PARAM_SUB]]))</f>
        <v>ev_tx_Dbus_7</v>
      </c>
      <c r="N128" s="1" t="s">
        <v>262</v>
      </c>
      <c r="O128" s="1" t="s">
        <v>389</v>
      </c>
      <c r="P128" s="6" t="s">
        <v>248</v>
      </c>
      <c r="Q128" s="4">
        <v>40</v>
      </c>
      <c r="R128" s="6" t="s">
        <v>363</v>
      </c>
      <c r="S128" s="1" t="s">
        <v>254</v>
      </c>
      <c r="T128" s="16">
        <v>0</v>
      </c>
      <c r="U128" s="6" t="s">
        <v>390</v>
      </c>
      <c r="X128" s="11">
        <f>IF(Table132[[#This Row],[template]]="","",VLOOKUP(Table132[[#This Row],[IP_NAME]],Table511175[],2,FALSE))</f>
        <v>1</v>
      </c>
      <c r="Y128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>01002</v>
      </c>
      <c r="Z128" s="14">
        <f>IF(Table132[[#This Row],[template]]="","",HEX2DEC(Table132[[#This Row],[Addr_Hex]]))</f>
        <v>64</v>
      </c>
    </row>
    <row r="129" spans="2:26" x14ac:dyDescent="0.3">
      <c r="B129" s="4">
        <v>401</v>
      </c>
      <c r="C129" s="4"/>
      <c r="D129" s="9" t="str">
        <f>UPPER(Table132[[#This Row],[SIGNAL]])</f>
        <v/>
      </c>
      <c r="E129" s="9" t="str">
        <f>IF(Table132[[#This Row],[template]]="","","0x"&amp;Table132[[#This Row],[IP_Index]]&amp;DEC2HEX(Table132[[#This Row],[Addr_Dec]]*4,7))</f>
        <v/>
      </c>
      <c r="F129" s="9" t="str">
        <f>IF(Table132[[#This Row],[template]]="","",VLOOKUP(Table132[[#This Row],[template]],Table29153[],2,FALSE))</f>
        <v/>
      </c>
      <c r="G129" s="18" t="str">
        <f>IF(Table132[[#This Row],[template]]="","","1")</f>
        <v/>
      </c>
      <c r="H129" s="10"/>
      <c r="I129" s="13" t="str">
        <f>IF(Table132[[#This Row],[template]]="","","0x"&amp;Table132[[#This Row],[D_Index]]&amp;"000")</f>
        <v/>
      </c>
      <c r="J129" s="18"/>
      <c r="K129" s="10">
        <v>0</v>
      </c>
      <c r="L129" s="11"/>
      <c r="M129" s="9" t="str">
        <f>IF(Table132[[#This Row],[template]]="","",Table132[[#This Row],[IP_NAME]]&amp;"_"&amp;Table132[[#This Row],[PARAM_NAME]]&amp;IF(Table132[[#This Row],[PARAM_SUB]]="","","_"&amp;Table132[[#This Row],[PARAM_SUB]]))</f>
        <v/>
      </c>
      <c r="P129" s="6"/>
      <c r="Q129" s="4"/>
      <c r="R129" s="6"/>
      <c r="T129" s="16"/>
      <c r="U129" s="6"/>
      <c r="X129" s="11" t="str">
        <f>IF(Table132[[#This Row],[template]]="","",VLOOKUP(Table132[[#This Row],[IP_NAME]],Table511175[],2,FALSE))</f>
        <v/>
      </c>
      <c r="Y129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/>
      </c>
      <c r="Z129" s="14" t="str">
        <f>IF(Table132[[#This Row],[template]]="","",HEX2DEC(Table132[[#This Row],[Addr_Hex]]))</f>
        <v/>
      </c>
    </row>
    <row r="130" spans="2:26" x14ac:dyDescent="0.3">
      <c r="B130" s="4">
        <v>402</v>
      </c>
      <c r="C130" s="4" t="s">
        <v>233</v>
      </c>
      <c r="D130" s="9" t="str">
        <f>UPPER(Table132[[#This Row],[SIGNAL]])</f>
        <v>EV_EVUSER</v>
      </c>
      <c r="E130" s="9" t="str">
        <f>IF(Table132[[#This Row],[template]]="","","0x"&amp;Table132[[#This Row],[IP_Index]]&amp;DEC2HEX(Table132[[#This Row],[Addr_Dec]]*4,7))</f>
        <v>0x100001E4</v>
      </c>
      <c r="F130" s="9" t="str">
        <f>IF(Table132[[#This Row],[template]]="","",VLOOKUP(Table132[[#This Row],[template]],Table29153[],2,FALSE))</f>
        <v>asynParamInt32</v>
      </c>
      <c r="G130" s="18" t="str">
        <f>IF(Table132[[#This Row],[template]]="","","1")</f>
        <v>1</v>
      </c>
      <c r="H130" s="10"/>
      <c r="I130" s="13" t="str">
        <f>IF(Table132[[#This Row],[template]]="","","0x"&amp;Table132[[#This Row],[D_Index]]&amp;"000")</f>
        <v>0x01000000</v>
      </c>
      <c r="J130" s="18" t="s">
        <v>341</v>
      </c>
      <c r="K130" s="10">
        <v>0</v>
      </c>
      <c r="L130" s="11"/>
      <c r="M130" s="9" t="str">
        <f>IF(Table132[[#This Row],[template]]="","",Table132[[#This Row],[IP_NAME]]&amp;"_"&amp;Table132[[#This Row],[PARAM_NAME]]&amp;IF(Table132[[#This Row],[PARAM_SUB]]="","","_"&amp;Table132[[#This Row],[PARAM_SUB]]))</f>
        <v>ev_evUser</v>
      </c>
      <c r="N130" s="1" t="s">
        <v>262</v>
      </c>
      <c r="O130" s="1" t="s">
        <v>391</v>
      </c>
      <c r="P130" s="6"/>
      <c r="Q130" s="4">
        <v>79</v>
      </c>
      <c r="R130" s="6" t="s">
        <v>363</v>
      </c>
      <c r="S130" s="1" t="s">
        <v>254</v>
      </c>
      <c r="T130" s="16">
        <v>0</v>
      </c>
      <c r="U130" s="6" t="s">
        <v>363</v>
      </c>
      <c r="X130" s="11">
        <f>IF(Table132[[#This Row],[template]]="","",VLOOKUP(Table132[[#This Row],[IP_NAME]],Table511175[],2,FALSE))</f>
        <v>1</v>
      </c>
      <c r="Y130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>01000</v>
      </c>
      <c r="Z130" s="14">
        <f>IF(Table132[[#This Row],[template]]="","",HEX2DEC(Table132[[#This Row],[Addr_Hex]]))</f>
        <v>121</v>
      </c>
    </row>
    <row r="131" spans="2:26" x14ac:dyDescent="0.3">
      <c r="B131" s="4">
        <v>400</v>
      </c>
      <c r="C131" s="4"/>
      <c r="D131" s="9" t="str">
        <f>UPPER(Table132[[#This Row],[SIGNAL]])</f>
        <v/>
      </c>
      <c r="E131" s="9" t="str">
        <f>IF(Table132[[#This Row],[template]]="","","0x"&amp;Table132[[#This Row],[IP_Index]]&amp;DEC2HEX(Table132[[#This Row],[Addr_Dec]]*4,7))</f>
        <v/>
      </c>
      <c r="F131" s="9" t="str">
        <f>IF(Table132[[#This Row],[template]]="","",VLOOKUP(Table132[[#This Row],[template]],Table29153[],2,FALSE))</f>
        <v/>
      </c>
      <c r="G131" s="18" t="str">
        <f>IF(Table132[[#This Row],[template]]="","","1")</f>
        <v/>
      </c>
      <c r="H131" s="10"/>
      <c r="I131" s="13" t="str">
        <f>IF(Table132[[#This Row],[template]]="","","0x"&amp;Table132[[#This Row],[D_Index]]&amp;"000")</f>
        <v/>
      </c>
      <c r="J131" s="18"/>
      <c r="K131" s="10">
        <v>0</v>
      </c>
      <c r="L131" s="11"/>
      <c r="M131" s="9" t="str">
        <f>IF(Table132[[#This Row],[template]]="","",Table132[[#This Row],[IP_NAME]]&amp;"_"&amp;Table132[[#This Row],[PARAM_NAME]]&amp;IF(Table132[[#This Row],[PARAM_SUB]]="","","_"&amp;Table132[[#This Row],[PARAM_SUB]]))</f>
        <v/>
      </c>
      <c r="P131" s="6"/>
      <c r="Q131" s="4"/>
      <c r="R131" s="6"/>
      <c r="T131" s="16"/>
      <c r="U131" s="6"/>
      <c r="X131" s="11" t="str">
        <f>IF(Table132[[#This Row],[template]]="","",VLOOKUP(Table132[[#This Row],[IP_NAME]],Table511175[],2,FALSE))</f>
        <v/>
      </c>
      <c r="Y131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/>
      </c>
      <c r="Z131" s="14" t="str">
        <f>IF(Table132[[#This Row],[template]]="","",HEX2DEC(Table132[[#This Row],[Addr_Hex]]))</f>
        <v/>
      </c>
    </row>
    <row r="132" spans="2:26" x14ac:dyDescent="0.3">
      <c r="B132" s="4">
        <v>401</v>
      </c>
      <c r="C132" s="4" t="s">
        <v>233</v>
      </c>
      <c r="D132" s="9" t="str">
        <f>UPPER(Table132[[#This Row],[SIGNAL]])</f>
        <v>EV_EVTRGMSK</v>
      </c>
      <c r="E132" s="9" t="str">
        <f>IF(Table132[[#This Row],[template]]="","","0x"&amp;Table132[[#This Row],[IP_Index]]&amp;DEC2HEX(Table132[[#This Row],[Addr_Dec]]*4,7))</f>
        <v>0x10000104</v>
      </c>
      <c r="F132" s="9" t="str">
        <f>IF(Table132[[#This Row],[template]]="","",VLOOKUP(Table132[[#This Row],[template]],Table29153[],2,FALSE))</f>
        <v>asynParamInt32</v>
      </c>
      <c r="G132" s="18" t="str">
        <f>IF(Table132[[#This Row],[template]]="","","1")</f>
        <v>1</v>
      </c>
      <c r="H132" s="10"/>
      <c r="I132" s="13" t="str">
        <f>IF(Table132[[#This Row],[template]]="","","0x"&amp;Table132[[#This Row],[D_Index]]&amp;"000")</f>
        <v>0x01000000</v>
      </c>
      <c r="J132" s="18" t="s">
        <v>341</v>
      </c>
      <c r="K132" s="10">
        <v>0</v>
      </c>
      <c r="L132" s="11"/>
      <c r="M132" s="9" t="str">
        <f>IF(Table132[[#This Row],[template]]="","",Table132[[#This Row],[IP_NAME]]&amp;"_"&amp;Table132[[#This Row],[PARAM_NAME]]&amp;IF(Table132[[#This Row],[PARAM_SUB]]="","","_"&amp;Table132[[#This Row],[PARAM_SUB]]))</f>
        <v>ev_evTrgMsk</v>
      </c>
      <c r="N132" s="1" t="s">
        <v>262</v>
      </c>
      <c r="O132" s="1" t="s">
        <v>392</v>
      </c>
      <c r="P132" s="6"/>
      <c r="Q132" s="4">
        <v>41</v>
      </c>
      <c r="R132" s="6" t="s">
        <v>363</v>
      </c>
      <c r="S132" s="1" t="s">
        <v>254</v>
      </c>
      <c r="T132" s="16">
        <v>0</v>
      </c>
      <c r="U132" s="6" t="s">
        <v>363</v>
      </c>
      <c r="X132" s="11">
        <f>IF(Table132[[#This Row],[template]]="","",VLOOKUP(Table132[[#This Row],[IP_NAME]],Table511175[],2,FALSE))</f>
        <v>1</v>
      </c>
      <c r="Y132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>01000</v>
      </c>
      <c r="Z132" s="14">
        <f>IF(Table132[[#This Row],[template]]="","",HEX2DEC(Table132[[#This Row],[Addr_Hex]]))</f>
        <v>65</v>
      </c>
    </row>
    <row r="133" spans="2:26" x14ac:dyDescent="0.3">
      <c r="B133" s="4">
        <v>402</v>
      </c>
      <c r="C133" s="4" t="s">
        <v>233</v>
      </c>
      <c r="D133" s="9" t="str">
        <f>UPPER(Table132[[#This Row],[SIGNAL]])</f>
        <v>EV_EVTRGSELREG</v>
      </c>
      <c r="E133" s="9" t="str">
        <f>IF(Table132[[#This Row],[template]]="","","0x"&amp;Table132[[#This Row],[IP_Index]]&amp;DEC2HEX(Table132[[#This Row],[Addr_Dec]]*4,7))</f>
        <v>0x10000108</v>
      </c>
      <c r="F133" s="9" t="str">
        <f>IF(Table132[[#This Row],[template]]="","",VLOOKUP(Table132[[#This Row],[template]],Table29153[],2,FALSE))</f>
        <v>asynParamInt32</v>
      </c>
      <c r="G133" s="18" t="str">
        <f>IF(Table132[[#This Row],[template]]="","","1")</f>
        <v>1</v>
      </c>
      <c r="H133" s="10"/>
      <c r="I133" s="13" t="str">
        <f>IF(Table132[[#This Row],[template]]="","","0x"&amp;Table132[[#This Row],[D_Index]]&amp;"000")</f>
        <v>0x01000000</v>
      </c>
      <c r="J133" s="18" t="s">
        <v>341</v>
      </c>
      <c r="K133" s="10">
        <v>0</v>
      </c>
      <c r="L133" s="11"/>
      <c r="M133" s="9" t="str">
        <f>IF(Table132[[#This Row],[template]]="","",Table132[[#This Row],[IP_NAME]]&amp;"_"&amp;Table132[[#This Row],[PARAM_NAME]]&amp;IF(Table132[[#This Row],[PARAM_SUB]]="","","_"&amp;Table132[[#This Row],[PARAM_SUB]]))</f>
        <v>ev_evTrgSelReg</v>
      </c>
      <c r="N133" s="1" t="s">
        <v>262</v>
      </c>
      <c r="O133" s="1" t="s">
        <v>393</v>
      </c>
      <c r="P133" s="6"/>
      <c r="Q133" s="4">
        <v>42</v>
      </c>
      <c r="R133" s="6" t="s">
        <v>363</v>
      </c>
      <c r="S133" s="1" t="s">
        <v>254</v>
      </c>
      <c r="T133" s="16">
        <v>0</v>
      </c>
      <c r="U133" s="6" t="s">
        <v>363</v>
      </c>
      <c r="X133" s="11">
        <f>IF(Table132[[#This Row],[template]]="","",VLOOKUP(Table132[[#This Row],[IP_NAME]],Table511175[],2,FALSE))</f>
        <v>1</v>
      </c>
      <c r="Y133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>01000</v>
      </c>
      <c r="Z133" s="14">
        <f>IF(Table132[[#This Row],[template]]="","",HEX2DEC(Table132[[#This Row],[Addr_Hex]]))</f>
        <v>66</v>
      </c>
    </row>
    <row r="134" spans="2:26" x14ac:dyDescent="0.3">
      <c r="B134" s="4">
        <v>400</v>
      </c>
      <c r="C134" s="4"/>
      <c r="D134" s="9" t="str">
        <f>UPPER(Table132[[#This Row],[SIGNAL]])</f>
        <v/>
      </c>
      <c r="E134" s="9" t="str">
        <f>IF(Table132[[#This Row],[template]]="","","0x"&amp;Table132[[#This Row],[IP_Index]]&amp;DEC2HEX(Table132[[#This Row],[Addr_Dec]]*4,7))</f>
        <v/>
      </c>
      <c r="F134" s="9" t="str">
        <f>IF(Table132[[#This Row],[template]]="","",VLOOKUP(Table132[[#This Row],[template]],Table29153[],2,FALSE))</f>
        <v/>
      </c>
      <c r="G134" s="18" t="str">
        <f>IF(Table132[[#This Row],[template]]="","","1")</f>
        <v/>
      </c>
      <c r="H134" s="10"/>
      <c r="I134" s="13" t="str">
        <f>IF(Table132[[#This Row],[template]]="","","0x"&amp;Table132[[#This Row],[D_Index]]&amp;"000")</f>
        <v/>
      </c>
      <c r="J134" s="18"/>
      <c r="K134" s="10">
        <v>0</v>
      </c>
      <c r="L134" s="11"/>
      <c r="M134" s="9" t="str">
        <f>IF(Table132[[#This Row],[template]]="","",Table132[[#This Row],[IP_NAME]]&amp;"_"&amp;Table132[[#This Row],[PARAM_NAME]]&amp;IF(Table132[[#This Row],[PARAM_SUB]]="","","_"&amp;Table132[[#This Row],[PARAM_SUB]]))</f>
        <v/>
      </c>
      <c r="P134" s="6"/>
      <c r="Q134" s="4"/>
      <c r="R134" s="6"/>
      <c r="T134" s="16"/>
      <c r="U134" s="6"/>
      <c r="X134" s="11" t="str">
        <f>IF(Table132[[#This Row],[template]]="","",VLOOKUP(Table132[[#This Row],[IP_NAME]],Table511175[],2,FALSE))</f>
        <v/>
      </c>
      <c r="Y134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/>
      </c>
      <c r="Z134" s="14" t="str">
        <f>IF(Table132[[#This Row],[template]]="","",HEX2DEC(Table132[[#This Row],[Addr_Hex]]))</f>
        <v/>
      </c>
    </row>
    <row r="135" spans="2:26" x14ac:dyDescent="0.3">
      <c r="B135" s="4">
        <v>401</v>
      </c>
      <c r="C135" s="4" t="s">
        <v>233</v>
      </c>
      <c r="D135" s="9" t="str">
        <f>UPPER(Table132[[#This Row],[SIGNAL]])</f>
        <v>EV_SEQTRGSEL_0</v>
      </c>
      <c r="E135" s="9" t="str">
        <f>IF(Table132[[#This Row],[template]]="","","0x"&amp;Table132[[#This Row],[IP_Index]]&amp;DEC2HEX(Table132[[#This Row],[Addr_Dec]]*4,7))</f>
        <v>0x1000010C</v>
      </c>
      <c r="F135" s="9" t="str">
        <f>IF(Table132[[#This Row],[template]]="","",VLOOKUP(Table132[[#This Row],[template]],Table29153[],2,FALSE))</f>
        <v>asynParamInt32</v>
      </c>
      <c r="G135" s="18" t="str">
        <f>IF(Table132[[#This Row],[template]]="","","1")</f>
        <v>1</v>
      </c>
      <c r="H135" s="10"/>
      <c r="I135" s="13" t="str">
        <f>IF(Table132[[#This Row],[template]]="","","0x"&amp;Table132[[#This Row],[D_Index]]&amp;"000")</f>
        <v>0x04000000</v>
      </c>
      <c r="J135" s="18" t="s">
        <v>341</v>
      </c>
      <c r="K135" s="10">
        <v>0</v>
      </c>
      <c r="L135" s="11"/>
      <c r="M135" s="9" t="str">
        <f>IF(Table132[[#This Row],[template]]="","",Table132[[#This Row],[IP_NAME]]&amp;"_"&amp;Table132[[#This Row],[PARAM_NAME]]&amp;IF(Table132[[#This Row],[PARAM_SUB]]="","","_"&amp;Table132[[#This Row],[PARAM_SUB]]))</f>
        <v>ev_seqTrgSel_0</v>
      </c>
      <c r="N135" s="1" t="s">
        <v>262</v>
      </c>
      <c r="O135" s="1" t="s">
        <v>394</v>
      </c>
      <c r="P135" s="6" t="s">
        <v>367</v>
      </c>
      <c r="Q135" s="4">
        <v>43</v>
      </c>
      <c r="R135" s="6" t="s">
        <v>363</v>
      </c>
      <c r="S135" s="1" t="s">
        <v>313</v>
      </c>
      <c r="T135" s="16">
        <v>0</v>
      </c>
      <c r="U135" s="6" t="s">
        <v>363</v>
      </c>
      <c r="X135" s="11">
        <f>IF(Table132[[#This Row],[template]]="","",VLOOKUP(Table132[[#This Row],[IP_NAME]],Table511175[],2,FALSE))</f>
        <v>1</v>
      </c>
      <c r="Y135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>04000</v>
      </c>
      <c r="Z135" s="14">
        <f>IF(Table132[[#This Row],[template]]="","",HEX2DEC(Table132[[#This Row],[Addr_Hex]]))</f>
        <v>67</v>
      </c>
    </row>
    <row r="136" spans="2:26" x14ac:dyDescent="0.3">
      <c r="B136" s="4">
        <v>402</v>
      </c>
      <c r="C136" s="4" t="s">
        <v>233</v>
      </c>
      <c r="D136" s="9" t="str">
        <f>UPPER(Table132[[#This Row],[SIGNAL]])</f>
        <v>EV_SEQTRGSEL_1</v>
      </c>
      <c r="E136" s="9" t="str">
        <f>IF(Table132[[#This Row],[template]]="","","0x"&amp;Table132[[#This Row],[IP_Index]]&amp;DEC2HEX(Table132[[#This Row],[Addr_Dec]]*4,7))</f>
        <v>0x1000010C</v>
      </c>
      <c r="F136" s="9" t="str">
        <f>IF(Table132[[#This Row],[template]]="","",VLOOKUP(Table132[[#This Row],[template]],Table29153[],2,FALSE))</f>
        <v>asynParamInt32</v>
      </c>
      <c r="G136" s="18" t="str">
        <f>IF(Table132[[#This Row],[template]]="","","1")</f>
        <v>1</v>
      </c>
      <c r="H136" s="10"/>
      <c r="I136" s="13" t="str">
        <f>IF(Table132[[#This Row],[template]]="","","0x"&amp;Table132[[#This Row],[D_Index]]&amp;"000")</f>
        <v>0x04040000</v>
      </c>
      <c r="J136" s="18" t="s">
        <v>341</v>
      </c>
      <c r="K136" s="10">
        <v>0</v>
      </c>
      <c r="L136" s="11"/>
      <c r="M136" s="9" t="str">
        <f>IF(Table132[[#This Row],[template]]="","",Table132[[#This Row],[IP_NAME]]&amp;"_"&amp;Table132[[#This Row],[PARAM_NAME]]&amp;IF(Table132[[#This Row],[PARAM_SUB]]="","","_"&amp;Table132[[#This Row],[PARAM_SUB]]))</f>
        <v>ev_seqTrgSel_1</v>
      </c>
      <c r="N136" s="1" t="s">
        <v>262</v>
      </c>
      <c r="O136" s="1" t="s">
        <v>394</v>
      </c>
      <c r="P136" s="6" t="s">
        <v>271</v>
      </c>
      <c r="Q136" s="4">
        <v>43</v>
      </c>
      <c r="R136" s="6" t="s">
        <v>363</v>
      </c>
      <c r="S136" s="1" t="s">
        <v>313</v>
      </c>
      <c r="T136" s="16">
        <v>4</v>
      </c>
      <c r="U136" s="6" t="s">
        <v>363</v>
      </c>
      <c r="X136" s="11">
        <f>IF(Table132[[#This Row],[template]]="","",VLOOKUP(Table132[[#This Row],[IP_NAME]],Table511175[],2,FALSE))</f>
        <v>1</v>
      </c>
      <c r="Y136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>04040</v>
      </c>
      <c r="Z136" s="14">
        <f>IF(Table132[[#This Row],[template]]="","",HEX2DEC(Table132[[#This Row],[Addr_Hex]]))</f>
        <v>67</v>
      </c>
    </row>
    <row r="137" spans="2:26" x14ac:dyDescent="0.3">
      <c r="B137" s="4">
        <v>400</v>
      </c>
      <c r="C137" s="4"/>
      <c r="D137" s="9" t="str">
        <f>UPPER(Table132[[#This Row],[SIGNAL]])</f>
        <v/>
      </c>
      <c r="E137" s="9" t="str">
        <f>IF(Table132[[#This Row],[template]]="","","0x"&amp;Table132[[#This Row],[IP_Index]]&amp;DEC2HEX(Table132[[#This Row],[Addr_Dec]]*4,7))</f>
        <v/>
      </c>
      <c r="F137" s="9" t="str">
        <f>IF(Table132[[#This Row],[template]]="","",VLOOKUP(Table132[[#This Row],[template]],Table29153[],2,FALSE))</f>
        <v/>
      </c>
      <c r="G137" s="18" t="str">
        <f>IF(Table132[[#This Row],[template]]="","","1")</f>
        <v/>
      </c>
      <c r="H137" s="10"/>
      <c r="I137" s="13" t="str">
        <f>IF(Table132[[#This Row],[template]]="","","0x"&amp;Table132[[#This Row],[D_Index]]&amp;"000")</f>
        <v/>
      </c>
      <c r="J137" s="18"/>
      <c r="K137" s="10">
        <v>0</v>
      </c>
      <c r="L137" s="11"/>
      <c r="M137" s="9" t="str">
        <f>IF(Table132[[#This Row],[template]]="","",Table132[[#This Row],[IP_NAME]]&amp;"_"&amp;Table132[[#This Row],[PARAM_NAME]]&amp;IF(Table132[[#This Row],[PARAM_SUB]]="","","_"&amp;Table132[[#This Row],[PARAM_SUB]]))</f>
        <v/>
      </c>
      <c r="P137" s="6"/>
      <c r="Q137" s="4"/>
      <c r="R137" s="6"/>
      <c r="T137" s="16"/>
      <c r="U137" s="6"/>
      <c r="X137" s="11" t="str">
        <f>IF(Table132[[#This Row],[template]]="","",VLOOKUP(Table132[[#This Row],[IP_NAME]],Table511175[],2,FALSE))</f>
        <v/>
      </c>
      <c r="Y137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/>
      </c>
      <c r="Z137" s="14" t="str">
        <f>IF(Table132[[#This Row],[template]]="","",HEX2DEC(Table132[[#This Row],[Addr_Hex]]))</f>
        <v/>
      </c>
    </row>
    <row r="138" spans="2:26" x14ac:dyDescent="0.3">
      <c r="B138" s="4">
        <v>401</v>
      </c>
      <c r="C138" s="4" t="s">
        <v>233</v>
      </c>
      <c r="D138" s="9" t="str">
        <f>UPPER(Table132[[#This Row],[SIGNAL]])</f>
        <v>EV_SEQTRGMSKA_0</v>
      </c>
      <c r="E138" s="9" t="str">
        <f>IF(Table132[[#This Row],[template]]="","","0x"&amp;Table132[[#This Row],[IP_Index]]&amp;DEC2HEX(Table132[[#This Row],[Addr_Dec]]*4,7))</f>
        <v>0x10000110</v>
      </c>
      <c r="F138" s="9" t="str">
        <f>IF(Table132[[#This Row],[template]]="","",VLOOKUP(Table132[[#This Row],[template]],Table29153[],2,FALSE))</f>
        <v>asynParamInt32</v>
      </c>
      <c r="G138" s="18" t="str">
        <f>IF(Table132[[#This Row],[template]]="","","1")</f>
        <v>1</v>
      </c>
      <c r="H138" s="10"/>
      <c r="I138" s="13" t="str">
        <f>IF(Table132[[#This Row],[template]]="","","0x"&amp;Table132[[#This Row],[D_Index]]&amp;"000")</f>
        <v>0x01000000</v>
      </c>
      <c r="J138" s="18" t="s">
        <v>341</v>
      </c>
      <c r="K138" s="10">
        <v>0</v>
      </c>
      <c r="L138" s="11"/>
      <c r="M138" s="9" t="str">
        <f>IF(Table132[[#This Row],[template]]="","",Table132[[#This Row],[IP_NAME]]&amp;"_"&amp;Table132[[#This Row],[PARAM_NAME]]&amp;IF(Table132[[#This Row],[PARAM_SUB]]="","","_"&amp;Table132[[#This Row],[PARAM_SUB]]))</f>
        <v>ev_seqTrgMskA_0</v>
      </c>
      <c r="N138" s="1" t="s">
        <v>262</v>
      </c>
      <c r="O138" s="1" t="s">
        <v>395</v>
      </c>
      <c r="P138" s="6" t="s">
        <v>367</v>
      </c>
      <c r="Q138" s="4">
        <v>44</v>
      </c>
      <c r="R138" s="6" t="s">
        <v>363</v>
      </c>
      <c r="S138" s="1" t="s">
        <v>254</v>
      </c>
      <c r="T138" s="16">
        <v>0</v>
      </c>
      <c r="U138" s="6" t="s">
        <v>363</v>
      </c>
      <c r="X138" s="11">
        <f>IF(Table132[[#This Row],[template]]="","",VLOOKUP(Table132[[#This Row],[IP_NAME]],Table511175[],2,FALSE))</f>
        <v>1</v>
      </c>
      <c r="Y138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>01000</v>
      </c>
      <c r="Z138" s="14">
        <f>IF(Table132[[#This Row],[template]]="","",HEX2DEC(Table132[[#This Row],[Addr_Hex]]))</f>
        <v>68</v>
      </c>
    </row>
    <row r="139" spans="2:26" x14ac:dyDescent="0.3">
      <c r="B139" s="4">
        <v>402</v>
      </c>
      <c r="C139" s="4" t="s">
        <v>233</v>
      </c>
      <c r="D139" s="9" t="str">
        <f>UPPER(Table132[[#This Row],[SIGNAL]])</f>
        <v>EV_SEQTRGMSKA_1</v>
      </c>
      <c r="E139" s="9" t="str">
        <f>IF(Table132[[#This Row],[template]]="","","0x"&amp;Table132[[#This Row],[IP_Index]]&amp;DEC2HEX(Table132[[#This Row],[Addr_Dec]]*4,7))</f>
        <v>0x10000114</v>
      </c>
      <c r="F139" s="9" t="str">
        <f>IF(Table132[[#This Row],[template]]="","",VLOOKUP(Table132[[#This Row],[template]],Table29153[],2,FALSE))</f>
        <v>asynParamInt32</v>
      </c>
      <c r="G139" s="18" t="str">
        <f>IF(Table132[[#This Row],[template]]="","","1")</f>
        <v>1</v>
      </c>
      <c r="H139" s="10"/>
      <c r="I139" s="13" t="str">
        <f>IF(Table132[[#This Row],[template]]="","","0x"&amp;Table132[[#This Row],[D_Index]]&amp;"000")</f>
        <v>0x01000000</v>
      </c>
      <c r="J139" s="18" t="s">
        <v>341</v>
      </c>
      <c r="K139" s="10">
        <v>0</v>
      </c>
      <c r="L139" s="11"/>
      <c r="M139" s="9" t="str">
        <f>IF(Table132[[#This Row],[template]]="","",Table132[[#This Row],[IP_NAME]]&amp;"_"&amp;Table132[[#This Row],[PARAM_NAME]]&amp;IF(Table132[[#This Row],[PARAM_SUB]]="","","_"&amp;Table132[[#This Row],[PARAM_SUB]]))</f>
        <v>ev_seqTrgMskA_1</v>
      </c>
      <c r="N139" s="1" t="s">
        <v>262</v>
      </c>
      <c r="O139" s="1" t="s">
        <v>395</v>
      </c>
      <c r="P139" s="6" t="s">
        <v>271</v>
      </c>
      <c r="Q139" s="4">
        <v>45</v>
      </c>
      <c r="R139" s="6" t="s">
        <v>363</v>
      </c>
      <c r="S139" s="1" t="s">
        <v>254</v>
      </c>
      <c r="T139" s="16">
        <v>0</v>
      </c>
      <c r="U139" s="6" t="s">
        <v>363</v>
      </c>
      <c r="X139" s="11">
        <f>IF(Table132[[#This Row],[template]]="","",VLOOKUP(Table132[[#This Row],[IP_NAME]],Table511175[],2,FALSE))</f>
        <v>1</v>
      </c>
      <c r="Y139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>01000</v>
      </c>
      <c r="Z139" s="14">
        <f>IF(Table132[[#This Row],[template]]="","",HEX2DEC(Table132[[#This Row],[Addr_Hex]]))</f>
        <v>69</v>
      </c>
    </row>
    <row r="140" spans="2:26" x14ac:dyDescent="0.3">
      <c r="B140" s="4">
        <v>400</v>
      </c>
      <c r="C140" s="4" t="s">
        <v>233</v>
      </c>
      <c r="D140" s="9" t="str">
        <f>UPPER(Table132[[#This Row],[SIGNAL]])</f>
        <v>EV_SEQTRGMSKB_0</v>
      </c>
      <c r="E140" s="9" t="str">
        <f>IF(Table132[[#This Row],[template]]="","","0x"&amp;Table132[[#This Row],[IP_Index]]&amp;DEC2HEX(Table132[[#This Row],[Addr_Dec]]*4,7))</f>
        <v>0x10000118</v>
      </c>
      <c r="F140" s="9" t="str">
        <f>IF(Table132[[#This Row],[template]]="","",VLOOKUP(Table132[[#This Row],[template]],Table29153[],2,FALSE))</f>
        <v>asynParamInt32</v>
      </c>
      <c r="G140" s="18" t="str">
        <f>IF(Table132[[#This Row],[template]]="","","1")</f>
        <v>1</v>
      </c>
      <c r="H140" s="10"/>
      <c r="I140" s="13" t="str">
        <f>IF(Table132[[#This Row],[template]]="","","0x"&amp;Table132[[#This Row],[D_Index]]&amp;"000")</f>
        <v>0x01000000</v>
      </c>
      <c r="J140" s="18" t="s">
        <v>341</v>
      </c>
      <c r="K140" s="10">
        <v>0</v>
      </c>
      <c r="L140" s="11"/>
      <c r="M140" s="9" t="str">
        <f>IF(Table132[[#This Row],[template]]="","",Table132[[#This Row],[IP_NAME]]&amp;"_"&amp;Table132[[#This Row],[PARAM_NAME]]&amp;IF(Table132[[#This Row],[PARAM_SUB]]="","","_"&amp;Table132[[#This Row],[PARAM_SUB]]))</f>
        <v>ev_seqTrgMskB_0</v>
      </c>
      <c r="N140" s="1" t="s">
        <v>262</v>
      </c>
      <c r="O140" s="1" t="s">
        <v>396</v>
      </c>
      <c r="P140" s="6" t="s">
        <v>367</v>
      </c>
      <c r="Q140" s="4">
        <v>46</v>
      </c>
      <c r="R140" s="6" t="s">
        <v>363</v>
      </c>
      <c r="S140" s="1" t="s">
        <v>254</v>
      </c>
      <c r="T140" s="16">
        <v>0</v>
      </c>
      <c r="U140" s="6" t="s">
        <v>363</v>
      </c>
      <c r="X140" s="11">
        <f>IF(Table132[[#This Row],[template]]="","",VLOOKUP(Table132[[#This Row],[IP_NAME]],Table511175[],2,FALSE))</f>
        <v>1</v>
      </c>
      <c r="Y140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>01000</v>
      </c>
      <c r="Z140" s="14">
        <f>IF(Table132[[#This Row],[template]]="","",HEX2DEC(Table132[[#This Row],[Addr_Hex]]))</f>
        <v>70</v>
      </c>
    </row>
    <row r="141" spans="2:26" x14ac:dyDescent="0.3">
      <c r="B141" s="4">
        <v>401</v>
      </c>
      <c r="C141" s="4" t="s">
        <v>233</v>
      </c>
      <c r="D141" s="9" t="str">
        <f>UPPER(Table132[[#This Row],[SIGNAL]])</f>
        <v>EV_SEQTRGMSKB_1</v>
      </c>
      <c r="E141" s="9" t="str">
        <f>IF(Table132[[#This Row],[template]]="","","0x"&amp;Table132[[#This Row],[IP_Index]]&amp;DEC2HEX(Table132[[#This Row],[Addr_Dec]]*4,7))</f>
        <v>0x1000011C</v>
      </c>
      <c r="F141" s="9" t="str">
        <f>IF(Table132[[#This Row],[template]]="","",VLOOKUP(Table132[[#This Row],[template]],Table29153[],2,FALSE))</f>
        <v>asynParamInt32</v>
      </c>
      <c r="G141" s="18" t="str">
        <f>IF(Table132[[#This Row],[template]]="","","1")</f>
        <v>1</v>
      </c>
      <c r="H141" s="10"/>
      <c r="I141" s="13" t="str">
        <f>IF(Table132[[#This Row],[template]]="","","0x"&amp;Table132[[#This Row],[D_Index]]&amp;"000")</f>
        <v>0x01000000</v>
      </c>
      <c r="J141" s="18" t="s">
        <v>341</v>
      </c>
      <c r="K141" s="10">
        <v>0</v>
      </c>
      <c r="L141" s="11"/>
      <c r="M141" s="9" t="str">
        <f>IF(Table132[[#This Row],[template]]="","",Table132[[#This Row],[IP_NAME]]&amp;"_"&amp;Table132[[#This Row],[PARAM_NAME]]&amp;IF(Table132[[#This Row],[PARAM_SUB]]="","","_"&amp;Table132[[#This Row],[PARAM_SUB]]))</f>
        <v>ev_seqTrgMskB_1</v>
      </c>
      <c r="N141" s="1" t="s">
        <v>262</v>
      </c>
      <c r="O141" s="1" t="s">
        <v>396</v>
      </c>
      <c r="P141" s="6" t="s">
        <v>271</v>
      </c>
      <c r="Q141" s="4">
        <v>47</v>
      </c>
      <c r="R141" s="6" t="s">
        <v>363</v>
      </c>
      <c r="S141" s="1" t="s">
        <v>254</v>
      </c>
      <c r="T141" s="16">
        <v>0</v>
      </c>
      <c r="U141" s="6" t="s">
        <v>363</v>
      </c>
      <c r="X141" s="11">
        <f>IF(Table132[[#This Row],[template]]="","",VLOOKUP(Table132[[#This Row],[IP_NAME]],Table511175[],2,FALSE))</f>
        <v>1</v>
      </c>
      <c r="Y141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>01000</v>
      </c>
      <c r="Z141" s="14">
        <f>IF(Table132[[#This Row],[template]]="","",HEX2DEC(Table132[[#This Row],[Addr_Hex]]))</f>
        <v>71</v>
      </c>
    </row>
    <row r="142" spans="2:26" x14ac:dyDescent="0.3">
      <c r="B142" s="4">
        <v>402</v>
      </c>
      <c r="C142" s="4" t="s">
        <v>233</v>
      </c>
      <c r="D142" s="9" t="str">
        <f>UPPER(Table132[[#This Row],[SIGNAL]])</f>
        <v>EV_SEQ_REPEATREG_0</v>
      </c>
      <c r="E142" s="9" t="str">
        <f>IF(Table132[[#This Row],[template]]="","","0x"&amp;Table132[[#This Row],[IP_Index]]&amp;DEC2HEX(Table132[[#This Row],[Addr_Dec]]*4,7))</f>
        <v>0x10000120</v>
      </c>
      <c r="F142" s="9" t="str">
        <f>IF(Table132[[#This Row],[template]]="","",VLOOKUP(Table132[[#This Row],[template]],Table29153[],2,FALSE))</f>
        <v>asynParamInt32</v>
      </c>
      <c r="G142" s="18" t="str">
        <f>IF(Table132[[#This Row],[template]]="","","1")</f>
        <v>1</v>
      </c>
      <c r="H142" s="10"/>
      <c r="I142" s="13" t="str">
        <f>IF(Table132[[#This Row],[template]]="","","0x"&amp;Table132[[#This Row],[D_Index]]&amp;"000")</f>
        <v>0x01000000</v>
      </c>
      <c r="J142" s="18" t="s">
        <v>341</v>
      </c>
      <c r="K142" s="10">
        <v>0</v>
      </c>
      <c r="L142" s="11"/>
      <c r="M142" s="9" t="str">
        <f>IF(Table132[[#This Row],[template]]="","",Table132[[#This Row],[IP_NAME]]&amp;"_"&amp;Table132[[#This Row],[PARAM_NAME]]&amp;IF(Table132[[#This Row],[PARAM_SUB]]="","","_"&amp;Table132[[#This Row],[PARAM_SUB]]))</f>
        <v>ev_seq_repeatReg_0</v>
      </c>
      <c r="N142" s="1" t="s">
        <v>262</v>
      </c>
      <c r="O142" s="1" t="s">
        <v>397</v>
      </c>
      <c r="P142" s="6" t="s">
        <v>367</v>
      </c>
      <c r="Q142" s="4">
        <v>48</v>
      </c>
      <c r="R142" s="6" t="s">
        <v>363</v>
      </c>
      <c r="S142" s="1" t="s">
        <v>254</v>
      </c>
      <c r="T142" s="16">
        <v>0</v>
      </c>
      <c r="U142" s="6" t="s">
        <v>363</v>
      </c>
      <c r="X142" s="11">
        <f>IF(Table132[[#This Row],[template]]="","",VLOOKUP(Table132[[#This Row],[IP_NAME]],Table511175[],2,FALSE))</f>
        <v>1</v>
      </c>
      <c r="Y142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>01000</v>
      </c>
      <c r="Z142" s="14">
        <f>IF(Table132[[#This Row],[template]]="","",HEX2DEC(Table132[[#This Row],[Addr_Hex]]))</f>
        <v>72</v>
      </c>
    </row>
    <row r="143" spans="2:26" x14ac:dyDescent="0.3">
      <c r="B143" s="4">
        <v>400</v>
      </c>
      <c r="C143" s="4" t="s">
        <v>233</v>
      </c>
      <c r="D143" s="9" t="str">
        <f>UPPER(Table132[[#This Row],[SIGNAL]])</f>
        <v>EV_SEQ_REPEATREG_1</v>
      </c>
      <c r="E143" s="9" t="str">
        <f>IF(Table132[[#This Row],[template]]="","","0x"&amp;Table132[[#This Row],[IP_Index]]&amp;DEC2HEX(Table132[[#This Row],[Addr_Dec]]*4,7))</f>
        <v>0x10000124</v>
      </c>
      <c r="F143" s="9" t="str">
        <f>IF(Table132[[#This Row],[template]]="","",VLOOKUP(Table132[[#This Row],[template]],Table29153[],2,FALSE))</f>
        <v>asynParamInt32</v>
      </c>
      <c r="G143" s="18" t="str">
        <f>IF(Table132[[#This Row],[template]]="","","1")</f>
        <v>1</v>
      </c>
      <c r="H143" s="10"/>
      <c r="I143" s="13" t="str">
        <f>IF(Table132[[#This Row],[template]]="","","0x"&amp;Table132[[#This Row],[D_Index]]&amp;"000")</f>
        <v>0x01000000</v>
      </c>
      <c r="J143" s="18" t="s">
        <v>341</v>
      </c>
      <c r="K143" s="10">
        <v>0</v>
      </c>
      <c r="L143" s="11"/>
      <c r="M143" s="9" t="str">
        <f>IF(Table132[[#This Row],[template]]="","",Table132[[#This Row],[IP_NAME]]&amp;"_"&amp;Table132[[#This Row],[PARAM_NAME]]&amp;IF(Table132[[#This Row],[PARAM_SUB]]="","","_"&amp;Table132[[#This Row],[PARAM_SUB]]))</f>
        <v>ev_seq_repeatReg_1</v>
      </c>
      <c r="N143" s="1" t="s">
        <v>262</v>
      </c>
      <c r="O143" s="1" t="s">
        <v>397</v>
      </c>
      <c r="P143" s="6" t="s">
        <v>271</v>
      </c>
      <c r="Q143" s="4">
        <v>49</v>
      </c>
      <c r="R143" s="6" t="s">
        <v>363</v>
      </c>
      <c r="S143" s="1" t="s">
        <v>254</v>
      </c>
      <c r="T143" s="16">
        <v>0</v>
      </c>
      <c r="U143" s="6" t="s">
        <v>363</v>
      </c>
      <c r="X143" s="11">
        <f>IF(Table132[[#This Row],[template]]="","",VLOOKUP(Table132[[#This Row],[IP_NAME]],Table511175[],2,FALSE))</f>
        <v>1</v>
      </c>
      <c r="Y143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>01000</v>
      </c>
      <c r="Z143" s="14">
        <f>IF(Table132[[#This Row],[template]]="","",HEX2DEC(Table132[[#This Row],[Addr_Hex]]))</f>
        <v>73</v>
      </c>
    </row>
    <row r="144" spans="2:26" x14ac:dyDescent="0.3">
      <c r="B144" s="4">
        <v>401</v>
      </c>
      <c r="C144" s="4"/>
      <c r="D144" s="9" t="str">
        <f>UPPER(Table132[[#This Row],[SIGNAL]])</f>
        <v/>
      </c>
      <c r="E144" s="9" t="str">
        <f>IF(Table132[[#This Row],[template]]="","","0x"&amp;Table132[[#This Row],[IP_Index]]&amp;DEC2HEX(Table132[[#This Row],[Addr_Dec]]*4,7))</f>
        <v/>
      </c>
      <c r="F144" s="9" t="str">
        <f>IF(Table132[[#This Row],[template]]="","",VLOOKUP(Table132[[#This Row],[template]],Table29153[],2,FALSE))</f>
        <v/>
      </c>
      <c r="G144" s="18" t="str">
        <f>IF(Table132[[#This Row],[template]]="","","1")</f>
        <v/>
      </c>
      <c r="H144" s="10"/>
      <c r="I144" s="13" t="str">
        <f>IF(Table132[[#This Row],[template]]="","","0x"&amp;Table132[[#This Row],[D_Index]]&amp;"000")</f>
        <v/>
      </c>
      <c r="J144" s="18"/>
      <c r="K144" s="10">
        <v>0</v>
      </c>
      <c r="L144" s="11"/>
      <c r="M144" s="9" t="str">
        <f>IF(Table132[[#This Row],[template]]="","",Table132[[#This Row],[IP_NAME]]&amp;"_"&amp;Table132[[#This Row],[PARAM_NAME]]&amp;IF(Table132[[#This Row],[PARAM_SUB]]="","","_"&amp;Table132[[#This Row],[PARAM_SUB]]))</f>
        <v/>
      </c>
      <c r="P144" s="6"/>
      <c r="Q144" s="4"/>
      <c r="R144" s="6"/>
      <c r="T144" s="16"/>
      <c r="U144" s="6"/>
      <c r="X144" s="11" t="str">
        <f>IF(Table132[[#This Row],[template]]="","",VLOOKUP(Table132[[#This Row],[IP_NAME]],Table511175[],2,FALSE))</f>
        <v/>
      </c>
      <c r="Y144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/>
      </c>
      <c r="Z144" s="14" t="str">
        <f>IF(Table132[[#This Row],[template]]="","",HEX2DEC(Table132[[#This Row],[Addr_Hex]]))</f>
        <v/>
      </c>
    </row>
    <row r="145" spans="2:26" x14ac:dyDescent="0.3">
      <c r="B145" s="4">
        <v>402</v>
      </c>
      <c r="C145" s="4" t="s">
        <v>233</v>
      </c>
      <c r="D145" s="9" t="str">
        <f>UPPER(Table132[[#This Row],[SIGNAL]])</f>
        <v>EV_MXC14_PRESCALERREG_0</v>
      </c>
      <c r="E145" s="9" t="str">
        <f>IF(Table132[[#This Row],[template]]="","","0x"&amp;Table132[[#This Row],[IP_Index]]&amp;DEC2HEX(Table132[[#This Row],[Addr_Dec]]*4,7))</f>
        <v>0x10000140</v>
      </c>
      <c r="F145" s="9" t="str">
        <f>IF(Table132[[#This Row],[template]]="","",VLOOKUP(Table132[[#This Row],[template]],Table29153[],2,FALSE))</f>
        <v>asynParamInt32</v>
      </c>
      <c r="G145" s="18" t="str">
        <f>IF(Table132[[#This Row],[template]]="","","1")</f>
        <v>1</v>
      </c>
      <c r="H145" s="10"/>
      <c r="I145" s="13" t="str">
        <f>IF(Table132[[#This Row],[template]]="","","0x"&amp;Table132[[#This Row],[D_Index]]&amp;"000")</f>
        <v>0x01000000</v>
      </c>
      <c r="J145" s="18" t="s">
        <v>341</v>
      </c>
      <c r="K145" s="10">
        <v>0</v>
      </c>
      <c r="L145" s="11"/>
      <c r="M145" s="9" t="str">
        <f>IF(Table132[[#This Row],[template]]="","",Table132[[#This Row],[IP_NAME]]&amp;"_"&amp;Table132[[#This Row],[PARAM_NAME]]&amp;IF(Table132[[#This Row],[PARAM_SUB]]="","","_"&amp;Table132[[#This Row],[PARAM_SUB]]))</f>
        <v>ev_mxc14_prescalerReg_0</v>
      </c>
      <c r="N145" s="1" t="s">
        <v>262</v>
      </c>
      <c r="O145" s="1" t="s">
        <v>398</v>
      </c>
      <c r="P145" s="6" t="s">
        <v>367</v>
      </c>
      <c r="Q145" s="4">
        <v>50</v>
      </c>
      <c r="R145" s="6" t="s">
        <v>363</v>
      </c>
      <c r="S145" s="1" t="s">
        <v>254</v>
      </c>
      <c r="T145" s="16">
        <v>0</v>
      </c>
      <c r="U145" s="6" t="s">
        <v>363</v>
      </c>
      <c r="X145" s="11">
        <f>IF(Table132[[#This Row],[template]]="","",VLOOKUP(Table132[[#This Row],[IP_NAME]],Table511175[],2,FALSE))</f>
        <v>1</v>
      </c>
      <c r="Y145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>01000</v>
      </c>
      <c r="Z145" s="14">
        <f>IF(Table132[[#This Row],[template]]="","",HEX2DEC(Table132[[#This Row],[Addr_Hex]]))</f>
        <v>80</v>
      </c>
    </row>
    <row r="146" spans="2:26" x14ac:dyDescent="0.3">
      <c r="B146" s="4">
        <v>400</v>
      </c>
      <c r="C146" s="4" t="s">
        <v>233</v>
      </c>
      <c r="D146" s="9" t="str">
        <f>UPPER(Table132[[#This Row],[SIGNAL]])</f>
        <v>EV_MXC14_PRESCALERREG_1</v>
      </c>
      <c r="E146" s="9" t="str">
        <f>IF(Table132[[#This Row],[template]]="","","0x"&amp;Table132[[#This Row],[IP_Index]]&amp;DEC2HEX(Table132[[#This Row],[Addr_Dec]]*4,7))</f>
        <v>0x10000144</v>
      </c>
      <c r="F146" s="9" t="str">
        <f>IF(Table132[[#This Row],[template]]="","",VLOOKUP(Table132[[#This Row],[template]],Table29153[],2,FALSE))</f>
        <v>asynParamInt32</v>
      </c>
      <c r="G146" s="18" t="str">
        <f>IF(Table132[[#This Row],[template]]="","","1")</f>
        <v>1</v>
      </c>
      <c r="H146" s="10"/>
      <c r="I146" s="13" t="str">
        <f>IF(Table132[[#This Row],[template]]="","","0x"&amp;Table132[[#This Row],[D_Index]]&amp;"000")</f>
        <v>0x01000000</v>
      </c>
      <c r="J146" s="18" t="s">
        <v>341</v>
      </c>
      <c r="K146" s="10">
        <v>0</v>
      </c>
      <c r="L146" s="11"/>
      <c r="M146" s="9" t="str">
        <f>IF(Table132[[#This Row],[template]]="","",Table132[[#This Row],[IP_NAME]]&amp;"_"&amp;Table132[[#This Row],[PARAM_NAME]]&amp;IF(Table132[[#This Row],[PARAM_SUB]]="","","_"&amp;Table132[[#This Row],[PARAM_SUB]]))</f>
        <v>ev_mxc14_prescalerReg_1</v>
      </c>
      <c r="N146" s="1" t="s">
        <v>262</v>
      </c>
      <c r="O146" s="1" t="s">
        <v>398</v>
      </c>
      <c r="P146" s="6" t="s">
        <v>271</v>
      </c>
      <c r="Q146" s="4">
        <v>51</v>
      </c>
      <c r="R146" s="6" t="s">
        <v>363</v>
      </c>
      <c r="S146" s="1" t="s">
        <v>254</v>
      </c>
      <c r="T146" s="16">
        <v>0</v>
      </c>
      <c r="U146" s="6" t="s">
        <v>363</v>
      </c>
      <c r="X146" s="11">
        <f>IF(Table132[[#This Row],[template]]="","",VLOOKUP(Table132[[#This Row],[IP_NAME]],Table511175[],2,FALSE))</f>
        <v>1</v>
      </c>
      <c r="Y146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>01000</v>
      </c>
      <c r="Z146" s="14">
        <f>IF(Table132[[#This Row],[template]]="","",HEX2DEC(Table132[[#This Row],[Addr_Hex]]))</f>
        <v>81</v>
      </c>
    </row>
    <row r="147" spans="2:26" x14ac:dyDescent="0.3">
      <c r="B147" s="4">
        <v>401</v>
      </c>
      <c r="C147" s="4" t="s">
        <v>233</v>
      </c>
      <c r="D147" s="9" t="str">
        <f>UPPER(Table132[[#This Row],[SIGNAL]])</f>
        <v>EV_MXC14_PRESCALERREG_2</v>
      </c>
      <c r="E147" s="9" t="str">
        <f>IF(Table132[[#This Row],[template]]="","","0x"&amp;Table132[[#This Row],[IP_Index]]&amp;DEC2HEX(Table132[[#This Row],[Addr_Dec]]*4,7))</f>
        <v>0x10000148</v>
      </c>
      <c r="F147" s="9" t="str">
        <f>IF(Table132[[#This Row],[template]]="","",VLOOKUP(Table132[[#This Row],[template]],Table29153[],2,FALSE))</f>
        <v>asynParamInt32</v>
      </c>
      <c r="G147" s="18" t="str">
        <f>IF(Table132[[#This Row],[template]]="","","1")</f>
        <v>1</v>
      </c>
      <c r="H147" s="10"/>
      <c r="I147" s="13" t="str">
        <f>IF(Table132[[#This Row],[template]]="","","0x"&amp;Table132[[#This Row],[D_Index]]&amp;"000")</f>
        <v>0x01000000</v>
      </c>
      <c r="J147" s="18" t="s">
        <v>341</v>
      </c>
      <c r="K147" s="10">
        <v>0</v>
      </c>
      <c r="L147" s="11"/>
      <c r="M147" s="9" t="str">
        <f>IF(Table132[[#This Row],[template]]="","",Table132[[#This Row],[IP_NAME]]&amp;"_"&amp;Table132[[#This Row],[PARAM_NAME]]&amp;IF(Table132[[#This Row],[PARAM_SUB]]="","","_"&amp;Table132[[#This Row],[PARAM_SUB]]))</f>
        <v>ev_mxc14_prescalerReg_2</v>
      </c>
      <c r="N147" s="1" t="s">
        <v>262</v>
      </c>
      <c r="O147" s="1" t="s">
        <v>398</v>
      </c>
      <c r="P147" s="6" t="s">
        <v>243</v>
      </c>
      <c r="Q147" s="4">
        <v>52</v>
      </c>
      <c r="R147" s="6" t="s">
        <v>363</v>
      </c>
      <c r="S147" s="1" t="s">
        <v>254</v>
      </c>
      <c r="T147" s="16">
        <v>0</v>
      </c>
      <c r="U147" s="6" t="s">
        <v>363</v>
      </c>
      <c r="X147" s="11">
        <f>IF(Table132[[#This Row],[template]]="","",VLOOKUP(Table132[[#This Row],[IP_NAME]],Table511175[],2,FALSE))</f>
        <v>1</v>
      </c>
      <c r="Y147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>01000</v>
      </c>
      <c r="Z147" s="14">
        <f>IF(Table132[[#This Row],[template]]="","",HEX2DEC(Table132[[#This Row],[Addr_Hex]]))</f>
        <v>82</v>
      </c>
    </row>
    <row r="148" spans="2:26" x14ac:dyDescent="0.3">
      <c r="B148" s="4">
        <v>402</v>
      </c>
      <c r="C148" s="4" t="s">
        <v>233</v>
      </c>
      <c r="D148" s="9" t="str">
        <f>UPPER(Table132[[#This Row],[SIGNAL]])</f>
        <v>EV_MXC14_PRESCALERREG_3</v>
      </c>
      <c r="E148" s="9" t="str">
        <f>IF(Table132[[#This Row],[template]]="","","0x"&amp;Table132[[#This Row],[IP_Index]]&amp;DEC2HEX(Table132[[#This Row],[Addr_Dec]]*4,7))</f>
        <v>0x1000014C</v>
      </c>
      <c r="F148" s="9" t="str">
        <f>IF(Table132[[#This Row],[template]]="","",VLOOKUP(Table132[[#This Row],[template]],Table29153[],2,FALSE))</f>
        <v>asynParamInt32</v>
      </c>
      <c r="G148" s="18" t="str">
        <f>IF(Table132[[#This Row],[template]]="","","1")</f>
        <v>1</v>
      </c>
      <c r="H148" s="10"/>
      <c r="I148" s="13" t="str">
        <f>IF(Table132[[#This Row],[template]]="","","0x"&amp;Table132[[#This Row],[D_Index]]&amp;"000")</f>
        <v>0x01000000</v>
      </c>
      <c r="J148" s="18" t="s">
        <v>341</v>
      </c>
      <c r="K148" s="10">
        <v>0</v>
      </c>
      <c r="L148" s="11"/>
      <c r="M148" s="9" t="str">
        <f>IF(Table132[[#This Row],[template]]="","",Table132[[#This Row],[IP_NAME]]&amp;"_"&amp;Table132[[#This Row],[PARAM_NAME]]&amp;IF(Table132[[#This Row],[PARAM_SUB]]="","","_"&amp;Table132[[#This Row],[PARAM_SUB]]))</f>
        <v>ev_mxc14_prescalerReg_3</v>
      </c>
      <c r="N148" s="1" t="s">
        <v>262</v>
      </c>
      <c r="O148" s="1" t="s">
        <v>398</v>
      </c>
      <c r="P148" s="6" t="s">
        <v>244</v>
      </c>
      <c r="Q148" s="4">
        <v>53</v>
      </c>
      <c r="R148" s="6" t="s">
        <v>363</v>
      </c>
      <c r="S148" s="1" t="s">
        <v>254</v>
      </c>
      <c r="T148" s="16">
        <v>0</v>
      </c>
      <c r="U148" s="6" t="s">
        <v>363</v>
      </c>
      <c r="X148" s="11">
        <f>IF(Table132[[#This Row],[template]]="","",VLOOKUP(Table132[[#This Row],[IP_NAME]],Table511175[],2,FALSE))</f>
        <v>1</v>
      </c>
      <c r="Y148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>01000</v>
      </c>
      <c r="Z148" s="14">
        <f>IF(Table132[[#This Row],[template]]="","",HEX2DEC(Table132[[#This Row],[Addr_Hex]]))</f>
        <v>83</v>
      </c>
    </row>
    <row r="149" spans="2:26" x14ac:dyDescent="0.3">
      <c r="B149" s="4">
        <v>400</v>
      </c>
      <c r="C149" s="4" t="s">
        <v>233</v>
      </c>
      <c r="D149" s="9" t="str">
        <f>UPPER(Table132[[#This Row],[SIGNAL]])</f>
        <v>EV_MXC14_PRESCALERREG_4</v>
      </c>
      <c r="E149" s="9" t="str">
        <f>IF(Table132[[#This Row],[template]]="","","0x"&amp;Table132[[#This Row],[IP_Index]]&amp;DEC2HEX(Table132[[#This Row],[Addr_Dec]]*4,7))</f>
        <v>0x10000150</v>
      </c>
      <c r="F149" s="9" t="str">
        <f>IF(Table132[[#This Row],[template]]="","",VLOOKUP(Table132[[#This Row],[template]],Table29153[],2,FALSE))</f>
        <v>asynParamInt32</v>
      </c>
      <c r="G149" s="18" t="str">
        <f>IF(Table132[[#This Row],[template]]="","","1")</f>
        <v>1</v>
      </c>
      <c r="H149" s="10"/>
      <c r="I149" s="13" t="str">
        <f>IF(Table132[[#This Row],[template]]="","","0x"&amp;Table132[[#This Row],[D_Index]]&amp;"000")</f>
        <v>0x01000000</v>
      </c>
      <c r="J149" s="18" t="s">
        <v>341</v>
      </c>
      <c r="K149" s="10">
        <v>0</v>
      </c>
      <c r="L149" s="11"/>
      <c r="M149" s="9" t="str">
        <f>IF(Table132[[#This Row],[template]]="","",Table132[[#This Row],[IP_NAME]]&amp;"_"&amp;Table132[[#This Row],[PARAM_NAME]]&amp;IF(Table132[[#This Row],[PARAM_SUB]]="","","_"&amp;Table132[[#This Row],[PARAM_SUB]]))</f>
        <v>ev_mxc14_prescalerReg_4</v>
      </c>
      <c r="N149" s="1" t="s">
        <v>262</v>
      </c>
      <c r="O149" s="1" t="s">
        <v>398</v>
      </c>
      <c r="P149" s="6" t="s">
        <v>245</v>
      </c>
      <c r="Q149" s="4">
        <v>54</v>
      </c>
      <c r="R149" s="6" t="s">
        <v>363</v>
      </c>
      <c r="S149" s="1" t="s">
        <v>254</v>
      </c>
      <c r="T149" s="16">
        <v>0</v>
      </c>
      <c r="U149" s="6" t="s">
        <v>363</v>
      </c>
      <c r="X149" s="11">
        <f>IF(Table132[[#This Row],[template]]="","",VLOOKUP(Table132[[#This Row],[IP_NAME]],Table511175[],2,FALSE))</f>
        <v>1</v>
      </c>
      <c r="Y149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>01000</v>
      </c>
      <c r="Z149" s="14">
        <f>IF(Table132[[#This Row],[template]]="","",HEX2DEC(Table132[[#This Row],[Addr_Hex]]))</f>
        <v>84</v>
      </c>
    </row>
    <row r="150" spans="2:26" x14ac:dyDescent="0.3">
      <c r="B150" s="4">
        <v>401</v>
      </c>
      <c r="C150" s="4" t="s">
        <v>233</v>
      </c>
      <c r="D150" s="9" t="str">
        <f>UPPER(Table132[[#This Row],[SIGNAL]])</f>
        <v>EV_MXC14_PRESCALERREG_5</v>
      </c>
      <c r="E150" s="9" t="str">
        <f>IF(Table132[[#This Row],[template]]="","","0x"&amp;Table132[[#This Row],[IP_Index]]&amp;DEC2HEX(Table132[[#This Row],[Addr_Dec]]*4,7))</f>
        <v>0x10000154</v>
      </c>
      <c r="F150" s="9" t="str">
        <f>IF(Table132[[#This Row],[template]]="","",VLOOKUP(Table132[[#This Row],[template]],Table29153[],2,FALSE))</f>
        <v>asynParamInt32</v>
      </c>
      <c r="G150" s="18" t="str">
        <f>IF(Table132[[#This Row],[template]]="","","1")</f>
        <v>1</v>
      </c>
      <c r="H150" s="10"/>
      <c r="I150" s="13" t="str">
        <f>IF(Table132[[#This Row],[template]]="","","0x"&amp;Table132[[#This Row],[D_Index]]&amp;"000")</f>
        <v>0x01000000</v>
      </c>
      <c r="J150" s="18" t="s">
        <v>341</v>
      </c>
      <c r="K150" s="10">
        <v>0</v>
      </c>
      <c r="L150" s="11"/>
      <c r="M150" s="9" t="str">
        <f>IF(Table132[[#This Row],[template]]="","",Table132[[#This Row],[IP_NAME]]&amp;"_"&amp;Table132[[#This Row],[PARAM_NAME]]&amp;IF(Table132[[#This Row],[PARAM_SUB]]="","","_"&amp;Table132[[#This Row],[PARAM_SUB]]))</f>
        <v>ev_mxc14_prescalerReg_5</v>
      </c>
      <c r="N150" s="1" t="s">
        <v>262</v>
      </c>
      <c r="O150" s="1" t="s">
        <v>398</v>
      </c>
      <c r="P150" s="6" t="s">
        <v>246</v>
      </c>
      <c r="Q150" s="4">
        <v>55</v>
      </c>
      <c r="R150" s="6" t="s">
        <v>363</v>
      </c>
      <c r="S150" s="1" t="s">
        <v>254</v>
      </c>
      <c r="T150" s="16">
        <v>0</v>
      </c>
      <c r="U150" s="6" t="s">
        <v>363</v>
      </c>
      <c r="X150" s="11">
        <f>IF(Table132[[#This Row],[template]]="","",VLOOKUP(Table132[[#This Row],[IP_NAME]],Table511175[],2,FALSE))</f>
        <v>1</v>
      </c>
      <c r="Y150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>01000</v>
      </c>
      <c r="Z150" s="14">
        <f>IF(Table132[[#This Row],[template]]="","",HEX2DEC(Table132[[#This Row],[Addr_Hex]]))</f>
        <v>85</v>
      </c>
    </row>
    <row r="151" spans="2:26" x14ac:dyDescent="0.3">
      <c r="B151" s="4">
        <v>402</v>
      </c>
      <c r="C151" s="4" t="s">
        <v>233</v>
      </c>
      <c r="D151" s="9" t="str">
        <f>UPPER(Table132[[#This Row],[SIGNAL]])</f>
        <v>EV_MXC14_PRESCALERREG_6</v>
      </c>
      <c r="E151" s="9" t="str">
        <f>IF(Table132[[#This Row],[template]]="","","0x"&amp;Table132[[#This Row],[IP_Index]]&amp;DEC2HEX(Table132[[#This Row],[Addr_Dec]]*4,7))</f>
        <v>0x10000158</v>
      </c>
      <c r="F151" s="9" t="str">
        <f>IF(Table132[[#This Row],[template]]="","",VLOOKUP(Table132[[#This Row],[template]],Table29153[],2,FALSE))</f>
        <v>asynParamInt32</v>
      </c>
      <c r="G151" s="18" t="str">
        <f>IF(Table132[[#This Row],[template]]="","","1")</f>
        <v>1</v>
      </c>
      <c r="H151" s="10"/>
      <c r="I151" s="13" t="str">
        <f>IF(Table132[[#This Row],[template]]="","","0x"&amp;Table132[[#This Row],[D_Index]]&amp;"000")</f>
        <v>0x01000000</v>
      </c>
      <c r="J151" s="18" t="s">
        <v>341</v>
      </c>
      <c r="K151" s="10">
        <v>0</v>
      </c>
      <c r="L151" s="11"/>
      <c r="M151" s="9" t="str">
        <f>IF(Table132[[#This Row],[template]]="","",Table132[[#This Row],[IP_NAME]]&amp;"_"&amp;Table132[[#This Row],[PARAM_NAME]]&amp;IF(Table132[[#This Row],[PARAM_SUB]]="","","_"&amp;Table132[[#This Row],[PARAM_SUB]]))</f>
        <v>ev_mxc14_prescalerReg_6</v>
      </c>
      <c r="N151" s="1" t="s">
        <v>262</v>
      </c>
      <c r="O151" s="1" t="s">
        <v>398</v>
      </c>
      <c r="P151" s="6" t="s">
        <v>247</v>
      </c>
      <c r="Q151" s="4">
        <v>56</v>
      </c>
      <c r="R151" s="6" t="s">
        <v>363</v>
      </c>
      <c r="S151" s="1" t="s">
        <v>254</v>
      </c>
      <c r="T151" s="16">
        <v>0</v>
      </c>
      <c r="U151" s="6" t="s">
        <v>363</v>
      </c>
      <c r="X151" s="11">
        <f>IF(Table132[[#This Row],[template]]="","",VLOOKUP(Table132[[#This Row],[IP_NAME]],Table511175[],2,FALSE))</f>
        <v>1</v>
      </c>
      <c r="Y151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>01000</v>
      </c>
      <c r="Z151" s="14">
        <f>IF(Table132[[#This Row],[template]]="","",HEX2DEC(Table132[[#This Row],[Addr_Hex]]))</f>
        <v>86</v>
      </c>
    </row>
    <row r="152" spans="2:26" x14ac:dyDescent="0.3">
      <c r="B152" s="4">
        <v>400</v>
      </c>
      <c r="C152" s="4" t="s">
        <v>233</v>
      </c>
      <c r="D152" s="9" t="str">
        <f>UPPER(Table132[[#This Row],[SIGNAL]])</f>
        <v>EV_MXC14_PRESCALERREG_7</v>
      </c>
      <c r="E152" s="9" t="str">
        <f>IF(Table132[[#This Row],[template]]="","","0x"&amp;Table132[[#This Row],[IP_Index]]&amp;DEC2HEX(Table132[[#This Row],[Addr_Dec]]*4,7))</f>
        <v>0x1000015C</v>
      </c>
      <c r="F152" s="9" t="str">
        <f>IF(Table132[[#This Row],[template]]="","",VLOOKUP(Table132[[#This Row],[template]],Table29153[],2,FALSE))</f>
        <v>asynParamInt32</v>
      </c>
      <c r="G152" s="18" t="str">
        <f>IF(Table132[[#This Row],[template]]="","","1")</f>
        <v>1</v>
      </c>
      <c r="H152" s="10"/>
      <c r="I152" s="13" t="str">
        <f>IF(Table132[[#This Row],[template]]="","","0x"&amp;Table132[[#This Row],[D_Index]]&amp;"000")</f>
        <v>0x01000000</v>
      </c>
      <c r="J152" s="18" t="s">
        <v>341</v>
      </c>
      <c r="K152" s="10">
        <v>0</v>
      </c>
      <c r="L152" s="11"/>
      <c r="M152" s="9" t="str">
        <f>IF(Table132[[#This Row],[template]]="","",Table132[[#This Row],[IP_NAME]]&amp;"_"&amp;Table132[[#This Row],[PARAM_NAME]]&amp;IF(Table132[[#This Row],[PARAM_SUB]]="","","_"&amp;Table132[[#This Row],[PARAM_SUB]]))</f>
        <v>ev_mxc14_prescalerReg_7</v>
      </c>
      <c r="N152" s="1" t="s">
        <v>262</v>
      </c>
      <c r="O152" s="1" t="s">
        <v>398</v>
      </c>
      <c r="P152" s="6" t="s">
        <v>248</v>
      </c>
      <c r="Q152" s="4">
        <v>57</v>
      </c>
      <c r="R152" s="6" t="s">
        <v>363</v>
      </c>
      <c r="S152" s="1" t="s">
        <v>254</v>
      </c>
      <c r="T152" s="16">
        <v>0</v>
      </c>
      <c r="U152" s="6" t="s">
        <v>363</v>
      </c>
      <c r="X152" s="11">
        <f>IF(Table132[[#This Row],[template]]="","",VLOOKUP(Table132[[#This Row],[IP_NAME]],Table511175[],2,FALSE))</f>
        <v>1</v>
      </c>
      <c r="Y152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>01000</v>
      </c>
      <c r="Z152" s="14">
        <f>IF(Table132[[#This Row],[template]]="","",HEX2DEC(Table132[[#This Row],[Addr_Hex]]))</f>
        <v>87</v>
      </c>
    </row>
    <row r="153" spans="2:26" x14ac:dyDescent="0.3">
      <c r="B153" s="4">
        <v>401</v>
      </c>
      <c r="C153" s="4" t="s">
        <v>233</v>
      </c>
      <c r="D153" s="9" t="str">
        <f>UPPER(Table132[[#This Row],[SIGNAL]])</f>
        <v>EV_MXC14_PRESCALERREG_8</v>
      </c>
      <c r="E153" s="9" t="str">
        <f>IF(Table132[[#This Row],[template]]="","","0x"&amp;Table132[[#This Row],[IP_Index]]&amp;DEC2HEX(Table132[[#This Row],[Addr_Dec]]*4,7))</f>
        <v>0x10000160</v>
      </c>
      <c r="F153" s="9" t="str">
        <f>IF(Table132[[#This Row],[template]]="","",VLOOKUP(Table132[[#This Row],[template]],Table29153[],2,FALSE))</f>
        <v>asynParamInt32</v>
      </c>
      <c r="G153" s="18" t="str">
        <f>IF(Table132[[#This Row],[template]]="","","1")</f>
        <v>1</v>
      </c>
      <c r="H153" s="10"/>
      <c r="I153" s="13" t="str">
        <f>IF(Table132[[#This Row],[template]]="","","0x"&amp;Table132[[#This Row],[D_Index]]&amp;"000")</f>
        <v>0x01000000</v>
      </c>
      <c r="J153" s="18" t="s">
        <v>341</v>
      </c>
      <c r="K153" s="10">
        <v>0</v>
      </c>
      <c r="L153" s="11"/>
      <c r="M153" s="9" t="str">
        <f>IF(Table132[[#This Row],[template]]="","",Table132[[#This Row],[IP_NAME]]&amp;"_"&amp;Table132[[#This Row],[PARAM_NAME]]&amp;IF(Table132[[#This Row],[PARAM_SUB]]="","","_"&amp;Table132[[#This Row],[PARAM_SUB]]))</f>
        <v>ev_mxc14_prescalerReg_8</v>
      </c>
      <c r="N153" s="1" t="s">
        <v>262</v>
      </c>
      <c r="O153" s="1" t="s">
        <v>398</v>
      </c>
      <c r="P153" s="6" t="s">
        <v>249</v>
      </c>
      <c r="Q153" s="4">
        <v>58</v>
      </c>
      <c r="R153" s="6" t="s">
        <v>363</v>
      </c>
      <c r="S153" s="1" t="s">
        <v>254</v>
      </c>
      <c r="T153" s="16">
        <v>0</v>
      </c>
      <c r="U153" s="6" t="s">
        <v>363</v>
      </c>
      <c r="X153" s="11">
        <f>IF(Table132[[#This Row],[template]]="","",VLOOKUP(Table132[[#This Row],[IP_NAME]],Table511175[],2,FALSE))</f>
        <v>1</v>
      </c>
      <c r="Y153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>01000</v>
      </c>
      <c r="Z153" s="14">
        <f>IF(Table132[[#This Row],[template]]="","",HEX2DEC(Table132[[#This Row],[Addr_Hex]]))</f>
        <v>88</v>
      </c>
    </row>
    <row r="154" spans="2:26" x14ac:dyDescent="0.3">
      <c r="B154" s="4">
        <v>402</v>
      </c>
      <c r="C154" s="4" t="s">
        <v>233</v>
      </c>
      <c r="D154" s="9" t="str">
        <f>UPPER(Table132[[#This Row],[SIGNAL]])</f>
        <v>EV_MXC14_PRESCALERREG_9</v>
      </c>
      <c r="E154" s="9" t="str">
        <f>IF(Table132[[#This Row],[template]]="","","0x"&amp;Table132[[#This Row],[IP_Index]]&amp;DEC2HEX(Table132[[#This Row],[Addr_Dec]]*4,7))</f>
        <v>0x10000164</v>
      </c>
      <c r="F154" s="9" t="str">
        <f>IF(Table132[[#This Row],[template]]="","",VLOOKUP(Table132[[#This Row],[template]],Table29153[],2,FALSE))</f>
        <v>asynParamInt32</v>
      </c>
      <c r="G154" s="18" t="str">
        <f>IF(Table132[[#This Row],[template]]="","","1")</f>
        <v>1</v>
      </c>
      <c r="H154" s="10"/>
      <c r="I154" s="13" t="str">
        <f>IF(Table132[[#This Row],[template]]="","","0x"&amp;Table132[[#This Row],[D_Index]]&amp;"000")</f>
        <v>0x01000000</v>
      </c>
      <c r="J154" s="18" t="s">
        <v>341</v>
      </c>
      <c r="K154" s="10">
        <v>0</v>
      </c>
      <c r="L154" s="11"/>
      <c r="M154" s="9" t="str">
        <f>IF(Table132[[#This Row],[template]]="","",Table132[[#This Row],[IP_NAME]]&amp;"_"&amp;Table132[[#This Row],[PARAM_NAME]]&amp;IF(Table132[[#This Row],[PARAM_SUB]]="","","_"&amp;Table132[[#This Row],[PARAM_SUB]]))</f>
        <v>ev_mxc14_prescalerReg_9</v>
      </c>
      <c r="N154" s="1" t="s">
        <v>262</v>
      </c>
      <c r="O154" s="1" t="s">
        <v>398</v>
      </c>
      <c r="P154" s="6" t="s">
        <v>250</v>
      </c>
      <c r="Q154" s="4">
        <v>59</v>
      </c>
      <c r="R154" s="6" t="s">
        <v>363</v>
      </c>
      <c r="S154" s="1" t="s">
        <v>254</v>
      </c>
      <c r="T154" s="16">
        <v>0</v>
      </c>
      <c r="U154" s="6" t="s">
        <v>363</v>
      </c>
      <c r="X154" s="11">
        <f>IF(Table132[[#This Row],[template]]="","",VLOOKUP(Table132[[#This Row],[IP_NAME]],Table511175[],2,FALSE))</f>
        <v>1</v>
      </c>
      <c r="Y154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>01000</v>
      </c>
      <c r="Z154" s="14">
        <f>IF(Table132[[#This Row],[template]]="","",HEX2DEC(Table132[[#This Row],[Addr_Hex]]))</f>
        <v>89</v>
      </c>
    </row>
    <row r="155" spans="2:26" x14ac:dyDescent="0.3">
      <c r="B155" s="4">
        <v>400</v>
      </c>
      <c r="C155" s="4" t="s">
        <v>233</v>
      </c>
      <c r="D155" s="9" t="str">
        <f>UPPER(Table132[[#This Row],[SIGNAL]])</f>
        <v>EV_MXC14_PRESCALERREG_10</v>
      </c>
      <c r="E155" s="9" t="str">
        <f>IF(Table132[[#This Row],[template]]="","","0x"&amp;Table132[[#This Row],[IP_Index]]&amp;DEC2HEX(Table132[[#This Row],[Addr_Dec]]*4,7))</f>
        <v>0x10000168</v>
      </c>
      <c r="F155" s="9" t="str">
        <f>IF(Table132[[#This Row],[template]]="","",VLOOKUP(Table132[[#This Row],[template]],Table29153[],2,FALSE))</f>
        <v>asynParamInt32</v>
      </c>
      <c r="G155" s="18" t="str">
        <f>IF(Table132[[#This Row],[template]]="","","1")</f>
        <v>1</v>
      </c>
      <c r="H155" s="10"/>
      <c r="I155" s="13" t="str">
        <f>IF(Table132[[#This Row],[template]]="","","0x"&amp;Table132[[#This Row],[D_Index]]&amp;"000")</f>
        <v>0x01000000</v>
      </c>
      <c r="J155" s="18" t="s">
        <v>341</v>
      </c>
      <c r="K155" s="10">
        <v>0</v>
      </c>
      <c r="L155" s="11"/>
      <c r="M155" s="9" t="str">
        <f>IF(Table132[[#This Row],[template]]="","",Table132[[#This Row],[IP_NAME]]&amp;"_"&amp;Table132[[#This Row],[PARAM_NAME]]&amp;IF(Table132[[#This Row],[PARAM_SUB]]="","","_"&amp;Table132[[#This Row],[PARAM_SUB]]))</f>
        <v>ev_mxc14_prescalerReg_10</v>
      </c>
      <c r="N155" s="1" t="s">
        <v>262</v>
      </c>
      <c r="O155" s="1" t="s">
        <v>398</v>
      </c>
      <c r="P155" s="6" t="s">
        <v>273</v>
      </c>
      <c r="Q155" s="4" t="s">
        <v>399</v>
      </c>
      <c r="R155" s="6" t="s">
        <v>363</v>
      </c>
      <c r="S155" s="1" t="s">
        <v>254</v>
      </c>
      <c r="T155" s="16">
        <v>0</v>
      </c>
      <c r="U155" s="6" t="s">
        <v>363</v>
      </c>
      <c r="X155" s="11">
        <f>IF(Table132[[#This Row],[template]]="","",VLOOKUP(Table132[[#This Row],[IP_NAME]],Table511175[],2,FALSE))</f>
        <v>1</v>
      </c>
      <c r="Y155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>01000</v>
      </c>
      <c r="Z155" s="14">
        <f>IF(Table132[[#This Row],[template]]="","",HEX2DEC(Table132[[#This Row],[Addr_Hex]]))</f>
        <v>90</v>
      </c>
    </row>
    <row r="156" spans="2:26" x14ac:dyDescent="0.3">
      <c r="B156" s="4">
        <v>401</v>
      </c>
      <c r="C156" s="4" t="s">
        <v>233</v>
      </c>
      <c r="D156" s="9" t="str">
        <f>UPPER(Table132[[#This Row],[SIGNAL]])</f>
        <v>EV_MXC14_PRESCALERREG_11</v>
      </c>
      <c r="E156" s="9" t="str">
        <f>IF(Table132[[#This Row],[template]]="","","0x"&amp;Table132[[#This Row],[IP_Index]]&amp;DEC2HEX(Table132[[#This Row],[Addr_Dec]]*4,7))</f>
        <v>0x1000016C</v>
      </c>
      <c r="F156" s="9" t="str">
        <f>IF(Table132[[#This Row],[template]]="","",VLOOKUP(Table132[[#This Row],[template]],Table29153[],2,FALSE))</f>
        <v>asynParamInt32</v>
      </c>
      <c r="G156" s="18" t="str">
        <f>IF(Table132[[#This Row],[template]]="","","1")</f>
        <v>1</v>
      </c>
      <c r="H156" s="10"/>
      <c r="I156" s="13" t="str">
        <f>IF(Table132[[#This Row],[template]]="","","0x"&amp;Table132[[#This Row],[D_Index]]&amp;"000")</f>
        <v>0x01000000</v>
      </c>
      <c r="J156" s="18" t="s">
        <v>341</v>
      </c>
      <c r="K156" s="10">
        <v>0</v>
      </c>
      <c r="L156" s="11"/>
      <c r="M156" s="9" t="str">
        <f>IF(Table132[[#This Row],[template]]="","",Table132[[#This Row],[IP_NAME]]&amp;"_"&amp;Table132[[#This Row],[PARAM_NAME]]&amp;IF(Table132[[#This Row],[PARAM_SUB]]="","","_"&amp;Table132[[#This Row],[PARAM_SUB]]))</f>
        <v>ev_mxc14_prescalerReg_11</v>
      </c>
      <c r="N156" s="1" t="s">
        <v>262</v>
      </c>
      <c r="O156" s="1" t="s">
        <v>398</v>
      </c>
      <c r="P156" s="6" t="s">
        <v>274</v>
      </c>
      <c r="Q156" s="4" t="s">
        <v>400</v>
      </c>
      <c r="R156" s="6" t="s">
        <v>363</v>
      </c>
      <c r="S156" s="1" t="s">
        <v>254</v>
      </c>
      <c r="T156" s="16">
        <v>0</v>
      </c>
      <c r="U156" s="6" t="s">
        <v>363</v>
      </c>
      <c r="X156" s="11">
        <f>IF(Table132[[#This Row],[template]]="","",VLOOKUP(Table132[[#This Row],[IP_NAME]],Table511175[],2,FALSE))</f>
        <v>1</v>
      </c>
      <c r="Y156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>01000</v>
      </c>
      <c r="Z156" s="14">
        <f>IF(Table132[[#This Row],[template]]="","",HEX2DEC(Table132[[#This Row],[Addr_Hex]]))</f>
        <v>91</v>
      </c>
    </row>
    <row r="157" spans="2:26" x14ac:dyDescent="0.3">
      <c r="B157" s="4">
        <v>402</v>
      </c>
      <c r="C157" s="4" t="s">
        <v>233</v>
      </c>
      <c r="D157" s="9" t="str">
        <f>UPPER(Table132[[#This Row],[SIGNAL]])</f>
        <v>EV_MXC14_PRESCALERREG_12</v>
      </c>
      <c r="E157" s="9" t="str">
        <f>IF(Table132[[#This Row],[template]]="","","0x"&amp;Table132[[#This Row],[IP_Index]]&amp;DEC2HEX(Table132[[#This Row],[Addr_Dec]]*4,7))</f>
        <v>0x10000170</v>
      </c>
      <c r="F157" s="9" t="str">
        <f>IF(Table132[[#This Row],[template]]="","",VLOOKUP(Table132[[#This Row],[template]],Table29153[],2,FALSE))</f>
        <v>asynParamInt32</v>
      </c>
      <c r="G157" s="18" t="str">
        <f>IF(Table132[[#This Row],[template]]="","","1")</f>
        <v>1</v>
      </c>
      <c r="H157" s="10"/>
      <c r="I157" s="13" t="str">
        <f>IF(Table132[[#This Row],[template]]="","","0x"&amp;Table132[[#This Row],[D_Index]]&amp;"000")</f>
        <v>0x01000000</v>
      </c>
      <c r="J157" s="18" t="s">
        <v>341</v>
      </c>
      <c r="K157" s="10">
        <v>0</v>
      </c>
      <c r="L157" s="11"/>
      <c r="M157" s="9" t="str">
        <f>IF(Table132[[#This Row],[template]]="","",Table132[[#This Row],[IP_NAME]]&amp;"_"&amp;Table132[[#This Row],[PARAM_NAME]]&amp;IF(Table132[[#This Row],[PARAM_SUB]]="","","_"&amp;Table132[[#This Row],[PARAM_SUB]]))</f>
        <v>ev_mxc14_prescalerReg_12</v>
      </c>
      <c r="N157" s="1" t="s">
        <v>262</v>
      </c>
      <c r="O157" s="1" t="s">
        <v>398</v>
      </c>
      <c r="P157" s="6" t="s">
        <v>275</v>
      </c>
      <c r="Q157" s="4" t="s">
        <v>401</v>
      </c>
      <c r="R157" s="6" t="s">
        <v>363</v>
      </c>
      <c r="S157" s="1" t="s">
        <v>254</v>
      </c>
      <c r="T157" s="16">
        <v>0</v>
      </c>
      <c r="U157" s="6" t="s">
        <v>363</v>
      </c>
      <c r="X157" s="11">
        <f>IF(Table132[[#This Row],[template]]="","",VLOOKUP(Table132[[#This Row],[IP_NAME]],Table511175[],2,FALSE))</f>
        <v>1</v>
      </c>
      <c r="Y157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>01000</v>
      </c>
      <c r="Z157" s="14">
        <f>IF(Table132[[#This Row],[template]]="","",HEX2DEC(Table132[[#This Row],[Addr_Hex]]))</f>
        <v>92</v>
      </c>
    </row>
    <row r="158" spans="2:26" x14ac:dyDescent="0.3">
      <c r="B158" s="4">
        <v>400</v>
      </c>
      <c r="C158" s="4" t="s">
        <v>233</v>
      </c>
      <c r="D158" s="9" t="str">
        <f>UPPER(Table132[[#This Row],[SIGNAL]])</f>
        <v>EV_MXC14_PRESCALERREG_13</v>
      </c>
      <c r="E158" s="9" t="str">
        <f>IF(Table132[[#This Row],[template]]="","","0x"&amp;Table132[[#This Row],[IP_Index]]&amp;DEC2HEX(Table132[[#This Row],[Addr_Dec]]*4,7))</f>
        <v>0x10000174</v>
      </c>
      <c r="F158" s="9" t="str">
        <f>IF(Table132[[#This Row],[template]]="","",VLOOKUP(Table132[[#This Row],[template]],Table29153[],2,FALSE))</f>
        <v>asynParamInt32</v>
      </c>
      <c r="G158" s="18" t="str">
        <f>IF(Table132[[#This Row],[template]]="","","1")</f>
        <v>1</v>
      </c>
      <c r="H158" s="10"/>
      <c r="I158" s="13" t="str">
        <f>IF(Table132[[#This Row],[template]]="","","0x"&amp;Table132[[#This Row],[D_Index]]&amp;"000")</f>
        <v>0x01000000</v>
      </c>
      <c r="J158" s="18" t="s">
        <v>341</v>
      </c>
      <c r="K158" s="10">
        <v>0</v>
      </c>
      <c r="L158" s="11"/>
      <c r="M158" s="9" t="str">
        <f>IF(Table132[[#This Row],[template]]="","",Table132[[#This Row],[IP_NAME]]&amp;"_"&amp;Table132[[#This Row],[PARAM_NAME]]&amp;IF(Table132[[#This Row],[PARAM_SUB]]="","","_"&amp;Table132[[#This Row],[PARAM_SUB]]))</f>
        <v>ev_mxc14_prescalerReg_13</v>
      </c>
      <c r="N158" s="1" t="s">
        <v>262</v>
      </c>
      <c r="O158" s="1" t="s">
        <v>398</v>
      </c>
      <c r="P158" s="6" t="s">
        <v>276</v>
      </c>
      <c r="Q158" s="4" t="s">
        <v>402</v>
      </c>
      <c r="R158" s="6" t="s">
        <v>363</v>
      </c>
      <c r="S158" s="1" t="s">
        <v>254</v>
      </c>
      <c r="T158" s="16">
        <v>0</v>
      </c>
      <c r="U158" s="6" t="s">
        <v>363</v>
      </c>
      <c r="X158" s="11">
        <f>IF(Table132[[#This Row],[template]]="","",VLOOKUP(Table132[[#This Row],[IP_NAME]],Table511175[],2,FALSE))</f>
        <v>1</v>
      </c>
      <c r="Y158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>01000</v>
      </c>
      <c r="Z158" s="14">
        <f>IF(Table132[[#This Row],[template]]="","",HEX2DEC(Table132[[#This Row],[Addr_Hex]]))</f>
        <v>93</v>
      </c>
    </row>
    <row r="159" spans="2:26" x14ac:dyDescent="0.3">
      <c r="B159" s="4">
        <v>401</v>
      </c>
      <c r="C159" s="4"/>
      <c r="D159" s="9" t="str">
        <f>UPPER(Table132[[#This Row],[SIGNAL]])</f>
        <v/>
      </c>
      <c r="E159" s="9" t="str">
        <f>IF(Table132[[#This Row],[template]]="","","0x"&amp;Table132[[#This Row],[IP_Index]]&amp;DEC2HEX(Table132[[#This Row],[Addr_Dec]]*4,7))</f>
        <v/>
      </c>
      <c r="F159" s="9" t="str">
        <f>IF(Table132[[#This Row],[template]]="","",VLOOKUP(Table132[[#This Row],[template]],Table29153[],2,FALSE))</f>
        <v/>
      </c>
      <c r="G159" s="18" t="str">
        <f>IF(Table132[[#This Row],[template]]="","","1")</f>
        <v/>
      </c>
      <c r="H159" s="10"/>
      <c r="I159" s="13" t="str">
        <f>IF(Table132[[#This Row],[template]]="","","0x"&amp;Table132[[#This Row],[D_Index]]&amp;"000")</f>
        <v/>
      </c>
      <c r="J159" s="18"/>
      <c r="K159" s="10">
        <v>0</v>
      </c>
      <c r="L159" s="11"/>
      <c r="M159" s="9" t="str">
        <f>IF(Table132[[#This Row],[template]]="","",Table132[[#This Row],[IP_NAME]]&amp;"_"&amp;Table132[[#This Row],[PARAM_NAME]]&amp;IF(Table132[[#This Row],[PARAM_SUB]]="","","_"&amp;Table132[[#This Row],[PARAM_SUB]]))</f>
        <v/>
      </c>
      <c r="P159" s="6"/>
      <c r="Q159" s="4"/>
      <c r="R159" s="6"/>
      <c r="T159" s="16"/>
      <c r="U159" s="6"/>
      <c r="X159" s="11" t="str">
        <f>IF(Table132[[#This Row],[template]]="","",VLOOKUP(Table132[[#This Row],[IP_NAME]],Table511175[],2,FALSE))</f>
        <v/>
      </c>
      <c r="Y159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/>
      </c>
      <c r="Z159" s="14" t="str">
        <f>IF(Table132[[#This Row],[template]]="","",HEX2DEC(Table132[[#This Row],[Addr_Hex]]))</f>
        <v/>
      </c>
    </row>
    <row r="160" spans="2:26" x14ac:dyDescent="0.3">
      <c r="B160" s="4">
        <v>533</v>
      </c>
      <c r="C160" s="4" t="s">
        <v>233</v>
      </c>
      <c r="D160" s="9" t="str">
        <f>UPPER(Table132[[#This Row],[SIGNAL]])</f>
        <v>EV_EVRW_RST</v>
      </c>
      <c r="E160" s="9" t="str">
        <f>IF(Table132[[#This Row],[template]]="","","0x"&amp;Table132[[#This Row],[IP_Index]]&amp;DEC2HEX(Table132[[#This Row],[Addr_Dec]]*4,7))</f>
        <v>0x10000180</v>
      </c>
      <c r="F160" s="9" t="str">
        <f>IF(Table132[[#This Row],[template]]="","",VLOOKUP(Table132[[#This Row],[template]],Table29153[],2,FALSE))</f>
        <v>asynParamInt32</v>
      </c>
      <c r="G160" s="18" t="str">
        <f>IF(Table132[[#This Row],[template]]="","","1")</f>
        <v>1</v>
      </c>
      <c r="H160" s="10"/>
      <c r="I160" s="13" t="str">
        <f>IF(Table132[[#This Row],[template]]="","","0x"&amp;Table132[[#This Row],[D_Index]]&amp;"000")</f>
        <v>0x061F1000</v>
      </c>
      <c r="J160" s="18" t="s">
        <v>341</v>
      </c>
      <c r="K160" s="10">
        <v>0</v>
      </c>
      <c r="L160" s="11"/>
      <c r="M160" s="9" t="str">
        <f>IF(Table132[[#This Row],[template]]="","",Table132[[#This Row],[IP_NAME]]&amp;"_"&amp;Table132[[#This Row],[PARAM_NAME]]&amp;IF(Table132[[#This Row],[PARAM_SUB]]="","","_"&amp;Table132[[#This Row],[PARAM_SUB]]))</f>
        <v>ev_evrW_rst</v>
      </c>
      <c r="N160" s="1" t="s">
        <v>262</v>
      </c>
      <c r="O160" s="1" t="s">
        <v>403</v>
      </c>
      <c r="P160" s="6"/>
      <c r="Q160" s="4">
        <v>60</v>
      </c>
      <c r="R160" s="6" t="s">
        <v>363</v>
      </c>
      <c r="S160" s="1" t="s">
        <v>315</v>
      </c>
      <c r="T160" s="16">
        <v>31</v>
      </c>
      <c r="U160" s="6" t="s">
        <v>336</v>
      </c>
      <c r="X160" s="11">
        <f>IF(Table132[[#This Row],[template]]="","",VLOOKUP(Table132[[#This Row],[IP_NAME]],Table511175[],2,FALSE))</f>
        <v>1</v>
      </c>
      <c r="Y160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>061F1</v>
      </c>
      <c r="Z160" s="14">
        <f>IF(Table132[[#This Row],[template]]="","",HEX2DEC(Table132[[#This Row],[Addr_Hex]]))</f>
        <v>96</v>
      </c>
    </row>
    <row r="161" spans="2:26" x14ac:dyDescent="0.3">
      <c r="B161" s="4">
        <v>534</v>
      </c>
      <c r="C161" s="4" t="s">
        <v>233</v>
      </c>
      <c r="D161" s="9" t="str">
        <f>UPPER(Table132[[#This Row],[SIGNAL]])</f>
        <v>EV_EVR_GETSTATREG</v>
      </c>
      <c r="E161" s="9" t="str">
        <f>IF(Table132[[#This Row],[template]]="","","0x"&amp;Table132[[#This Row],[IP_Index]]&amp;DEC2HEX(Table132[[#This Row],[Addr_Dec]]*4,7))</f>
        <v>0x10000180</v>
      </c>
      <c r="F161" s="9" t="str">
        <f>IF(Table132[[#This Row],[template]]="","",VLOOKUP(Table132[[#This Row],[template]],Table29153[],2,FALSE))</f>
        <v>asynParamInt32</v>
      </c>
      <c r="G161" s="18" t="str">
        <f>IF(Table132[[#This Row],[template]]="","","1")</f>
        <v>1</v>
      </c>
      <c r="H161" s="10"/>
      <c r="I161" s="13" t="str">
        <f>IF(Table132[[#This Row],[template]]="","","0x"&amp;Table132[[#This Row],[D_Index]]&amp;"000")</f>
        <v>0x06041000</v>
      </c>
      <c r="J161" s="18" t="s">
        <v>341</v>
      </c>
      <c r="K161" s="10">
        <v>0</v>
      </c>
      <c r="L161" s="11"/>
      <c r="M161" s="9" t="str">
        <f>IF(Table132[[#This Row],[template]]="","",Table132[[#This Row],[IP_NAME]]&amp;"_"&amp;Table132[[#This Row],[PARAM_NAME]]&amp;IF(Table132[[#This Row],[PARAM_SUB]]="","","_"&amp;Table132[[#This Row],[PARAM_SUB]]))</f>
        <v>ev_evr_getStatReg</v>
      </c>
      <c r="N161" s="1" t="s">
        <v>262</v>
      </c>
      <c r="O161" s="1" t="s">
        <v>404</v>
      </c>
      <c r="P161" s="6"/>
      <c r="Q161" s="4">
        <v>60</v>
      </c>
      <c r="R161" s="6" t="s">
        <v>363</v>
      </c>
      <c r="S161" s="1" t="s">
        <v>315</v>
      </c>
      <c r="T161" s="16">
        <v>4</v>
      </c>
      <c r="U161" s="6" t="s">
        <v>336</v>
      </c>
      <c r="X161" s="11">
        <f>IF(Table132[[#This Row],[template]]="","",VLOOKUP(Table132[[#This Row],[IP_NAME]],Table511175[],2,FALSE))</f>
        <v>1</v>
      </c>
      <c r="Y161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>06041</v>
      </c>
      <c r="Z161" s="14">
        <f>IF(Table132[[#This Row],[template]]="","",HEX2DEC(Table132[[#This Row],[Addr_Hex]]))</f>
        <v>96</v>
      </c>
    </row>
    <row r="162" spans="2:26" x14ac:dyDescent="0.3">
      <c r="B162" s="4">
        <v>535</v>
      </c>
      <c r="C162" s="4" t="s">
        <v>233</v>
      </c>
      <c r="D162" s="9" t="str">
        <f>UPPER(Table132[[#This Row],[SIGNAL]])</f>
        <v>EV_EVR_SETCTRLREG</v>
      </c>
      <c r="E162" s="9" t="str">
        <f>IF(Table132[[#This Row],[template]]="","","0x"&amp;Table132[[#This Row],[IP_Index]]&amp;DEC2HEX(Table132[[#This Row],[Addr_Dec]]*4,7))</f>
        <v>0x10000180</v>
      </c>
      <c r="F162" s="9" t="str">
        <f>IF(Table132[[#This Row],[template]]="","",VLOOKUP(Table132[[#This Row],[template]],Table29153[],2,FALSE))</f>
        <v>asynParamInt32</v>
      </c>
      <c r="G162" s="18" t="str">
        <f>IF(Table132[[#This Row],[template]]="","","1")</f>
        <v>1</v>
      </c>
      <c r="H162" s="10"/>
      <c r="I162" s="13" t="str">
        <f>IF(Table132[[#This Row],[template]]="","","0x"&amp;Table132[[#This Row],[D_Index]]&amp;"000")</f>
        <v>0x06001000</v>
      </c>
      <c r="J162" s="18" t="s">
        <v>341</v>
      </c>
      <c r="K162" s="10">
        <v>0</v>
      </c>
      <c r="L162" s="11"/>
      <c r="M162" s="9" t="str">
        <f>IF(Table132[[#This Row],[template]]="","",Table132[[#This Row],[IP_NAME]]&amp;"_"&amp;Table132[[#This Row],[PARAM_NAME]]&amp;IF(Table132[[#This Row],[PARAM_SUB]]="","","_"&amp;Table132[[#This Row],[PARAM_SUB]]))</f>
        <v>ev_evr_setCtrlReg</v>
      </c>
      <c r="N162" s="1" t="s">
        <v>262</v>
      </c>
      <c r="O162" s="1" t="s">
        <v>405</v>
      </c>
      <c r="P162" s="6"/>
      <c r="Q162" s="4">
        <v>60</v>
      </c>
      <c r="R162" s="6" t="s">
        <v>363</v>
      </c>
      <c r="S162" s="1" t="s">
        <v>315</v>
      </c>
      <c r="T162" s="16">
        <v>0</v>
      </c>
      <c r="U162" s="6" t="s">
        <v>336</v>
      </c>
      <c r="X162" s="11">
        <f>IF(Table132[[#This Row],[template]]="","",VLOOKUP(Table132[[#This Row],[IP_NAME]],Table511175[],2,FALSE))</f>
        <v>1</v>
      </c>
      <c r="Y162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>06001</v>
      </c>
      <c r="Z162" s="14">
        <f>IF(Table132[[#This Row],[template]]="","",HEX2DEC(Table132[[#This Row],[Addr_Hex]]))</f>
        <v>96</v>
      </c>
    </row>
    <row r="163" spans="2:26" x14ac:dyDescent="0.3">
      <c r="B163" s="4">
        <v>536</v>
      </c>
      <c r="C163" s="4"/>
      <c r="D163" s="9" t="str">
        <f>UPPER(Table132[[#This Row],[SIGNAL]])</f>
        <v/>
      </c>
      <c r="E163" s="9" t="str">
        <f>IF(Table132[[#This Row],[template]]="","","0x"&amp;Table132[[#This Row],[IP_Index]]&amp;DEC2HEX(Table132[[#This Row],[Addr_Dec]]*4,7))</f>
        <v/>
      </c>
      <c r="F163" s="9" t="str">
        <f>IF(Table132[[#This Row],[template]]="","",VLOOKUP(Table132[[#This Row],[template]],Table29153[],2,FALSE))</f>
        <v/>
      </c>
      <c r="G163" s="18" t="str">
        <f>IF(Table132[[#This Row],[template]]="","","1")</f>
        <v/>
      </c>
      <c r="H163" s="10"/>
      <c r="I163" s="13" t="str">
        <f>IF(Table132[[#This Row],[template]]="","","0x"&amp;Table132[[#This Row],[D_Index]]&amp;"000")</f>
        <v/>
      </c>
      <c r="J163" s="18"/>
      <c r="K163" s="10">
        <v>0</v>
      </c>
      <c r="L163" s="11"/>
      <c r="M163" s="9" t="str">
        <f>IF(Table132[[#This Row],[template]]="","",Table132[[#This Row],[IP_NAME]]&amp;"_"&amp;Table132[[#This Row],[PARAM_NAME]]&amp;IF(Table132[[#This Row],[PARAM_SUB]]="","","_"&amp;Table132[[#This Row],[PARAM_SUB]]))</f>
        <v/>
      </c>
      <c r="P163" s="6"/>
      <c r="Q163" s="4"/>
      <c r="R163" s="6"/>
      <c r="T163" s="16"/>
      <c r="U163" s="6"/>
      <c r="X163" s="11" t="str">
        <f>IF(Table132[[#This Row],[template]]="","",VLOOKUP(Table132[[#This Row],[IP_NAME]],Table511175[],2,FALSE))</f>
        <v/>
      </c>
      <c r="Y163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/>
      </c>
      <c r="Z163" s="14" t="str">
        <f>IF(Table132[[#This Row],[template]]="","",HEX2DEC(Table132[[#This Row],[Addr_Hex]]))</f>
        <v/>
      </c>
    </row>
    <row r="164" spans="2:26" x14ac:dyDescent="0.3">
      <c r="B164" s="4">
        <v>537</v>
      </c>
      <c r="C164" s="4" t="s">
        <v>233</v>
      </c>
      <c r="D164" s="9" t="str">
        <f>UPPER(Table132[[#This Row],[SIGNAL]])</f>
        <v>EV_RXENABLE_DBUS</v>
      </c>
      <c r="E164" s="9" t="str">
        <f>IF(Table132[[#This Row],[template]]="","","0x"&amp;Table132[[#This Row],[IP_Index]]&amp;DEC2HEX(Table132[[#This Row],[Addr_Dec]]*4,7))</f>
        <v>0x10000184</v>
      </c>
      <c r="F164" s="9" t="str">
        <f>IF(Table132[[#This Row],[template]]="","",VLOOKUP(Table132[[#This Row],[template]],Table29153[],2,FALSE))</f>
        <v>asynParamInt32</v>
      </c>
      <c r="G164" s="18" t="str">
        <f>IF(Table132[[#This Row],[template]]="","","1")</f>
        <v>1</v>
      </c>
      <c r="H164" s="10"/>
      <c r="I164" s="13" t="str">
        <f>IF(Table132[[#This Row],[template]]="","","0x"&amp;Table132[[#This Row],[D_Index]]&amp;"000")</f>
        <v>0x061F0000</v>
      </c>
      <c r="J164" s="18" t="s">
        <v>341</v>
      </c>
      <c r="K164" s="10">
        <v>0</v>
      </c>
      <c r="L164" s="11"/>
      <c r="M164" s="9" t="str">
        <f>IF(Table132[[#This Row],[template]]="","",Table132[[#This Row],[IP_NAME]]&amp;"_"&amp;Table132[[#This Row],[PARAM_NAME]]&amp;IF(Table132[[#This Row],[PARAM_SUB]]="","","_"&amp;Table132[[#This Row],[PARAM_SUB]]))</f>
        <v>ev_rxEnable_Dbus</v>
      </c>
      <c r="N164" s="1" t="s">
        <v>262</v>
      </c>
      <c r="O164" s="1" t="s">
        <v>406</v>
      </c>
      <c r="P164" s="6"/>
      <c r="Q164" s="4">
        <v>61</v>
      </c>
      <c r="R164" s="6" t="s">
        <v>363</v>
      </c>
      <c r="S164" s="1" t="s">
        <v>315</v>
      </c>
      <c r="T164" s="16">
        <v>31</v>
      </c>
      <c r="U164" s="6" t="s">
        <v>363</v>
      </c>
      <c r="X164" s="11">
        <f>IF(Table132[[#This Row],[template]]="","",VLOOKUP(Table132[[#This Row],[IP_NAME]],Table511175[],2,FALSE))</f>
        <v>1</v>
      </c>
      <c r="Y164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>061F0</v>
      </c>
      <c r="Z164" s="14">
        <f>IF(Table132[[#This Row],[template]]="","",HEX2DEC(Table132[[#This Row],[Addr_Hex]]))</f>
        <v>97</v>
      </c>
    </row>
    <row r="165" spans="2:26" x14ac:dyDescent="0.3">
      <c r="B165" s="4">
        <v>538</v>
      </c>
      <c r="C165" s="4" t="s">
        <v>233</v>
      </c>
      <c r="D165" s="9" t="str">
        <f>UPPER(Table132[[#This Row],[SIGNAL]])</f>
        <v>EV_RXENABLE_EVCODEA</v>
      </c>
      <c r="E165" s="9" t="str">
        <f>IF(Table132[[#This Row],[template]]="","","0x"&amp;Table132[[#This Row],[IP_Index]]&amp;DEC2HEX(Table132[[#This Row],[Addr_Dec]]*4,7))</f>
        <v>0x10000184</v>
      </c>
      <c r="F165" s="9" t="str">
        <f>IF(Table132[[#This Row],[template]]="","",VLOOKUP(Table132[[#This Row],[template]],Table29153[],2,FALSE))</f>
        <v>asynParamInt32</v>
      </c>
      <c r="G165" s="18" t="str">
        <f>IF(Table132[[#This Row],[template]]="","","1")</f>
        <v>1</v>
      </c>
      <c r="H165" s="10"/>
      <c r="I165" s="13" t="str">
        <f>IF(Table132[[#This Row],[template]]="","","0x"&amp;Table132[[#This Row],[D_Index]]&amp;"000")</f>
        <v>0x061E0000</v>
      </c>
      <c r="J165" s="18" t="s">
        <v>341</v>
      </c>
      <c r="K165" s="10">
        <v>0</v>
      </c>
      <c r="L165" s="11"/>
      <c r="M165" s="9" t="str">
        <f>IF(Table132[[#This Row],[template]]="","",Table132[[#This Row],[IP_NAME]]&amp;"_"&amp;Table132[[#This Row],[PARAM_NAME]]&amp;IF(Table132[[#This Row],[PARAM_SUB]]="","","_"&amp;Table132[[#This Row],[PARAM_SUB]]))</f>
        <v>ev_rxEnable_evCodeA</v>
      </c>
      <c r="N165" s="1" t="s">
        <v>262</v>
      </c>
      <c r="O165" s="1" t="s">
        <v>407</v>
      </c>
      <c r="P165" s="6"/>
      <c r="Q165" s="4">
        <v>61</v>
      </c>
      <c r="R165" s="6" t="s">
        <v>363</v>
      </c>
      <c r="S165" s="1" t="s">
        <v>315</v>
      </c>
      <c r="T165" s="16">
        <v>30</v>
      </c>
      <c r="U165" s="6" t="s">
        <v>363</v>
      </c>
      <c r="X165" s="11">
        <f>IF(Table132[[#This Row],[template]]="","",VLOOKUP(Table132[[#This Row],[IP_NAME]],Table511175[],2,FALSE))</f>
        <v>1</v>
      </c>
      <c r="Y165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>061E0</v>
      </c>
      <c r="Z165" s="14">
        <f>IF(Table132[[#This Row],[template]]="","",HEX2DEC(Table132[[#This Row],[Addr_Hex]]))</f>
        <v>97</v>
      </c>
    </row>
    <row r="166" spans="2:26" x14ac:dyDescent="0.3">
      <c r="B166" s="4">
        <v>539</v>
      </c>
      <c r="C166" s="4" t="s">
        <v>233</v>
      </c>
      <c r="D166" s="9" t="str">
        <f>UPPER(Table132[[#This Row],[SIGNAL]])</f>
        <v>EV_RXENABLE_EVCODEB</v>
      </c>
      <c r="E166" s="9" t="str">
        <f>IF(Table132[[#This Row],[template]]="","","0x"&amp;Table132[[#This Row],[IP_Index]]&amp;DEC2HEX(Table132[[#This Row],[Addr_Dec]]*4,7))</f>
        <v>0x10000184</v>
      </c>
      <c r="F166" s="9" t="str">
        <f>IF(Table132[[#This Row],[template]]="","",VLOOKUP(Table132[[#This Row],[template]],Table29153[],2,FALSE))</f>
        <v>asynParamInt32</v>
      </c>
      <c r="G166" s="18" t="str">
        <f>IF(Table132[[#This Row],[template]]="","","1")</f>
        <v>1</v>
      </c>
      <c r="H166" s="10"/>
      <c r="I166" s="13" t="str">
        <f>IF(Table132[[#This Row],[template]]="","","0x"&amp;Table132[[#This Row],[D_Index]]&amp;"000")</f>
        <v>0x061D0000</v>
      </c>
      <c r="J166" s="18" t="s">
        <v>341</v>
      </c>
      <c r="K166" s="10">
        <v>0</v>
      </c>
      <c r="L166" s="11"/>
      <c r="M166" s="9" t="str">
        <f>IF(Table132[[#This Row],[template]]="","",Table132[[#This Row],[IP_NAME]]&amp;"_"&amp;Table132[[#This Row],[PARAM_NAME]]&amp;IF(Table132[[#This Row],[PARAM_SUB]]="","","_"&amp;Table132[[#This Row],[PARAM_SUB]]))</f>
        <v>ev_rxEnable_evCodeB</v>
      </c>
      <c r="N166" s="1" t="s">
        <v>262</v>
      </c>
      <c r="O166" s="1" t="s">
        <v>408</v>
      </c>
      <c r="P166" s="6"/>
      <c r="Q166" s="4">
        <v>61</v>
      </c>
      <c r="R166" s="6" t="s">
        <v>363</v>
      </c>
      <c r="S166" s="1" t="s">
        <v>315</v>
      </c>
      <c r="T166" s="16">
        <v>29</v>
      </c>
      <c r="U166" s="6" t="s">
        <v>363</v>
      </c>
      <c r="X166" s="11">
        <f>IF(Table132[[#This Row],[template]]="","",VLOOKUP(Table132[[#This Row],[IP_NAME]],Table511175[],2,FALSE))</f>
        <v>1</v>
      </c>
      <c r="Y166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>061D0</v>
      </c>
      <c r="Z166" s="14">
        <f>IF(Table132[[#This Row],[template]]="","",HEX2DEC(Table132[[#This Row],[Addr_Hex]]))</f>
        <v>97</v>
      </c>
    </row>
    <row r="167" spans="2:26" x14ac:dyDescent="0.3">
      <c r="B167" s="4">
        <v>540</v>
      </c>
      <c r="C167" s="4" t="s">
        <v>233</v>
      </c>
      <c r="D167" s="9" t="str">
        <f>UPPER(Table132[[#This Row],[SIGNAL]])</f>
        <v>EV_RXENABLE_STREAMDATA</v>
      </c>
      <c r="E167" s="9" t="str">
        <f>IF(Table132[[#This Row],[template]]="","","0x"&amp;Table132[[#This Row],[IP_Index]]&amp;DEC2HEX(Table132[[#This Row],[Addr_Dec]]*4,7))</f>
        <v>0x10000184</v>
      </c>
      <c r="F167" s="9" t="str">
        <f>IF(Table132[[#This Row],[template]]="","",VLOOKUP(Table132[[#This Row],[template]],Table29153[],2,FALSE))</f>
        <v>asynParamInt32</v>
      </c>
      <c r="G167" s="18" t="str">
        <f>IF(Table132[[#This Row],[template]]="","","1")</f>
        <v>1</v>
      </c>
      <c r="H167" s="10"/>
      <c r="I167" s="13" t="str">
        <f>IF(Table132[[#This Row],[template]]="","","0x"&amp;Table132[[#This Row],[D_Index]]&amp;"000")</f>
        <v>0x061B0000</v>
      </c>
      <c r="J167" s="18" t="s">
        <v>341</v>
      </c>
      <c r="K167" s="10">
        <v>0</v>
      </c>
      <c r="L167" s="11"/>
      <c r="M167" s="9" t="str">
        <f>IF(Table132[[#This Row],[template]]="","",Table132[[#This Row],[IP_NAME]]&amp;"_"&amp;Table132[[#This Row],[PARAM_NAME]]&amp;IF(Table132[[#This Row],[PARAM_SUB]]="","","_"&amp;Table132[[#This Row],[PARAM_SUB]]))</f>
        <v>ev_rxEnable_streamData</v>
      </c>
      <c r="N167" s="1" t="s">
        <v>262</v>
      </c>
      <c r="O167" s="1" t="s">
        <v>409</v>
      </c>
      <c r="P167" s="6"/>
      <c r="Q167" s="4">
        <v>61</v>
      </c>
      <c r="R167" s="6" t="s">
        <v>363</v>
      </c>
      <c r="S167" s="1" t="s">
        <v>315</v>
      </c>
      <c r="T167" s="16">
        <v>27</v>
      </c>
      <c r="U167" s="6" t="s">
        <v>363</v>
      </c>
      <c r="X167" s="11">
        <f>IF(Table132[[#This Row],[template]]="","",VLOOKUP(Table132[[#This Row],[IP_NAME]],Table511175[],2,FALSE))</f>
        <v>1</v>
      </c>
      <c r="Y167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>061B0</v>
      </c>
      <c r="Z167" s="14">
        <f>IF(Table132[[#This Row],[template]]="","",HEX2DEC(Table132[[#This Row],[Addr_Hex]]))</f>
        <v>97</v>
      </c>
    </row>
    <row r="168" spans="2:26" x14ac:dyDescent="0.3">
      <c r="B168" s="4">
        <v>541</v>
      </c>
      <c r="C168" s="4" t="s">
        <v>233</v>
      </c>
      <c r="D168" s="9" t="str">
        <f>UPPER(Table132[[#This Row],[SIGNAL]])</f>
        <v>EV_PDPENABLE</v>
      </c>
      <c r="E168" s="9" t="str">
        <f>IF(Table132[[#This Row],[template]]="","","0x"&amp;Table132[[#This Row],[IP_Index]]&amp;DEC2HEX(Table132[[#This Row],[Addr_Dec]]*4,7))</f>
        <v>0x10000184</v>
      </c>
      <c r="F168" s="9" t="str">
        <f>IF(Table132[[#This Row],[template]]="","",VLOOKUP(Table132[[#This Row],[template]],Table29153[],2,FALSE))</f>
        <v>asynParamInt32</v>
      </c>
      <c r="G168" s="18" t="str">
        <f>IF(Table132[[#This Row],[template]]="","","1")</f>
        <v>1</v>
      </c>
      <c r="H168" s="10"/>
      <c r="I168" s="13" t="str">
        <f>IF(Table132[[#This Row],[template]]="","","0x"&amp;Table132[[#This Row],[D_Index]]&amp;"000")</f>
        <v>0x06000000</v>
      </c>
      <c r="J168" s="18" t="s">
        <v>341</v>
      </c>
      <c r="K168" s="10">
        <v>0</v>
      </c>
      <c r="L168" s="11"/>
      <c r="M168" s="9" t="str">
        <f>IF(Table132[[#This Row],[template]]="","",Table132[[#This Row],[IP_NAME]]&amp;"_"&amp;Table132[[#This Row],[PARAM_NAME]]&amp;IF(Table132[[#This Row],[PARAM_SUB]]="","","_"&amp;Table132[[#This Row],[PARAM_SUB]]))</f>
        <v>ev_pdpEnable</v>
      </c>
      <c r="N168" s="1" t="s">
        <v>262</v>
      </c>
      <c r="O168" s="1" t="s">
        <v>410</v>
      </c>
      <c r="P168" s="6"/>
      <c r="Q168" s="4">
        <v>61</v>
      </c>
      <c r="R168" s="6" t="s">
        <v>363</v>
      </c>
      <c r="S168" s="1" t="s">
        <v>315</v>
      </c>
      <c r="T168" s="16">
        <v>0</v>
      </c>
      <c r="U168" s="6" t="s">
        <v>363</v>
      </c>
      <c r="X168" s="11">
        <f>IF(Table132[[#This Row],[template]]="","",VLOOKUP(Table132[[#This Row],[IP_NAME]],Table511175[],2,FALSE))</f>
        <v>1</v>
      </c>
      <c r="Y168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>06000</v>
      </c>
      <c r="Z168" s="14">
        <f>IF(Table132[[#This Row],[template]]="","",HEX2DEC(Table132[[#This Row],[Addr_Hex]]))</f>
        <v>97</v>
      </c>
    </row>
    <row r="169" spans="2:26" x14ac:dyDescent="0.3">
      <c r="B169" s="4">
        <v>542</v>
      </c>
      <c r="C169" s="4"/>
      <c r="D169" s="9" t="str">
        <f>UPPER(Table132[[#This Row],[SIGNAL]])</f>
        <v/>
      </c>
      <c r="E169" s="9" t="str">
        <f>IF(Table132[[#This Row],[template]]="","","0x"&amp;Table132[[#This Row],[IP_Index]]&amp;DEC2HEX(Table132[[#This Row],[Addr_Dec]]*4,7))</f>
        <v/>
      </c>
      <c r="F169" s="9" t="str">
        <f>IF(Table132[[#This Row],[template]]="","",VLOOKUP(Table132[[#This Row],[template]],Table29153[],2,FALSE))</f>
        <v/>
      </c>
      <c r="G169" s="18" t="str">
        <f>IF(Table132[[#This Row],[template]]="","","1")</f>
        <v/>
      </c>
      <c r="H169" s="10"/>
      <c r="I169" s="13" t="str">
        <f>IF(Table132[[#This Row],[template]]="","","0x"&amp;Table132[[#This Row],[D_Index]]&amp;"000")</f>
        <v/>
      </c>
      <c r="J169" s="18"/>
      <c r="K169" s="10">
        <v>0</v>
      </c>
      <c r="L169" s="11"/>
      <c r="M169" s="9" t="str">
        <f>IF(Table132[[#This Row],[template]]="","",Table132[[#This Row],[IP_NAME]]&amp;"_"&amp;Table132[[#This Row],[PARAM_NAME]]&amp;IF(Table132[[#This Row],[PARAM_SUB]]="","","_"&amp;Table132[[#This Row],[PARAM_SUB]]))</f>
        <v/>
      </c>
      <c r="P169" s="6"/>
      <c r="Q169" s="4"/>
      <c r="R169" s="6"/>
      <c r="T169" s="16"/>
      <c r="U169" s="6"/>
      <c r="X169" s="11" t="str">
        <f>IF(Table132[[#This Row],[template]]="","",VLOOKUP(Table132[[#This Row],[IP_NAME]],Table511175[],2,FALSE))</f>
        <v/>
      </c>
      <c r="Y169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/>
      </c>
      <c r="Z169" s="14" t="str">
        <f>IF(Table132[[#This Row],[template]]="","",HEX2DEC(Table132[[#This Row],[Addr_Hex]]))</f>
        <v/>
      </c>
    </row>
    <row r="170" spans="2:26" x14ac:dyDescent="0.3">
      <c r="B170" s="4">
        <v>543</v>
      </c>
      <c r="C170" s="4" t="s">
        <v>233</v>
      </c>
      <c r="D170" s="9" t="str">
        <f>UPPER(Table132[[#This Row],[SIGNAL]])</f>
        <v>EV_EXTOUTSEL_1PPS</v>
      </c>
      <c r="E170" s="9" t="str">
        <f>IF(Table132[[#This Row],[template]]="","","0x"&amp;Table132[[#This Row],[IP_Index]]&amp;DEC2HEX(Table132[[#This Row],[Addr_Dec]]*4,7))</f>
        <v>0x10000188</v>
      </c>
      <c r="F170" s="9" t="str">
        <f>IF(Table132[[#This Row],[template]]="","",VLOOKUP(Table132[[#This Row],[template]],Table29153[],2,FALSE))</f>
        <v>asynParamInt32</v>
      </c>
      <c r="G170" s="18" t="str">
        <f>IF(Table132[[#This Row],[template]]="","","1")</f>
        <v>1</v>
      </c>
      <c r="H170" s="10"/>
      <c r="I170" s="13" t="str">
        <f>IF(Table132[[#This Row],[template]]="","","0x"&amp;Table132[[#This Row],[D_Index]]&amp;"000")</f>
        <v>0x061E0000</v>
      </c>
      <c r="J170" s="18" t="s">
        <v>341</v>
      </c>
      <c r="K170" s="10">
        <v>0</v>
      </c>
      <c r="L170" s="11"/>
      <c r="M170" s="9" t="str">
        <f>IF(Table132[[#This Row],[template]]="","",Table132[[#This Row],[IP_NAME]]&amp;"_"&amp;Table132[[#This Row],[PARAM_NAME]]&amp;IF(Table132[[#This Row],[PARAM_SUB]]="","","_"&amp;Table132[[#This Row],[PARAM_SUB]]))</f>
        <v>ev_extOutSel_1pps</v>
      </c>
      <c r="N170" s="1" t="s">
        <v>262</v>
      </c>
      <c r="O170" s="1" t="s">
        <v>411</v>
      </c>
      <c r="P170" s="6"/>
      <c r="Q170" s="4">
        <v>62</v>
      </c>
      <c r="R170" s="6" t="s">
        <v>363</v>
      </c>
      <c r="S170" s="1" t="s">
        <v>315</v>
      </c>
      <c r="T170" s="16">
        <v>30</v>
      </c>
      <c r="U170" s="6" t="s">
        <v>363</v>
      </c>
      <c r="X170" s="11">
        <f>IF(Table132[[#This Row],[template]]="","",VLOOKUP(Table132[[#This Row],[IP_NAME]],Table511175[],2,FALSE))</f>
        <v>1</v>
      </c>
      <c r="Y170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>061E0</v>
      </c>
      <c r="Z170" s="14">
        <f>IF(Table132[[#This Row],[template]]="","",HEX2DEC(Table132[[#This Row],[Addr_Hex]]))</f>
        <v>98</v>
      </c>
    </row>
    <row r="171" spans="2:26" x14ac:dyDescent="0.3">
      <c r="B171" s="4">
        <v>544</v>
      </c>
      <c r="C171" s="4" t="s">
        <v>233</v>
      </c>
      <c r="D171" s="9" t="str">
        <f>UPPER(Table132[[#This Row],[SIGNAL]])</f>
        <v>EV_EVR_PDPTRGSRCSEL</v>
      </c>
      <c r="E171" s="9" t="str">
        <f>IF(Table132[[#This Row],[template]]="","","0x"&amp;Table132[[#This Row],[IP_Index]]&amp;DEC2HEX(Table132[[#This Row],[Addr_Dec]]*4,7))</f>
        <v>0x10000188</v>
      </c>
      <c r="F171" s="9" t="str">
        <f>IF(Table132[[#This Row],[template]]="","",VLOOKUP(Table132[[#This Row],[template]],Table29153[],2,FALSE))</f>
        <v>asynParamInt32</v>
      </c>
      <c r="G171" s="18" t="str">
        <f>IF(Table132[[#This Row],[template]]="","","1")</f>
        <v>1</v>
      </c>
      <c r="H171" s="10"/>
      <c r="I171" s="13" t="str">
        <f>IF(Table132[[#This Row],[template]]="","","0x"&amp;Table132[[#This Row],[D_Index]]&amp;"000")</f>
        <v>0x06080000</v>
      </c>
      <c r="J171" s="18" t="s">
        <v>341</v>
      </c>
      <c r="K171" s="10">
        <v>0</v>
      </c>
      <c r="L171" s="11"/>
      <c r="M171" s="9" t="str">
        <f>IF(Table132[[#This Row],[template]]="","",Table132[[#This Row],[IP_NAME]]&amp;"_"&amp;Table132[[#This Row],[PARAM_NAME]]&amp;IF(Table132[[#This Row],[PARAM_SUB]]="","","_"&amp;Table132[[#This Row],[PARAM_SUB]]))</f>
        <v>ev_evr_pdpTrgSrcSel</v>
      </c>
      <c r="N171" s="1" t="s">
        <v>262</v>
      </c>
      <c r="O171" s="1" t="s">
        <v>412</v>
      </c>
      <c r="P171" s="6"/>
      <c r="Q171" s="4">
        <v>62</v>
      </c>
      <c r="R171" s="6" t="s">
        <v>363</v>
      </c>
      <c r="S171" s="1" t="s">
        <v>315</v>
      </c>
      <c r="T171" s="16">
        <v>8</v>
      </c>
      <c r="U171" s="6" t="s">
        <v>363</v>
      </c>
      <c r="X171" s="11">
        <f>IF(Table132[[#This Row],[template]]="","",VLOOKUP(Table132[[#This Row],[IP_NAME]],Table511175[],2,FALSE))</f>
        <v>1</v>
      </c>
      <c r="Y171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>06080</v>
      </c>
      <c r="Z171" s="14">
        <f>IF(Table132[[#This Row],[template]]="","",HEX2DEC(Table132[[#This Row],[Addr_Hex]]))</f>
        <v>98</v>
      </c>
    </row>
    <row r="172" spans="2:26" x14ac:dyDescent="0.3">
      <c r="B172" s="4">
        <v>545</v>
      </c>
      <c r="C172" s="4" t="s">
        <v>233</v>
      </c>
      <c r="D172" s="9" t="str">
        <f>UPPER(Table132[[#This Row],[SIGNAL]])</f>
        <v>EV_RX_DBUSSEL8</v>
      </c>
      <c r="E172" s="9" t="str">
        <f>IF(Table132[[#This Row],[template]]="","","0x"&amp;Table132[[#This Row],[IP_Index]]&amp;DEC2HEX(Table132[[#This Row],[Addr_Dec]]*4,7))</f>
        <v>0x10000188</v>
      </c>
      <c r="F172" s="9" t="str">
        <f>IF(Table132[[#This Row],[template]]="","",VLOOKUP(Table132[[#This Row],[template]],Table29153[],2,FALSE))</f>
        <v>asynParamInt32</v>
      </c>
      <c r="G172" s="18" t="str">
        <f>IF(Table132[[#This Row],[template]]="","","1")</f>
        <v>1</v>
      </c>
      <c r="H172" s="10"/>
      <c r="I172" s="13" t="str">
        <f>IF(Table132[[#This Row],[template]]="","","0x"&amp;Table132[[#This Row],[D_Index]]&amp;"000")</f>
        <v>0x03000000</v>
      </c>
      <c r="J172" s="18" t="s">
        <v>341</v>
      </c>
      <c r="K172" s="10">
        <v>0</v>
      </c>
      <c r="L172" s="11"/>
      <c r="M172" s="9" t="str">
        <f>IF(Table132[[#This Row],[template]]="","",Table132[[#This Row],[IP_NAME]]&amp;"_"&amp;Table132[[#This Row],[PARAM_NAME]]&amp;IF(Table132[[#This Row],[PARAM_SUB]]="","","_"&amp;Table132[[#This Row],[PARAM_SUB]]))</f>
        <v>ev_rx_DBusSel8</v>
      </c>
      <c r="N172" s="1" t="s">
        <v>262</v>
      </c>
      <c r="O172" s="1" t="s">
        <v>413</v>
      </c>
      <c r="P172" s="6"/>
      <c r="Q172" s="4">
        <v>62</v>
      </c>
      <c r="R172" s="6" t="s">
        <v>363</v>
      </c>
      <c r="S172" s="1" t="s">
        <v>312</v>
      </c>
      <c r="T172" s="16">
        <v>0</v>
      </c>
      <c r="U172" s="6" t="s">
        <v>363</v>
      </c>
      <c r="X172" s="11">
        <f>IF(Table132[[#This Row],[template]]="","",VLOOKUP(Table132[[#This Row],[IP_NAME]],Table511175[],2,FALSE))</f>
        <v>1</v>
      </c>
      <c r="Y172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>03000</v>
      </c>
      <c r="Z172" s="14">
        <f>IF(Table132[[#This Row],[template]]="","",HEX2DEC(Table132[[#This Row],[Addr_Hex]]))</f>
        <v>98</v>
      </c>
    </row>
    <row r="173" spans="2:26" x14ac:dyDescent="0.3">
      <c r="B173" s="4">
        <v>546</v>
      </c>
      <c r="C173" s="4"/>
      <c r="D173" s="9" t="str">
        <f>UPPER(Table132[[#This Row],[SIGNAL]])</f>
        <v/>
      </c>
      <c r="E173" s="9" t="str">
        <f>IF(Table132[[#This Row],[template]]="","","0x"&amp;Table132[[#This Row],[IP_Index]]&amp;DEC2HEX(Table132[[#This Row],[Addr_Dec]]*4,7))</f>
        <v/>
      </c>
      <c r="F173" s="9" t="str">
        <f>IF(Table132[[#This Row],[template]]="","",VLOOKUP(Table132[[#This Row],[template]],Table29153[],2,FALSE))</f>
        <v/>
      </c>
      <c r="G173" s="18" t="str">
        <f>IF(Table132[[#This Row],[template]]="","","1")</f>
        <v/>
      </c>
      <c r="H173" s="10"/>
      <c r="I173" s="13" t="str">
        <f>IF(Table132[[#This Row],[template]]="","","0x"&amp;Table132[[#This Row],[D_Index]]&amp;"000")</f>
        <v/>
      </c>
      <c r="J173" s="18"/>
      <c r="K173" s="10">
        <v>0</v>
      </c>
      <c r="L173" s="11"/>
      <c r="M173" s="9" t="str">
        <f>IF(Table132[[#This Row],[template]]="","",Table132[[#This Row],[IP_NAME]]&amp;"_"&amp;Table132[[#This Row],[PARAM_NAME]]&amp;IF(Table132[[#This Row],[PARAM_SUB]]="","","_"&amp;Table132[[#This Row],[PARAM_SUB]]))</f>
        <v/>
      </c>
      <c r="P173" s="6"/>
      <c r="Q173" s="4"/>
      <c r="R173" s="6"/>
      <c r="T173" s="16"/>
      <c r="U173" s="6"/>
      <c r="X173" s="11" t="str">
        <f>IF(Table132[[#This Row],[template]]="","",VLOOKUP(Table132[[#This Row],[IP_NAME]],Table511175[],2,FALSE))</f>
        <v/>
      </c>
      <c r="Y173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/>
      </c>
      <c r="Z173" s="14" t="str">
        <f>IF(Table132[[#This Row],[template]]="","",HEX2DEC(Table132[[#This Row],[Addr_Hex]]))</f>
        <v/>
      </c>
    </row>
    <row r="174" spans="2:26" x14ac:dyDescent="0.3">
      <c r="B174" s="4">
        <v>547</v>
      </c>
      <c r="C174" s="4" t="s">
        <v>233</v>
      </c>
      <c r="D174" s="9" t="str">
        <f>UPPER(Table132[[#This Row],[SIGNAL]])</f>
        <v>EV_EVLOGFIFO_ENABLE_USER</v>
      </c>
      <c r="E174" s="9" t="str">
        <f>IF(Table132[[#This Row],[template]]="","","0x"&amp;Table132[[#This Row],[IP_Index]]&amp;DEC2HEX(Table132[[#This Row],[Addr_Dec]]*4,7))</f>
        <v>0x1000018C</v>
      </c>
      <c r="F174" s="9" t="str">
        <f>IF(Table132[[#This Row],[template]]="","",VLOOKUP(Table132[[#This Row],[template]],Table29153[],2,FALSE))</f>
        <v>asynParamInt32</v>
      </c>
      <c r="G174" s="18" t="str">
        <f>IF(Table132[[#This Row],[template]]="","","1")</f>
        <v>1</v>
      </c>
      <c r="H174" s="10"/>
      <c r="I174" s="13" t="str">
        <f>IF(Table132[[#This Row],[template]]="","","0x"&amp;Table132[[#This Row],[D_Index]]&amp;"000")</f>
        <v>0x06000000</v>
      </c>
      <c r="J174" s="18" t="s">
        <v>341</v>
      </c>
      <c r="K174" s="10">
        <v>0</v>
      </c>
      <c r="L174" s="11"/>
      <c r="M174" s="9" t="str">
        <f>IF(Table132[[#This Row],[template]]="","",Table132[[#This Row],[IP_NAME]]&amp;"_"&amp;Table132[[#This Row],[PARAM_NAME]]&amp;IF(Table132[[#This Row],[PARAM_SUB]]="","","_"&amp;Table132[[#This Row],[PARAM_SUB]]))</f>
        <v>ev_evLogFifo_Enable_user</v>
      </c>
      <c r="N174" s="1" t="s">
        <v>262</v>
      </c>
      <c r="O174" s="1" t="s">
        <v>414</v>
      </c>
      <c r="P174" s="6"/>
      <c r="Q174" s="4">
        <v>63</v>
      </c>
      <c r="R174" s="6" t="s">
        <v>363</v>
      </c>
      <c r="S174" s="1" t="s">
        <v>315</v>
      </c>
      <c r="T174" s="16">
        <v>0</v>
      </c>
      <c r="U174" s="6" t="s">
        <v>363</v>
      </c>
      <c r="X174" s="11">
        <f>IF(Table132[[#This Row],[template]]="","",VLOOKUP(Table132[[#This Row],[IP_NAME]],Table511175[],2,FALSE))</f>
        <v>1</v>
      </c>
      <c r="Y174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>06000</v>
      </c>
      <c r="Z174" s="14">
        <f>IF(Table132[[#This Row],[template]]="","",HEX2DEC(Table132[[#This Row],[Addr_Hex]]))</f>
        <v>99</v>
      </c>
    </row>
    <row r="175" spans="2:26" x14ac:dyDescent="0.3">
      <c r="B175" s="4">
        <v>548</v>
      </c>
      <c r="C175" s="4"/>
      <c r="D175" s="9" t="str">
        <f>UPPER(Table132[[#This Row],[SIGNAL]])</f>
        <v/>
      </c>
      <c r="E175" s="9" t="str">
        <f>IF(Table132[[#This Row],[template]]="","","0x"&amp;Table132[[#This Row],[IP_Index]]&amp;DEC2HEX(Table132[[#This Row],[Addr_Dec]]*4,7))</f>
        <v/>
      </c>
      <c r="F175" s="9" t="str">
        <f>IF(Table132[[#This Row],[template]]="","",VLOOKUP(Table132[[#This Row],[template]],Table29153[],2,FALSE))</f>
        <v/>
      </c>
      <c r="G175" s="18" t="str">
        <f>IF(Table132[[#This Row],[template]]="","","1")</f>
        <v/>
      </c>
      <c r="H175" s="10"/>
      <c r="I175" s="13" t="str">
        <f>IF(Table132[[#This Row],[template]]="","","0x"&amp;Table132[[#This Row],[D_Index]]&amp;"000")</f>
        <v/>
      </c>
      <c r="J175" s="18"/>
      <c r="K175" s="10">
        <v>0</v>
      </c>
      <c r="L175" s="11"/>
      <c r="M175" s="9" t="str">
        <f>IF(Table132[[#This Row],[template]]="","",Table132[[#This Row],[IP_NAME]]&amp;"_"&amp;Table132[[#This Row],[PARAM_NAME]]&amp;IF(Table132[[#This Row],[PARAM_SUB]]="","","_"&amp;Table132[[#This Row],[PARAM_SUB]]))</f>
        <v/>
      </c>
      <c r="P175" s="6"/>
      <c r="Q175" s="4"/>
      <c r="R175" s="6"/>
      <c r="T175" s="16"/>
      <c r="U175" s="6"/>
      <c r="X175" s="11" t="str">
        <f>IF(Table132[[#This Row],[template]]="","",VLOOKUP(Table132[[#This Row],[IP_NAME]],Table511175[],2,FALSE))</f>
        <v/>
      </c>
      <c r="Y175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/>
      </c>
      <c r="Z175" s="14" t="str">
        <f>IF(Table132[[#This Row],[template]]="","",HEX2DEC(Table132[[#This Row],[Addr_Hex]]))</f>
        <v/>
      </c>
    </row>
    <row r="176" spans="2:26" x14ac:dyDescent="0.3">
      <c r="B176" s="4">
        <v>549</v>
      </c>
      <c r="C176" s="4" t="s">
        <v>233</v>
      </c>
      <c r="D176" s="9" t="str">
        <f>UPPER(Table132[[#This Row],[SIGNAL]])</f>
        <v>EV_PDPPOLARITY_0</v>
      </c>
      <c r="E176" s="9" t="str">
        <f>IF(Table132[[#This Row],[template]]="","","0x"&amp;Table132[[#This Row],[IP_Index]]&amp;DEC2HEX(Table132[[#This Row],[Addr_Dec]]*4,7))</f>
        <v>0x10000190</v>
      </c>
      <c r="F176" s="9" t="str">
        <f>IF(Table132[[#This Row],[template]]="","",VLOOKUP(Table132[[#This Row],[template]],Table29153[],2,FALSE))</f>
        <v>asynParamInt32</v>
      </c>
      <c r="G176" s="18" t="str">
        <f>IF(Table132[[#This Row],[template]]="","","1")</f>
        <v>1</v>
      </c>
      <c r="H176" s="10"/>
      <c r="I176" s="13" t="str">
        <f>IF(Table132[[#This Row],[template]]="","","0x"&amp;Table132[[#This Row],[D_Index]]&amp;"000")</f>
        <v>0x06000000</v>
      </c>
      <c r="J176" s="18" t="s">
        <v>341</v>
      </c>
      <c r="K176" s="10">
        <v>0</v>
      </c>
      <c r="L176" s="11"/>
      <c r="M176" s="9" t="str">
        <f>IF(Table132[[#This Row],[template]]="","",Table132[[#This Row],[IP_NAME]]&amp;"_"&amp;Table132[[#This Row],[PARAM_NAME]]&amp;IF(Table132[[#This Row],[PARAM_SUB]]="","","_"&amp;Table132[[#This Row],[PARAM_SUB]]))</f>
        <v>ev_pdpPolarity_0</v>
      </c>
      <c r="N176" s="1" t="s">
        <v>262</v>
      </c>
      <c r="O176" s="1" t="s">
        <v>415</v>
      </c>
      <c r="P176" s="6" t="s">
        <v>367</v>
      </c>
      <c r="Q176" s="4">
        <v>64</v>
      </c>
      <c r="R176" s="6" t="s">
        <v>363</v>
      </c>
      <c r="S176" s="1" t="s">
        <v>315</v>
      </c>
      <c r="T176" s="16" t="s">
        <v>367</v>
      </c>
      <c r="U176" s="6" t="s">
        <v>363</v>
      </c>
      <c r="X176" s="11">
        <f>IF(Table132[[#This Row],[template]]="","",VLOOKUP(Table132[[#This Row],[IP_NAME]],Table511175[],2,FALSE))</f>
        <v>1</v>
      </c>
      <c r="Y176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>06000</v>
      </c>
      <c r="Z176" s="14">
        <f>IF(Table132[[#This Row],[template]]="","",HEX2DEC(Table132[[#This Row],[Addr_Hex]]))</f>
        <v>100</v>
      </c>
    </row>
    <row r="177" spans="2:26" x14ac:dyDescent="0.3">
      <c r="B177" s="4">
        <v>550</v>
      </c>
      <c r="C177" s="4" t="s">
        <v>233</v>
      </c>
      <c r="D177" s="9" t="str">
        <f>UPPER(Table132[[#This Row],[SIGNAL]])</f>
        <v>EV_PDPPOLARITY_1</v>
      </c>
      <c r="E177" s="9" t="str">
        <f>IF(Table132[[#This Row],[template]]="","","0x"&amp;Table132[[#This Row],[IP_Index]]&amp;DEC2HEX(Table132[[#This Row],[Addr_Dec]]*4,7))</f>
        <v>0x10000190</v>
      </c>
      <c r="F177" s="9" t="str">
        <f>IF(Table132[[#This Row],[template]]="","",VLOOKUP(Table132[[#This Row],[template]],Table29153[],2,FALSE))</f>
        <v>asynParamInt32</v>
      </c>
      <c r="G177" s="18" t="str">
        <f>IF(Table132[[#This Row],[template]]="","","1")</f>
        <v>1</v>
      </c>
      <c r="H177" s="10"/>
      <c r="I177" s="13" t="str">
        <f>IF(Table132[[#This Row],[template]]="","","0x"&amp;Table132[[#This Row],[D_Index]]&amp;"000")</f>
        <v>0x06010000</v>
      </c>
      <c r="J177" s="18" t="s">
        <v>341</v>
      </c>
      <c r="K177" s="10">
        <v>0</v>
      </c>
      <c r="L177" s="11"/>
      <c r="M177" s="9" t="str">
        <f>IF(Table132[[#This Row],[template]]="","",Table132[[#This Row],[IP_NAME]]&amp;"_"&amp;Table132[[#This Row],[PARAM_NAME]]&amp;IF(Table132[[#This Row],[PARAM_SUB]]="","","_"&amp;Table132[[#This Row],[PARAM_SUB]]))</f>
        <v>ev_pdpPolarity_1</v>
      </c>
      <c r="N177" s="1" t="s">
        <v>262</v>
      </c>
      <c r="O177" s="1" t="s">
        <v>415</v>
      </c>
      <c r="P177" s="6" t="s">
        <v>271</v>
      </c>
      <c r="Q177" s="4">
        <v>64</v>
      </c>
      <c r="R177" s="6" t="s">
        <v>363</v>
      </c>
      <c r="S177" s="1" t="s">
        <v>315</v>
      </c>
      <c r="T177" s="16" t="s">
        <v>271</v>
      </c>
      <c r="U177" s="6" t="s">
        <v>363</v>
      </c>
      <c r="X177" s="11">
        <f>IF(Table132[[#This Row],[template]]="","",VLOOKUP(Table132[[#This Row],[IP_NAME]],Table511175[],2,FALSE))</f>
        <v>1</v>
      </c>
      <c r="Y177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>06010</v>
      </c>
      <c r="Z177" s="14">
        <f>IF(Table132[[#This Row],[template]]="","",HEX2DEC(Table132[[#This Row],[Addr_Hex]]))</f>
        <v>100</v>
      </c>
    </row>
    <row r="178" spans="2:26" x14ac:dyDescent="0.3">
      <c r="B178" s="4">
        <v>551</v>
      </c>
      <c r="C178" s="4" t="s">
        <v>233</v>
      </c>
      <c r="D178" s="9" t="str">
        <f>UPPER(Table132[[#This Row],[SIGNAL]])</f>
        <v>EV_PDPPOLARITY_2</v>
      </c>
      <c r="E178" s="9" t="str">
        <f>IF(Table132[[#This Row],[template]]="","","0x"&amp;Table132[[#This Row],[IP_Index]]&amp;DEC2HEX(Table132[[#This Row],[Addr_Dec]]*4,7))</f>
        <v>0x10000190</v>
      </c>
      <c r="F178" s="9" t="str">
        <f>IF(Table132[[#This Row],[template]]="","",VLOOKUP(Table132[[#This Row],[template]],Table29153[],2,FALSE))</f>
        <v>asynParamInt32</v>
      </c>
      <c r="G178" s="18" t="str">
        <f>IF(Table132[[#This Row],[template]]="","","1")</f>
        <v>1</v>
      </c>
      <c r="H178" s="10"/>
      <c r="I178" s="13" t="str">
        <f>IF(Table132[[#This Row],[template]]="","","0x"&amp;Table132[[#This Row],[D_Index]]&amp;"000")</f>
        <v>0x06020000</v>
      </c>
      <c r="J178" s="18" t="s">
        <v>341</v>
      </c>
      <c r="K178" s="10">
        <v>0</v>
      </c>
      <c r="L178" s="11"/>
      <c r="M178" s="9" t="str">
        <f>IF(Table132[[#This Row],[template]]="","",Table132[[#This Row],[IP_NAME]]&amp;"_"&amp;Table132[[#This Row],[PARAM_NAME]]&amp;IF(Table132[[#This Row],[PARAM_SUB]]="","","_"&amp;Table132[[#This Row],[PARAM_SUB]]))</f>
        <v>ev_pdpPolarity_2</v>
      </c>
      <c r="N178" s="1" t="s">
        <v>262</v>
      </c>
      <c r="O178" s="1" t="s">
        <v>415</v>
      </c>
      <c r="P178" s="6" t="s">
        <v>243</v>
      </c>
      <c r="Q178" s="4">
        <v>64</v>
      </c>
      <c r="R178" s="6" t="s">
        <v>363</v>
      </c>
      <c r="S178" s="1" t="s">
        <v>315</v>
      </c>
      <c r="T178" s="16" t="s">
        <v>243</v>
      </c>
      <c r="U178" s="6" t="s">
        <v>363</v>
      </c>
      <c r="X178" s="11">
        <f>IF(Table132[[#This Row],[template]]="","",VLOOKUP(Table132[[#This Row],[IP_NAME]],Table511175[],2,FALSE))</f>
        <v>1</v>
      </c>
      <c r="Y178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>06020</v>
      </c>
      <c r="Z178" s="14">
        <f>IF(Table132[[#This Row],[template]]="","",HEX2DEC(Table132[[#This Row],[Addr_Hex]]))</f>
        <v>100</v>
      </c>
    </row>
    <row r="179" spans="2:26" x14ac:dyDescent="0.3">
      <c r="B179" s="4">
        <v>552</v>
      </c>
      <c r="C179" s="4" t="s">
        <v>233</v>
      </c>
      <c r="D179" s="9" t="str">
        <f>UPPER(Table132[[#This Row],[SIGNAL]])</f>
        <v>EV_PDPPOLARITY_3</v>
      </c>
      <c r="E179" s="9" t="str">
        <f>IF(Table132[[#This Row],[template]]="","","0x"&amp;Table132[[#This Row],[IP_Index]]&amp;DEC2HEX(Table132[[#This Row],[Addr_Dec]]*4,7))</f>
        <v>0x10000190</v>
      </c>
      <c r="F179" s="9" t="str">
        <f>IF(Table132[[#This Row],[template]]="","",VLOOKUP(Table132[[#This Row],[template]],Table29153[],2,FALSE))</f>
        <v>asynParamInt32</v>
      </c>
      <c r="G179" s="18" t="str">
        <f>IF(Table132[[#This Row],[template]]="","","1")</f>
        <v>1</v>
      </c>
      <c r="H179" s="10"/>
      <c r="I179" s="13" t="str">
        <f>IF(Table132[[#This Row],[template]]="","","0x"&amp;Table132[[#This Row],[D_Index]]&amp;"000")</f>
        <v>0x06030000</v>
      </c>
      <c r="J179" s="18" t="s">
        <v>341</v>
      </c>
      <c r="K179" s="10">
        <v>0</v>
      </c>
      <c r="L179" s="11"/>
      <c r="M179" s="9" t="str">
        <f>IF(Table132[[#This Row],[template]]="","",Table132[[#This Row],[IP_NAME]]&amp;"_"&amp;Table132[[#This Row],[PARAM_NAME]]&amp;IF(Table132[[#This Row],[PARAM_SUB]]="","","_"&amp;Table132[[#This Row],[PARAM_SUB]]))</f>
        <v>ev_pdpPolarity_3</v>
      </c>
      <c r="N179" s="1" t="s">
        <v>262</v>
      </c>
      <c r="O179" s="1" t="s">
        <v>415</v>
      </c>
      <c r="P179" s="6" t="s">
        <v>244</v>
      </c>
      <c r="Q179" s="4">
        <v>64</v>
      </c>
      <c r="R179" s="6" t="s">
        <v>363</v>
      </c>
      <c r="S179" s="1" t="s">
        <v>315</v>
      </c>
      <c r="T179" s="16" t="s">
        <v>244</v>
      </c>
      <c r="U179" s="6" t="s">
        <v>363</v>
      </c>
      <c r="X179" s="11">
        <f>IF(Table132[[#This Row],[template]]="","",VLOOKUP(Table132[[#This Row],[IP_NAME]],Table511175[],2,FALSE))</f>
        <v>1</v>
      </c>
      <c r="Y179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>06030</v>
      </c>
      <c r="Z179" s="14">
        <f>IF(Table132[[#This Row],[template]]="","",HEX2DEC(Table132[[#This Row],[Addr_Hex]]))</f>
        <v>100</v>
      </c>
    </row>
    <row r="180" spans="2:26" x14ac:dyDescent="0.3">
      <c r="B180" s="4">
        <v>553</v>
      </c>
      <c r="C180" s="4" t="s">
        <v>233</v>
      </c>
      <c r="D180" s="9" t="str">
        <f>UPPER(Table132[[#This Row],[SIGNAL]])</f>
        <v>EV_PDPPOLARITY_4</v>
      </c>
      <c r="E180" s="9" t="str">
        <f>IF(Table132[[#This Row],[template]]="","","0x"&amp;Table132[[#This Row],[IP_Index]]&amp;DEC2HEX(Table132[[#This Row],[Addr_Dec]]*4,7))</f>
        <v>0x10000190</v>
      </c>
      <c r="F180" s="9" t="str">
        <f>IF(Table132[[#This Row],[template]]="","",VLOOKUP(Table132[[#This Row],[template]],Table29153[],2,FALSE))</f>
        <v>asynParamInt32</v>
      </c>
      <c r="G180" s="18" t="str">
        <f>IF(Table132[[#This Row],[template]]="","","1")</f>
        <v>1</v>
      </c>
      <c r="H180" s="10"/>
      <c r="I180" s="13" t="str">
        <f>IF(Table132[[#This Row],[template]]="","","0x"&amp;Table132[[#This Row],[D_Index]]&amp;"000")</f>
        <v>0x06040000</v>
      </c>
      <c r="J180" s="18" t="s">
        <v>341</v>
      </c>
      <c r="K180" s="10">
        <v>0</v>
      </c>
      <c r="L180" s="11"/>
      <c r="M180" s="9" t="str">
        <f>IF(Table132[[#This Row],[template]]="","",Table132[[#This Row],[IP_NAME]]&amp;"_"&amp;Table132[[#This Row],[PARAM_NAME]]&amp;IF(Table132[[#This Row],[PARAM_SUB]]="","","_"&amp;Table132[[#This Row],[PARAM_SUB]]))</f>
        <v>ev_pdpPolarity_4</v>
      </c>
      <c r="N180" s="1" t="s">
        <v>262</v>
      </c>
      <c r="O180" s="1" t="s">
        <v>415</v>
      </c>
      <c r="P180" s="6" t="s">
        <v>245</v>
      </c>
      <c r="Q180" s="4">
        <v>64</v>
      </c>
      <c r="R180" s="6" t="s">
        <v>363</v>
      </c>
      <c r="S180" s="1" t="s">
        <v>315</v>
      </c>
      <c r="T180" s="16" t="s">
        <v>245</v>
      </c>
      <c r="U180" s="6" t="s">
        <v>363</v>
      </c>
      <c r="X180" s="11">
        <f>IF(Table132[[#This Row],[template]]="","",VLOOKUP(Table132[[#This Row],[IP_NAME]],Table511175[],2,FALSE))</f>
        <v>1</v>
      </c>
      <c r="Y180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>06040</v>
      </c>
      <c r="Z180" s="14">
        <f>IF(Table132[[#This Row],[template]]="","",HEX2DEC(Table132[[#This Row],[Addr_Hex]]))</f>
        <v>100</v>
      </c>
    </row>
    <row r="181" spans="2:26" x14ac:dyDescent="0.3">
      <c r="B181" s="4">
        <v>554</v>
      </c>
      <c r="C181" s="4" t="s">
        <v>233</v>
      </c>
      <c r="D181" s="9" t="str">
        <f>UPPER(Table132[[#This Row],[SIGNAL]])</f>
        <v>EV_PDPPOLARITY_5</v>
      </c>
      <c r="E181" s="9" t="str">
        <f>IF(Table132[[#This Row],[template]]="","","0x"&amp;Table132[[#This Row],[IP_Index]]&amp;DEC2HEX(Table132[[#This Row],[Addr_Dec]]*4,7))</f>
        <v>0x10000190</v>
      </c>
      <c r="F181" s="9" t="str">
        <f>IF(Table132[[#This Row],[template]]="","",VLOOKUP(Table132[[#This Row],[template]],Table29153[],2,FALSE))</f>
        <v>asynParamInt32</v>
      </c>
      <c r="G181" s="18" t="str">
        <f>IF(Table132[[#This Row],[template]]="","","1")</f>
        <v>1</v>
      </c>
      <c r="H181" s="10"/>
      <c r="I181" s="13" t="str">
        <f>IF(Table132[[#This Row],[template]]="","","0x"&amp;Table132[[#This Row],[D_Index]]&amp;"000")</f>
        <v>0x06050000</v>
      </c>
      <c r="J181" s="18" t="s">
        <v>341</v>
      </c>
      <c r="K181" s="10">
        <v>0</v>
      </c>
      <c r="L181" s="11"/>
      <c r="M181" s="9" t="str">
        <f>IF(Table132[[#This Row],[template]]="","",Table132[[#This Row],[IP_NAME]]&amp;"_"&amp;Table132[[#This Row],[PARAM_NAME]]&amp;IF(Table132[[#This Row],[PARAM_SUB]]="","","_"&amp;Table132[[#This Row],[PARAM_SUB]]))</f>
        <v>ev_pdpPolarity_5</v>
      </c>
      <c r="N181" s="1" t="s">
        <v>262</v>
      </c>
      <c r="O181" s="1" t="s">
        <v>415</v>
      </c>
      <c r="P181" s="6" t="s">
        <v>246</v>
      </c>
      <c r="Q181" s="4">
        <v>64</v>
      </c>
      <c r="R181" s="6" t="s">
        <v>363</v>
      </c>
      <c r="S181" s="1" t="s">
        <v>315</v>
      </c>
      <c r="T181" s="16" t="s">
        <v>246</v>
      </c>
      <c r="U181" s="6" t="s">
        <v>363</v>
      </c>
      <c r="X181" s="11">
        <f>IF(Table132[[#This Row],[template]]="","",VLOOKUP(Table132[[#This Row],[IP_NAME]],Table511175[],2,FALSE))</f>
        <v>1</v>
      </c>
      <c r="Y181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>06050</v>
      </c>
      <c r="Z181" s="14">
        <f>IF(Table132[[#This Row],[template]]="","",HEX2DEC(Table132[[#This Row],[Addr_Hex]]))</f>
        <v>100</v>
      </c>
    </row>
    <row r="182" spans="2:26" x14ac:dyDescent="0.3">
      <c r="B182" s="4">
        <v>555</v>
      </c>
      <c r="C182" s="4" t="s">
        <v>233</v>
      </c>
      <c r="D182" s="9" t="str">
        <f>UPPER(Table132[[#This Row],[SIGNAL]])</f>
        <v>EV_PDPPOLARITY_6</v>
      </c>
      <c r="E182" s="9" t="str">
        <f>IF(Table132[[#This Row],[template]]="","","0x"&amp;Table132[[#This Row],[IP_Index]]&amp;DEC2HEX(Table132[[#This Row],[Addr_Dec]]*4,7))</f>
        <v>0x10000190</v>
      </c>
      <c r="F182" s="9" t="str">
        <f>IF(Table132[[#This Row],[template]]="","",VLOOKUP(Table132[[#This Row],[template]],Table29153[],2,FALSE))</f>
        <v>asynParamInt32</v>
      </c>
      <c r="G182" s="18" t="str">
        <f>IF(Table132[[#This Row],[template]]="","","1")</f>
        <v>1</v>
      </c>
      <c r="H182" s="10"/>
      <c r="I182" s="13" t="str">
        <f>IF(Table132[[#This Row],[template]]="","","0x"&amp;Table132[[#This Row],[D_Index]]&amp;"000")</f>
        <v>0x06060000</v>
      </c>
      <c r="J182" s="18" t="s">
        <v>341</v>
      </c>
      <c r="K182" s="10">
        <v>0</v>
      </c>
      <c r="L182" s="11"/>
      <c r="M182" s="9" t="str">
        <f>IF(Table132[[#This Row],[template]]="","",Table132[[#This Row],[IP_NAME]]&amp;"_"&amp;Table132[[#This Row],[PARAM_NAME]]&amp;IF(Table132[[#This Row],[PARAM_SUB]]="","","_"&amp;Table132[[#This Row],[PARAM_SUB]]))</f>
        <v>ev_pdpPolarity_6</v>
      </c>
      <c r="N182" s="1" t="s">
        <v>262</v>
      </c>
      <c r="O182" s="1" t="s">
        <v>415</v>
      </c>
      <c r="P182" s="6" t="s">
        <v>247</v>
      </c>
      <c r="Q182" s="4">
        <v>64</v>
      </c>
      <c r="R182" s="6" t="s">
        <v>363</v>
      </c>
      <c r="S182" s="1" t="s">
        <v>315</v>
      </c>
      <c r="T182" s="16" t="s">
        <v>247</v>
      </c>
      <c r="U182" s="6" t="s">
        <v>363</v>
      </c>
      <c r="X182" s="11">
        <f>IF(Table132[[#This Row],[template]]="","",VLOOKUP(Table132[[#This Row],[IP_NAME]],Table511175[],2,FALSE))</f>
        <v>1</v>
      </c>
      <c r="Y182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>06060</v>
      </c>
      <c r="Z182" s="14">
        <f>IF(Table132[[#This Row],[template]]="","",HEX2DEC(Table132[[#This Row],[Addr_Hex]]))</f>
        <v>100</v>
      </c>
    </row>
    <row r="183" spans="2:26" x14ac:dyDescent="0.3">
      <c r="B183" s="4">
        <v>556</v>
      </c>
      <c r="C183" s="4" t="s">
        <v>233</v>
      </c>
      <c r="D183" s="9" t="str">
        <f>UPPER(Table132[[#This Row],[SIGNAL]])</f>
        <v>EV_PDPPOLARITY_7</v>
      </c>
      <c r="E183" s="9" t="str">
        <f>IF(Table132[[#This Row],[template]]="","","0x"&amp;Table132[[#This Row],[IP_Index]]&amp;DEC2HEX(Table132[[#This Row],[Addr_Dec]]*4,7))</f>
        <v>0x10000190</v>
      </c>
      <c r="F183" s="9" t="str">
        <f>IF(Table132[[#This Row],[template]]="","",VLOOKUP(Table132[[#This Row],[template]],Table29153[],2,FALSE))</f>
        <v>asynParamInt32</v>
      </c>
      <c r="G183" s="18" t="str">
        <f>IF(Table132[[#This Row],[template]]="","","1")</f>
        <v>1</v>
      </c>
      <c r="H183" s="10"/>
      <c r="I183" s="13" t="str">
        <f>IF(Table132[[#This Row],[template]]="","","0x"&amp;Table132[[#This Row],[D_Index]]&amp;"000")</f>
        <v>0x06070000</v>
      </c>
      <c r="J183" s="18" t="s">
        <v>341</v>
      </c>
      <c r="K183" s="10">
        <v>0</v>
      </c>
      <c r="L183" s="11"/>
      <c r="M183" s="9" t="str">
        <f>IF(Table132[[#This Row],[template]]="","",Table132[[#This Row],[IP_NAME]]&amp;"_"&amp;Table132[[#This Row],[PARAM_NAME]]&amp;IF(Table132[[#This Row],[PARAM_SUB]]="","","_"&amp;Table132[[#This Row],[PARAM_SUB]]))</f>
        <v>ev_pdpPolarity_7</v>
      </c>
      <c r="N183" s="1" t="s">
        <v>262</v>
      </c>
      <c r="O183" s="1" t="s">
        <v>415</v>
      </c>
      <c r="P183" s="6" t="s">
        <v>248</v>
      </c>
      <c r="Q183" s="4">
        <v>64</v>
      </c>
      <c r="R183" s="6" t="s">
        <v>363</v>
      </c>
      <c r="S183" s="1" t="s">
        <v>315</v>
      </c>
      <c r="T183" s="16" t="s">
        <v>248</v>
      </c>
      <c r="U183" s="6" t="s">
        <v>363</v>
      </c>
      <c r="X183" s="11">
        <f>IF(Table132[[#This Row],[template]]="","",VLOOKUP(Table132[[#This Row],[IP_NAME]],Table511175[],2,FALSE))</f>
        <v>1</v>
      </c>
      <c r="Y183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>06070</v>
      </c>
      <c r="Z183" s="14">
        <f>IF(Table132[[#This Row],[template]]="","",HEX2DEC(Table132[[#This Row],[Addr_Hex]]))</f>
        <v>100</v>
      </c>
    </row>
    <row r="184" spans="2:26" x14ac:dyDescent="0.3">
      <c r="B184" s="4">
        <v>557</v>
      </c>
      <c r="C184" s="4" t="s">
        <v>233</v>
      </c>
      <c r="D184" s="9" t="str">
        <f>UPPER(Table132[[#This Row],[SIGNAL]])</f>
        <v>EV_PDPPOLARITY_8</v>
      </c>
      <c r="E184" s="9" t="str">
        <f>IF(Table132[[#This Row],[template]]="","","0x"&amp;Table132[[#This Row],[IP_Index]]&amp;DEC2HEX(Table132[[#This Row],[Addr_Dec]]*4,7))</f>
        <v>0x10000190</v>
      </c>
      <c r="F184" s="9" t="str">
        <f>IF(Table132[[#This Row],[template]]="","",VLOOKUP(Table132[[#This Row],[template]],Table29153[],2,FALSE))</f>
        <v>asynParamInt32</v>
      </c>
      <c r="G184" s="18" t="str">
        <f>IF(Table132[[#This Row],[template]]="","","1")</f>
        <v>1</v>
      </c>
      <c r="H184" s="10"/>
      <c r="I184" s="13" t="str">
        <f>IF(Table132[[#This Row],[template]]="","","0x"&amp;Table132[[#This Row],[D_Index]]&amp;"000")</f>
        <v>0x06080000</v>
      </c>
      <c r="J184" s="18" t="s">
        <v>341</v>
      </c>
      <c r="K184" s="10">
        <v>0</v>
      </c>
      <c r="L184" s="11"/>
      <c r="M184" s="9" t="str">
        <f>IF(Table132[[#This Row],[template]]="","",Table132[[#This Row],[IP_NAME]]&amp;"_"&amp;Table132[[#This Row],[PARAM_NAME]]&amp;IF(Table132[[#This Row],[PARAM_SUB]]="","","_"&amp;Table132[[#This Row],[PARAM_SUB]]))</f>
        <v>ev_pdpPolarity_8</v>
      </c>
      <c r="N184" s="1" t="s">
        <v>262</v>
      </c>
      <c r="O184" s="1" t="s">
        <v>415</v>
      </c>
      <c r="P184" s="6" t="s">
        <v>249</v>
      </c>
      <c r="Q184" s="4">
        <v>64</v>
      </c>
      <c r="R184" s="6" t="s">
        <v>363</v>
      </c>
      <c r="S184" s="1" t="s">
        <v>315</v>
      </c>
      <c r="T184" s="16" t="s">
        <v>249</v>
      </c>
      <c r="U184" s="6" t="s">
        <v>363</v>
      </c>
      <c r="X184" s="11">
        <f>IF(Table132[[#This Row],[template]]="","",VLOOKUP(Table132[[#This Row],[IP_NAME]],Table511175[],2,FALSE))</f>
        <v>1</v>
      </c>
      <c r="Y184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>06080</v>
      </c>
      <c r="Z184" s="14">
        <f>IF(Table132[[#This Row],[template]]="","",HEX2DEC(Table132[[#This Row],[Addr_Hex]]))</f>
        <v>100</v>
      </c>
    </row>
    <row r="185" spans="2:26" x14ac:dyDescent="0.3">
      <c r="B185" s="4">
        <v>558</v>
      </c>
      <c r="C185" s="4" t="s">
        <v>233</v>
      </c>
      <c r="D185" s="9" t="str">
        <f>UPPER(Table132[[#This Row],[SIGNAL]])</f>
        <v>EV_PDPPOLARITY_9</v>
      </c>
      <c r="E185" s="9" t="str">
        <f>IF(Table132[[#This Row],[template]]="","","0x"&amp;Table132[[#This Row],[IP_Index]]&amp;DEC2HEX(Table132[[#This Row],[Addr_Dec]]*4,7))</f>
        <v>0x10000190</v>
      </c>
      <c r="F185" s="9" t="str">
        <f>IF(Table132[[#This Row],[template]]="","",VLOOKUP(Table132[[#This Row],[template]],Table29153[],2,FALSE))</f>
        <v>asynParamInt32</v>
      </c>
      <c r="G185" s="18" t="str">
        <f>IF(Table132[[#This Row],[template]]="","","1")</f>
        <v>1</v>
      </c>
      <c r="H185" s="10"/>
      <c r="I185" s="13" t="str">
        <f>IF(Table132[[#This Row],[template]]="","","0x"&amp;Table132[[#This Row],[D_Index]]&amp;"000")</f>
        <v>0x06090000</v>
      </c>
      <c r="J185" s="18" t="s">
        <v>341</v>
      </c>
      <c r="K185" s="10">
        <v>0</v>
      </c>
      <c r="L185" s="11"/>
      <c r="M185" s="9" t="str">
        <f>IF(Table132[[#This Row],[template]]="","",Table132[[#This Row],[IP_NAME]]&amp;"_"&amp;Table132[[#This Row],[PARAM_NAME]]&amp;IF(Table132[[#This Row],[PARAM_SUB]]="","","_"&amp;Table132[[#This Row],[PARAM_SUB]]))</f>
        <v>ev_pdpPolarity_9</v>
      </c>
      <c r="N185" s="1" t="s">
        <v>262</v>
      </c>
      <c r="O185" s="1" t="s">
        <v>415</v>
      </c>
      <c r="P185" s="6" t="s">
        <v>250</v>
      </c>
      <c r="Q185" s="4">
        <v>64</v>
      </c>
      <c r="R185" s="6" t="s">
        <v>363</v>
      </c>
      <c r="S185" s="1" t="s">
        <v>315</v>
      </c>
      <c r="T185" s="16" t="s">
        <v>250</v>
      </c>
      <c r="U185" s="6" t="s">
        <v>363</v>
      </c>
      <c r="X185" s="11">
        <f>IF(Table132[[#This Row],[template]]="","",VLOOKUP(Table132[[#This Row],[IP_NAME]],Table511175[],2,FALSE))</f>
        <v>1</v>
      </c>
      <c r="Y185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>06090</v>
      </c>
      <c r="Z185" s="14">
        <f>IF(Table132[[#This Row],[template]]="","",HEX2DEC(Table132[[#This Row],[Addr_Hex]]))</f>
        <v>100</v>
      </c>
    </row>
    <row r="186" spans="2:26" x14ac:dyDescent="0.3">
      <c r="B186" s="4">
        <v>559</v>
      </c>
      <c r="C186" s="4" t="s">
        <v>233</v>
      </c>
      <c r="D186" s="9" t="str">
        <f>UPPER(Table132[[#This Row],[SIGNAL]])</f>
        <v>EV_PDPPOLARITY_10</v>
      </c>
      <c r="E186" s="9" t="str">
        <f>IF(Table132[[#This Row],[template]]="","","0x"&amp;Table132[[#This Row],[IP_Index]]&amp;DEC2HEX(Table132[[#This Row],[Addr_Dec]]*4,7))</f>
        <v>0x10000190</v>
      </c>
      <c r="F186" s="9" t="str">
        <f>IF(Table132[[#This Row],[template]]="","",VLOOKUP(Table132[[#This Row],[template]],Table29153[],2,FALSE))</f>
        <v>asynParamInt32</v>
      </c>
      <c r="G186" s="18" t="str">
        <f>IF(Table132[[#This Row],[template]]="","","1")</f>
        <v>1</v>
      </c>
      <c r="H186" s="10"/>
      <c r="I186" s="13" t="str">
        <f>IF(Table132[[#This Row],[template]]="","","0x"&amp;Table132[[#This Row],[D_Index]]&amp;"000")</f>
        <v>0x060A0000</v>
      </c>
      <c r="J186" s="18" t="s">
        <v>341</v>
      </c>
      <c r="K186" s="10">
        <v>0</v>
      </c>
      <c r="L186" s="11"/>
      <c r="M186" s="9" t="str">
        <f>IF(Table132[[#This Row],[template]]="","",Table132[[#This Row],[IP_NAME]]&amp;"_"&amp;Table132[[#This Row],[PARAM_NAME]]&amp;IF(Table132[[#This Row],[PARAM_SUB]]="","","_"&amp;Table132[[#This Row],[PARAM_SUB]]))</f>
        <v>ev_pdpPolarity_10</v>
      </c>
      <c r="N186" s="1" t="s">
        <v>262</v>
      </c>
      <c r="O186" s="1" t="s">
        <v>415</v>
      </c>
      <c r="P186" s="6" t="s">
        <v>273</v>
      </c>
      <c r="Q186" s="4">
        <v>64</v>
      </c>
      <c r="R186" s="6" t="s">
        <v>363</v>
      </c>
      <c r="S186" s="1" t="s">
        <v>315</v>
      </c>
      <c r="T186" s="16" t="s">
        <v>273</v>
      </c>
      <c r="U186" s="6" t="s">
        <v>363</v>
      </c>
      <c r="X186" s="11">
        <f>IF(Table132[[#This Row],[template]]="","",VLOOKUP(Table132[[#This Row],[IP_NAME]],Table511175[],2,FALSE))</f>
        <v>1</v>
      </c>
      <c r="Y186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>060A0</v>
      </c>
      <c r="Z186" s="14">
        <f>IF(Table132[[#This Row],[template]]="","",HEX2DEC(Table132[[#This Row],[Addr_Hex]]))</f>
        <v>100</v>
      </c>
    </row>
    <row r="187" spans="2:26" x14ac:dyDescent="0.3">
      <c r="B187" s="4">
        <v>560</v>
      </c>
      <c r="C187" s="4" t="s">
        <v>233</v>
      </c>
      <c r="D187" s="9" t="str">
        <f>UPPER(Table132[[#This Row],[SIGNAL]])</f>
        <v>EV_PDPPOLARITY_11</v>
      </c>
      <c r="E187" s="9" t="str">
        <f>IF(Table132[[#This Row],[template]]="","","0x"&amp;Table132[[#This Row],[IP_Index]]&amp;DEC2HEX(Table132[[#This Row],[Addr_Dec]]*4,7))</f>
        <v>0x10000190</v>
      </c>
      <c r="F187" s="9" t="str">
        <f>IF(Table132[[#This Row],[template]]="","",VLOOKUP(Table132[[#This Row],[template]],Table29153[],2,FALSE))</f>
        <v>asynParamInt32</v>
      </c>
      <c r="G187" s="18" t="str">
        <f>IF(Table132[[#This Row],[template]]="","","1")</f>
        <v>1</v>
      </c>
      <c r="H187" s="10"/>
      <c r="I187" s="13" t="str">
        <f>IF(Table132[[#This Row],[template]]="","","0x"&amp;Table132[[#This Row],[D_Index]]&amp;"000")</f>
        <v>0x060B0000</v>
      </c>
      <c r="J187" s="18" t="s">
        <v>341</v>
      </c>
      <c r="K187" s="10">
        <v>0</v>
      </c>
      <c r="L187" s="11"/>
      <c r="M187" s="9" t="str">
        <f>IF(Table132[[#This Row],[template]]="","",Table132[[#This Row],[IP_NAME]]&amp;"_"&amp;Table132[[#This Row],[PARAM_NAME]]&amp;IF(Table132[[#This Row],[PARAM_SUB]]="","","_"&amp;Table132[[#This Row],[PARAM_SUB]]))</f>
        <v>ev_pdpPolarity_11</v>
      </c>
      <c r="N187" s="1" t="s">
        <v>262</v>
      </c>
      <c r="O187" s="1" t="s">
        <v>415</v>
      </c>
      <c r="P187" s="6" t="s">
        <v>274</v>
      </c>
      <c r="Q187" s="4">
        <v>64</v>
      </c>
      <c r="R187" s="6" t="s">
        <v>363</v>
      </c>
      <c r="S187" s="1" t="s">
        <v>315</v>
      </c>
      <c r="T187" s="16" t="s">
        <v>274</v>
      </c>
      <c r="U187" s="6" t="s">
        <v>363</v>
      </c>
      <c r="X187" s="11">
        <f>IF(Table132[[#This Row],[template]]="","",VLOOKUP(Table132[[#This Row],[IP_NAME]],Table511175[],2,FALSE))</f>
        <v>1</v>
      </c>
      <c r="Y187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>060B0</v>
      </c>
      <c r="Z187" s="14">
        <f>IF(Table132[[#This Row],[template]]="","",HEX2DEC(Table132[[#This Row],[Addr_Hex]]))</f>
        <v>100</v>
      </c>
    </row>
    <row r="188" spans="2:26" x14ac:dyDescent="0.3">
      <c r="B188" s="4">
        <v>561</v>
      </c>
      <c r="C188" s="4" t="s">
        <v>233</v>
      </c>
      <c r="D188" s="9" t="str">
        <f>UPPER(Table132[[#This Row],[SIGNAL]])</f>
        <v>EV_PDPPOLARITY_12</v>
      </c>
      <c r="E188" s="9" t="str">
        <f>IF(Table132[[#This Row],[template]]="","","0x"&amp;Table132[[#This Row],[IP_Index]]&amp;DEC2HEX(Table132[[#This Row],[Addr_Dec]]*4,7))</f>
        <v>0x10000190</v>
      </c>
      <c r="F188" s="9" t="str">
        <f>IF(Table132[[#This Row],[template]]="","",VLOOKUP(Table132[[#This Row],[template]],Table29153[],2,FALSE))</f>
        <v>asynParamInt32</v>
      </c>
      <c r="G188" s="18" t="str">
        <f>IF(Table132[[#This Row],[template]]="","","1")</f>
        <v>1</v>
      </c>
      <c r="H188" s="10"/>
      <c r="I188" s="13" t="str">
        <f>IF(Table132[[#This Row],[template]]="","","0x"&amp;Table132[[#This Row],[D_Index]]&amp;"000")</f>
        <v>0x060C0000</v>
      </c>
      <c r="J188" s="18" t="s">
        <v>341</v>
      </c>
      <c r="K188" s="10">
        <v>0</v>
      </c>
      <c r="L188" s="11"/>
      <c r="M188" s="9" t="str">
        <f>IF(Table132[[#This Row],[template]]="","",Table132[[#This Row],[IP_NAME]]&amp;"_"&amp;Table132[[#This Row],[PARAM_NAME]]&amp;IF(Table132[[#This Row],[PARAM_SUB]]="","","_"&amp;Table132[[#This Row],[PARAM_SUB]]))</f>
        <v>ev_pdpPolarity_12</v>
      </c>
      <c r="N188" s="1" t="s">
        <v>262</v>
      </c>
      <c r="O188" s="1" t="s">
        <v>415</v>
      </c>
      <c r="P188" s="6" t="s">
        <v>275</v>
      </c>
      <c r="Q188" s="4">
        <v>64</v>
      </c>
      <c r="R188" s="6" t="s">
        <v>363</v>
      </c>
      <c r="S188" s="1" t="s">
        <v>315</v>
      </c>
      <c r="T188" s="16" t="s">
        <v>275</v>
      </c>
      <c r="U188" s="6" t="s">
        <v>363</v>
      </c>
      <c r="X188" s="11">
        <f>IF(Table132[[#This Row],[template]]="","",VLOOKUP(Table132[[#This Row],[IP_NAME]],Table511175[],2,FALSE))</f>
        <v>1</v>
      </c>
      <c r="Y188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>060C0</v>
      </c>
      <c r="Z188" s="14">
        <f>IF(Table132[[#This Row],[template]]="","",HEX2DEC(Table132[[#This Row],[Addr_Hex]]))</f>
        <v>100</v>
      </c>
    </row>
    <row r="189" spans="2:26" x14ac:dyDescent="0.3">
      <c r="B189" s="4">
        <v>562</v>
      </c>
      <c r="C189" s="4" t="s">
        <v>233</v>
      </c>
      <c r="D189" s="9" t="str">
        <f>UPPER(Table132[[#This Row],[SIGNAL]])</f>
        <v>EV_PDPPOLARITY_13</v>
      </c>
      <c r="E189" s="9" t="str">
        <f>IF(Table132[[#This Row],[template]]="","","0x"&amp;Table132[[#This Row],[IP_Index]]&amp;DEC2HEX(Table132[[#This Row],[Addr_Dec]]*4,7))</f>
        <v>0x10000190</v>
      </c>
      <c r="F189" s="9" t="str">
        <f>IF(Table132[[#This Row],[template]]="","",VLOOKUP(Table132[[#This Row],[template]],Table29153[],2,FALSE))</f>
        <v>asynParamInt32</v>
      </c>
      <c r="G189" s="18" t="str">
        <f>IF(Table132[[#This Row],[template]]="","","1")</f>
        <v>1</v>
      </c>
      <c r="H189" s="10"/>
      <c r="I189" s="13" t="str">
        <f>IF(Table132[[#This Row],[template]]="","","0x"&amp;Table132[[#This Row],[D_Index]]&amp;"000")</f>
        <v>0x060D0000</v>
      </c>
      <c r="J189" s="18" t="s">
        <v>341</v>
      </c>
      <c r="K189" s="10">
        <v>0</v>
      </c>
      <c r="L189" s="11"/>
      <c r="M189" s="9" t="str">
        <f>IF(Table132[[#This Row],[template]]="","",Table132[[#This Row],[IP_NAME]]&amp;"_"&amp;Table132[[#This Row],[PARAM_NAME]]&amp;IF(Table132[[#This Row],[PARAM_SUB]]="","","_"&amp;Table132[[#This Row],[PARAM_SUB]]))</f>
        <v>ev_pdpPolarity_13</v>
      </c>
      <c r="N189" s="1" t="s">
        <v>262</v>
      </c>
      <c r="O189" s="1" t="s">
        <v>415</v>
      </c>
      <c r="P189" s="6" t="s">
        <v>276</v>
      </c>
      <c r="Q189" s="4">
        <v>64</v>
      </c>
      <c r="R189" s="6" t="s">
        <v>363</v>
      </c>
      <c r="S189" s="1" t="s">
        <v>315</v>
      </c>
      <c r="T189" s="16" t="s">
        <v>276</v>
      </c>
      <c r="U189" s="6" t="s">
        <v>363</v>
      </c>
      <c r="X189" s="11">
        <f>IF(Table132[[#This Row],[template]]="","",VLOOKUP(Table132[[#This Row],[IP_NAME]],Table511175[],2,FALSE))</f>
        <v>1</v>
      </c>
      <c r="Y189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>060D0</v>
      </c>
      <c r="Z189" s="14">
        <f>IF(Table132[[#This Row],[template]]="","",HEX2DEC(Table132[[#This Row],[Addr_Hex]]))</f>
        <v>100</v>
      </c>
    </row>
    <row r="190" spans="2:26" x14ac:dyDescent="0.3">
      <c r="B190" s="4">
        <v>563</v>
      </c>
      <c r="C190" s="4" t="s">
        <v>233</v>
      </c>
      <c r="D190" s="9" t="str">
        <f>UPPER(Table132[[#This Row],[SIGNAL]])</f>
        <v>EV_PDPPOLARITY_14</v>
      </c>
      <c r="E190" s="9" t="str">
        <f>IF(Table132[[#This Row],[template]]="","","0x"&amp;Table132[[#This Row],[IP_Index]]&amp;DEC2HEX(Table132[[#This Row],[Addr_Dec]]*4,7))</f>
        <v>0x10000190</v>
      </c>
      <c r="F190" s="9" t="str">
        <f>IF(Table132[[#This Row],[template]]="","",VLOOKUP(Table132[[#This Row],[template]],Table29153[],2,FALSE))</f>
        <v>asynParamInt32</v>
      </c>
      <c r="G190" s="18" t="str">
        <f>IF(Table132[[#This Row],[template]]="","","1")</f>
        <v>1</v>
      </c>
      <c r="H190" s="10"/>
      <c r="I190" s="13" t="str">
        <f>IF(Table132[[#This Row],[template]]="","","0x"&amp;Table132[[#This Row],[D_Index]]&amp;"000")</f>
        <v>0x060E0000</v>
      </c>
      <c r="J190" s="18" t="s">
        <v>341</v>
      </c>
      <c r="K190" s="10">
        <v>0</v>
      </c>
      <c r="L190" s="11"/>
      <c r="M190" s="9" t="str">
        <f>IF(Table132[[#This Row],[template]]="","",Table132[[#This Row],[IP_NAME]]&amp;"_"&amp;Table132[[#This Row],[PARAM_NAME]]&amp;IF(Table132[[#This Row],[PARAM_SUB]]="","","_"&amp;Table132[[#This Row],[PARAM_SUB]]))</f>
        <v>ev_pdpPolarity_14</v>
      </c>
      <c r="N190" s="1" t="s">
        <v>262</v>
      </c>
      <c r="O190" s="1" t="s">
        <v>415</v>
      </c>
      <c r="P190" s="6" t="s">
        <v>277</v>
      </c>
      <c r="Q190" s="4">
        <v>64</v>
      </c>
      <c r="R190" s="6" t="s">
        <v>363</v>
      </c>
      <c r="S190" s="1" t="s">
        <v>315</v>
      </c>
      <c r="T190" s="16" t="s">
        <v>277</v>
      </c>
      <c r="U190" s="6" t="s">
        <v>363</v>
      </c>
      <c r="X190" s="11">
        <f>IF(Table132[[#This Row],[template]]="","",VLOOKUP(Table132[[#This Row],[IP_NAME]],Table511175[],2,FALSE))</f>
        <v>1</v>
      </c>
      <c r="Y190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>060E0</v>
      </c>
      <c r="Z190" s="14">
        <f>IF(Table132[[#This Row],[template]]="","",HEX2DEC(Table132[[#This Row],[Addr_Hex]]))</f>
        <v>100</v>
      </c>
    </row>
    <row r="191" spans="2:26" x14ac:dyDescent="0.3">
      <c r="B191" s="4">
        <v>564</v>
      </c>
      <c r="C191" s="4" t="s">
        <v>233</v>
      </c>
      <c r="D191" s="9" t="str">
        <f>UPPER(Table132[[#This Row],[SIGNAL]])</f>
        <v>EV_PDPPOLARITY_15</v>
      </c>
      <c r="E191" s="9" t="str">
        <f>IF(Table132[[#This Row],[template]]="","","0x"&amp;Table132[[#This Row],[IP_Index]]&amp;DEC2HEX(Table132[[#This Row],[Addr_Dec]]*4,7))</f>
        <v>0x10000190</v>
      </c>
      <c r="F191" s="9" t="str">
        <f>IF(Table132[[#This Row],[template]]="","",VLOOKUP(Table132[[#This Row],[template]],Table29153[],2,FALSE))</f>
        <v>asynParamInt32</v>
      </c>
      <c r="G191" s="18" t="str">
        <f>IF(Table132[[#This Row],[template]]="","","1")</f>
        <v>1</v>
      </c>
      <c r="H191" s="10"/>
      <c r="I191" s="13" t="str">
        <f>IF(Table132[[#This Row],[template]]="","","0x"&amp;Table132[[#This Row],[D_Index]]&amp;"000")</f>
        <v>0x060F0000</v>
      </c>
      <c r="J191" s="18" t="s">
        <v>341</v>
      </c>
      <c r="K191" s="10">
        <v>0</v>
      </c>
      <c r="L191" s="11"/>
      <c r="M191" s="9" t="str">
        <f>IF(Table132[[#This Row],[template]]="","",Table132[[#This Row],[IP_NAME]]&amp;"_"&amp;Table132[[#This Row],[PARAM_NAME]]&amp;IF(Table132[[#This Row],[PARAM_SUB]]="","","_"&amp;Table132[[#This Row],[PARAM_SUB]]))</f>
        <v>ev_pdpPolarity_15</v>
      </c>
      <c r="N191" s="1" t="s">
        <v>262</v>
      </c>
      <c r="O191" s="1" t="s">
        <v>415</v>
      </c>
      <c r="P191" s="6" t="s">
        <v>278</v>
      </c>
      <c r="Q191" s="4">
        <v>64</v>
      </c>
      <c r="R191" s="6" t="s">
        <v>363</v>
      </c>
      <c r="S191" s="1" t="s">
        <v>315</v>
      </c>
      <c r="T191" s="16" t="s">
        <v>278</v>
      </c>
      <c r="U191" s="6" t="s">
        <v>363</v>
      </c>
      <c r="X191" s="11">
        <f>IF(Table132[[#This Row],[template]]="","",VLOOKUP(Table132[[#This Row],[IP_NAME]],Table511175[],2,FALSE))</f>
        <v>1</v>
      </c>
      <c r="Y191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>060F0</v>
      </c>
      <c r="Z191" s="14">
        <f>IF(Table132[[#This Row],[template]]="","",HEX2DEC(Table132[[#This Row],[Addr_Hex]]))</f>
        <v>100</v>
      </c>
    </row>
    <row r="192" spans="2:26" x14ac:dyDescent="0.3">
      <c r="B192" s="4">
        <v>565</v>
      </c>
      <c r="C192" s="4" t="s">
        <v>233</v>
      </c>
      <c r="D192" s="9" t="str">
        <f>UPPER(Table132[[#This Row],[SIGNAL]])</f>
        <v>EV_PDPPOLARITY_16</v>
      </c>
      <c r="E192" s="9" t="str">
        <f>IF(Table132[[#This Row],[template]]="","","0x"&amp;Table132[[#This Row],[IP_Index]]&amp;DEC2HEX(Table132[[#This Row],[Addr_Dec]]*4,7))</f>
        <v>0x10000190</v>
      </c>
      <c r="F192" s="9" t="str">
        <f>IF(Table132[[#This Row],[template]]="","",VLOOKUP(Table132[[#This Row],[template]],Table29153[],2,FALSE))</f>
        <v>asynParamInt32</v>
      </c>
      <c r="G192" s="18" t="str">
        <f>IF(Table132[[#This Row],[template]]="","","1")</f>
        <v>1</v>
      </c>
      <c r="H192" s="10"/>
      <c r="I192" s="13" t="str">
        <f>IF(Table132[[#This Row],[template]]="","","0x"&amp;Table132[[#This Row],[D_Index]]&amp;"000")</f>
        <v>0x06100000</v>
      </c>
      <c r="J192" s="18" t="s">
        <v>341</v>
      </c>
      <c r="K192" s="10">
        <v>0</v>
      </c>
      <c r="L192" s="11"/>
      <c r="M192" s="9" t="str">
        <f>IF(Table132[[#This Row],[template]]="","",Table132[[#This Row],[IP_NAME]]&amp;"_"&amp;Table132[[#This Row],[PARAM_NAME]]&amp;IF(Table132[[#This Row],[PARAM_SUB]]="","","_"&amp;Table132[[#This Row],[PARAM_SUB]]))</f>
        <v>ev_pdpPolarity_16</v>
      </c>
      <c r="N192" s="1" t="s">
        <v>262</v>
      </c>
      <c r="O192" s="1" t="s">
        <v>415</v>
      </c>
      <c r="P192" s="6" t="s">
        <v>279</v>
      </c>
      <c r="Q192" s="4">
        <v>64</v>
      </c>
      <c r="R192" s="6" t="s">
        <v>363</v>
      </c>
      <c r="S192" s="1" t="s">
        <v>315</v>
      </c>
      <c r="T192" s="16" t="s">
        <v>279</v>
      </c>
      <c r="U192" s="6" t="s">
        <v>363</v>
      </c>
      <c r="X192" s="11">
        <f>IF(Table132[[#This Row],[template]]="","",VLOOKUP(Table132[[#This Row],[IP_NAME]],Table511175[],2,FALSE))</f>
        <v>1</v>
      </c>
      <c r="Y192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>06100</v>
      </c>
      <c r="Z192" s="14">
        <f>IF(Table132[[#This Row],[template]]="","",HEX2DEC(Table132[[#This Row],[Addr_Hex]]))</f>
        <v>100</v>
      </c>
    </row>
    <row r="193" spans="2:26" x14ac:dyDescent="0.3">
      <c r="B193" s="4">
        <v>566</v>
      </c>
      <c r="C193" s="4" t="s">
        <v>233</v>
      </c>
      <c r="D193" s="9" t="str">
        <f>UPPER(Table132[[#This Row],[SIGNAL]])</f>
        <v>EV_PDPPOLARITY_17</v>
      </c>
      <c r="E193" s="9" t="str">
        <f>IF(Table132[[#This Row],[template]]="","","0x"&amp;Table132[[#This Row],[IP_Index]]&amp;DEC2HEX(Table132[[#This Row],[Addr_Dec]]*4,7))</f>
        <v>0x10000190</v>
      </c>
      <c r="F193" s="9" t="str">
        <f>IF(Table132[[#This Row],[template]]="","",VLOOKUP(Table132[[#This Row],[template]],Table29153[],2,FALSE))</f>
        <v>asynParamInt32</v>
      </c>
      <c r="G193" s="18" t="str">
        <f>IF(Table132[[#This Row],[template]]="","","1")</f>
        <v>1</v>
      </c>
      <c r="H193" s="10"/>
      <c r="I193" s="13" t="str">
        <f>IF(Table132[[#This Row],[template]]="","","0x"&amp;Table132[[#This Row],[D_Index]]&amp;"000")</f>
        <v>0x06110000</v>
      </c>
      <c r="J193" s="18" t="s">
        <v>341</v>
      </c>
      <c r="K193" s="10">
        <v>0</v>
      </c>
      <c r="L193" s="11"/>
      <c r="M193" s="9" t="str">
        <f>IF(Table132[[#This Row],[template]]="","",Table132[[#This Row],[IP_NAME]]&amp;"_"&amp;Table132[[#This Row],[PARAM_NAME]]&amp;IF(Table132[[#This Row],[PARAM_SUB]]="","","_"&amp;Table132[[#This Row],[PARAM_SUB]]))</f>
        <v>ev_pdpPolarity_17</v>
      </c>
      <c r="N193" s="1" t="s">
        <v>262</v>
      </c>
      <c r="O193" s="1" t="s">
        <v>415</v>
      </c>
      <c r="P193" s="6" t="s">
        <v>280</v>
      </c>
      <c r="Q193" s="4">
        <v>64</v>
      </c>
      <c r="R193" s="6" t="s">
        <v>363</v>
      </c>
      <c r="S193" s="1" t="s">
        <v>315</v>
      </c>
      <c r="T193" s="16" t="s">
        <v>280</v>
      </c>
      <c r="U193" s="6" t="s">
        <v>363</v>
      </c>
      <c r="X193" s="11">
        <f>IF(Table132[[#This Row],[template]]="","",VLOOKUP(Table132[[#This Row],[IP_NAME]],Table511175[],2,FALSE))</f>
        <v>1</v>
      </c>
      <c r="Y193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>06110</v>
      </c>
      <c r="Z193" s="14">
        <f>IF(Table132[[#This Row],[template]]="","",HEX2DEC(Table132[[#This Row],[Addr_Hex]]))</f>
        <v>100</v>
      </c>
    </row>
    <row r="194" spans="2:26" x14ac:dyDescent="0.3">
      <c r="B194" s="4">
        <v>567</v>
      </c>
      <c r="C194" s="4" t="s">
        <v>233</v>
      </c>
      <c r="D194" s="9" t="str">
        <f>UPPER(Table132[[#This Row],[SIGNAL]])</f>
        <v>EV_PDPPOLARITY_18</v>
      </c>
      <c r="E194" s="9" t="str">
        <f>IF(Table132[[#This Row],[template]]="","","0x"&amp;Table132[[#This Row],[IP_Index]]&amp;DEC2HEX(Table132[[#This Row],[Addr_Dec]]*4,7))</f>
        <v>0x10000190</v>
      </c>
      <c r="F194" s="9" t="str">
        <f>IF(Table132[[#This Row],[template]]="","",VLOOKUP(Table132[[#This Row],[template]],Table29153[],2,FALSE))</f>
        <v>asynParamInt32</v>
      </c>
      <c r="G194" s="18" t="str">
        <f>IF(Table132[[#This Row],[template]]="","","1")</f>
        <v>1</v>
      </c>
      <c r="H194" s="10"/>
      <c r="I194" s="13" t="str">
        <f>IF(Table132[[#This Row],[template]]="","","0x"&amp;Table132[[#This Row],[D_Index]]&amp;"000")</f>
        <v>0x06120000</v>
      </c>
      <c r="J194" s="18" t="s">
        <v>341</v>
      </c>
      <c r="K194" s="10">
        <v>0</v>
      </c>
      <c r="L194" s="11"/>
      <c r="M194" s="9" t="str">
        <f>IF(Table132[[#This Row],[template]]="","",Table132[[#This Row],[IP_NAME]]&amp;"_"&amp;Table132[[#This Row],[PARAM_NAME]]&amp;IF(Table132[[#This Row],[PARAM_SUB]]="","","_"&amp;Table132[[#This Row],[PARAM_SUB]]))</f>
        <v>ev_pdpPolarity_18</v>
      </c>
      <c r="N194" s="1" t="s">
        <v>262</v>
      </c>
      <c r="O194" s="1" t="s">
        <v>415</v>
      </c>
      <c r="P194" s="6" t="s">
        <v>281</v>
      </c>
      <c r="Q194" s="4">
        <v>64</v>
      </c>
      <c r="R194" s="6" t="s">
        <v>363</v>
      </c>
      <c r="S194" s="1" t="s">
        <v>315</v>
      </c>
      <c r="T194" s="16" t="s">
        <v>281</v>
      </c>
      <c r="U194" s="6" t="s">
        <v>363</v>
      </c>
      <c r="X194" s="11">
        <f>IF(Table132[[#This Row],[template]]="","",VLOOKUP(Table132[[#This Row],[IP_NAME]],Table511175[],2,FALSE))</f>
        <v>1</v>
      </c>
      <c r="Y194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>06120</v>
      </c>
      <c r="Z194" s="14">
        <f>IF(Table132[[#This Row],[template]]="","",HEX2DEC(Table132[[#This Row],[Addr_Hex]]))</f>
        <v>100</v>
      </c>
    </row>
    <row r="195" spans="2:26" x14ac:dyDescent="0.3">
      <c r="B195" s="4">
        <v>568</v>
      </c>
      <c r="C195" s="4" t="s">
        <v>233</v>
      </c>
      <c r="D195" s="9" t="str">
        <f>UPPER(Table132[[#This Row],[SIGNAL]])</f>
        <v>EV_PDPPOLARITY_19</v>
      </c>
      <c r="E195" s="9" t="str">
        <f>IF(Table132[[#This Row],[template]]="","","0x"&amp;Table132[[#This Row],[IP_Index]]&amp;DEC2HEX(Table132[[#This Row],[Addr_Dec]]*4,7))</f>
        <v>0x10000190</v>
      </c>
      <c r="F195" s="9" t="str">
        <f>IF(Table132[[#This Row],[template]]="","",VLOOKUP(Table132[[#This Row],[template]],Table29153[],2,FALSE))</f>
        <v>asynParamInt32</v>
      </c>
      <c r="G195" s="18" t="str">
        <f>IF(Table132[[#This Row],[template]]="","","1")</f>
        <v>1</v>
      </c>
      <c r="H195" s="10"/>
      <c r="I195" s="13" t="str">
        <f>IF(Table132[[#This Row],[template]]="","","0x"&amp;Table132[[#This Row],[D_Index]]&amp;"000")</f>
        <v>0x06130000</v>
      </c>
      <c r="J195" s="18" t="s">
        <v>341</v>
      </c>
      <c r="K195" s="10">
        <v>0</v>
      </c>
      <c r="L195" s="11"/>
      <c r="M195" s="9" t="str">
        <f>IF(Table132[[#This Row],[template]]="","",Table132[[#This Row],[IP_NAME]]&amp;"_"&amp;Table132[[#This Row],[PARAM_NAME]]&amp;IF(Table132[[#This Row],[PARAM_SUB]]="","","_"&amp;Table132[[#This Row],[PARAM_SUB]]))</f>
        <v>ev_pdpPolarity_19</v>
      </c>
      <c r="N195" s="1" t="s">
        <v>262</v>
      </c>
      <c r="O195" s="1" t="s">
        <v>415</v>
      </c>
      <c r="P195" s="6" t="s">
        <v>282</v>
      </c>
      <c r="Q195" s="4">
        <v>64</v>
      </c>
      <c r="R195" s="6" t="s">
        <v>363</v>
      </c>
      <c r="S195" s="1" t="s">
        <v>315</v>
      </c>
      <c r="T195" s="16" t="s">
        <v>282</v>
      </c>
      <c r="U195" s="6" t="s">
        <v>363</v>
      </c>
      <c r="X195" s="11">
        <f>IF(Table132[[#This Row],[template]]="","",VLOOKUP(Table132[[#This Row],[IP_NAME]],Table511175[],2,FALSE))</f>
        <v>1</v>
      </c>
      <c r="Y195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>06130</v>
      </c>
      <c r="Z195" s="14">
        <f>IF(Table132[[#This Row],[template]]="","",HEX2DEC(Table132[[#This Row],[Addr_Hex]]))</f>
        <v>100</v>
      </c>
    </row>
    <row r="196" spans="2:26" x14ac:dyDescent="0.3">
      <c r="B196" s="4">
        <v>569</v>
      </c>
      <c r="C196" s="4" t="s">
        <v>233</v>
      </c>
      <c r="D196" s="9" t="str">
        <f>UPPER(Table132[[#This Row],[SIGNAL]])</f>
        <v>EV_PDPPOLARITY_20</v>
      </c>
      <c r="E196" s="9" t="str">
        <f>IF(Table132[[#This Row],[template]]="","","0x"&amp;Table132[[#This Row],[IP_Index]]&amp;DEC2HEX(Table132[[#This Row],[Addr_Dec]]*4,7))</f>
        <v>0x10000190</v>
      </c>
      <c r="F196" s="9" t="str">
        <f>IF(Table132[[#This Row],[template]]="","",VLOOKUP(Table132[[#This Row],[template]],Table29153[],2,FALSE))</f>
        <v>asynParamInt32</v>
      </c>
      <c r="G196" s="18" t="str">
        <f>IF(Table132[[#This Row],[template]]="","","1")</f>
        <v>1</v>
      </c>
      <c r="H196" s="10"/>
      <c r="I196" s="13" t="str">
        <f>IF(Table132[[#This Row],[template]]="","","0x"&amp;Table132[[#This Row],[D_Index]]&amp;"000")</f>
        <v>0x06140000</v>
      </c>
      <c r="J196" s="18" t="s">
        <v>341</v>
      </c>
      <c r="K196" s="10">
        <v>0</v>
      </c>
      <c r="L196" s="11"/>
      <c r="M196" s="9" t="str">
        <f>IF(Table132[[#This Row],[template]]="","",Table132[[#This Row],[IP_NAME]]&amp;"_"&amp;Table132[[#This Row],[PARAM_NAME]]&amp;IF(Table132[[#This Row],[PARAM_SUB]]="","","_"&amp;Table132[[#This Row],[PARAM_SUB]]))</f>
        <v>ev_pdpPolarity_20</v>
      </c>
      <c r="N196" s="1" t="s">
        <v>262</v>
      </c>
      <c r="O196" s="1" t="s">
        <v>415</v>
      </c>
      <c r="P196" s="6" t="s">
        <v>283</v>
      </c>
      <c r="Q196" s="4">
        <v>64</v>
      </c>
      <c r="R196" s="6" t="s">
        <v>363</v>
      </c>
      <c r="S196" s="1" t="s">
        <v>315</v>
      </c>
      <c r="T196" s="16" t="s">
        <v>283</v>
      </c>
      <c r="U196" s="6" t="s">
        <v>363</v>
      </c>
      <c r="X196" s="11">
        <f>IF(Table132[[#This Row],[template]]="","",VLOOKUP(Table132[[#This Row],[IP_NAME]],Table511175[],2,FALSE))</f>
        <v>1</v>
      </c>
      <c r="Y196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>06140</v>
      </c>
      <c r="Z196" s="14">
        <f>IF(Table132[[#This Row],[template]]="","",HEX2DEC(Table132[[#This Row],[Addr_Hex]]))</f>
        <v>100</v>
      </c>
    </row>
    <row r="197" spans="2:26" x14ac:dyDescent="0.3">
      <c r="B197" s="4">
        <v>570</v>
      </c>
      <c r="C197" s="4" t="s">
        <v>233</v>
      </c>
      <c r="D197" s="9" t="str">
        <f>UPPER(Table132[[#This Row],[SIGNAL]])</f>
        <v>EV_PDPPOLARITY_21</v>
      </c>
      <c r="E197" s="9" t="str">
        <f>IF(Table132[[#This Row],[template]]="","","0x"&amp;Table132[[#This Row],[IP_Index]]&amp;DEC2HEX(Table132[[#This Row],[Addr_Dec]]*4,7))</f>
        <v>0x10000190</v>
      </c>
      <c r="F197" s="9" t="str">
        <f>IF(Table132[[#This Row],[template]]="","",VLOOKUP(Table132[[#This Row],[template]],Table29153[],2,FALSE))</f>
        <v>asynParamInt32</v>
      </c>
      <c r="G197" s="18" t="str">
        <f>IF(Table132[[#This Row],[template]]="","","1")</f>
        <v>1</v>
      </c>
      <c r="H197" s="10"/>
      <c r="I197" s="13" t="str">
        <f>IF(Table132[[#This Row],[template]]="","","0x"&amp;Table132[[#This Row],[D_Index]]&amp;"000")</f>
        <v>0x06150000</v>
      </c>
      <c r="J197" s="18" t="s">
        <v>341</v>
      </c>
      <c r="K197" s="10">
        <v>0</v>
      </c>
      <c r="L197" s="11"/>
      <c r="M197" s="9" t="str">
        <f>IF(Table132[[#This Row],[template]]="","",Table132[[#This Row],[IP_NAME]]&amp;"_"&amp;Table132[[#This Row],[PARAM_NAME]]&amp;IF(Table132[[#This Row],[PARAM_SUB]]="","","_"&amp;Table132[[#This Row],[PARAM_SUB]]))</f>
        <v>ev_pdpPolarity_21</v>
      </c>
      <c r="N197" s="1" t="s">
        <v>262</v>
      </c>
      <c r="O197" s="1" t="s">
        <v>415</v>
      </c>
      <c r="P197" s="6" t="s">
        <v>284</v>
      </c>
      <c r="Q197" s="4">
        <v>64</v>
      </c>
      <c r="R197" s="6" t="s">
        <v>363</v>
      </c>
      <c r="S197" s="1" t="s">
        <v>315</v>
      </c>
      <c r="T197" s="16" t="s">
        <v>284</v>
      </c>
      <c r="U197" s="6" t="s">
        <v>363</v>
      </c>
      <c r="X197" s="11">
        <f>IF(Table132[[#This Row],[template]]="","",VLOOKUP(Table132[[#This Row],[IP_NAME]],Table511175[],2,FALSE))</f>
        <v>1</v>
      </c>
      <c r="Y197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>06150</v>
      </c>
      <c r="Z197" s="14">
        <f>IF(Table132[[#This Row],[template]]="","",HEX2DEC(Table132[[#This Row],[Addr_Hex]]))</f>
        <v>100</v>
      </c>
    </row>
    <row r="198" spans="2:26" x14ac:dyDescent="0.3">
      <c r="B198" s="4">
        <v>571</v>
      </c>
      <c r="C198" s="4" t="s">
        <v>233</v>
      </c>
      <c r="D198" s="9" t="str">
        <f>UPPER(Table132[[#This Row],[SIGNAL]])</f>
        <v>EV_PDPPOLARITY_22</v>
      </c>
      <c r="E198" s="9" t="str">
        <f>IF(Table132[[#This Row],[template]]="","","0x"&amp;Table132[[#This Row],[IP_Index]]&amp;DEC2HEX(Table132[[#This Row],[Addr_Dec]]*4,7))</f>
        <v>0x10000190</v>
      </c>
      <c r="F198" s="9" t="str">
        <f>IF(Table132[[#This Row],[template]]="","",VLOOKUP(Table132[[#This Row],[template]],Table29153[],2,FALSE))</f>
        <v>asynParamInt32</v>
      </c>
      <c r="G198" s="18" t="str">
        <f>IF(Table132[[#This Row],[template]]="","","1")</f>
        <v>1</v>
      </c>
      <c r="H198" s="10"/>
      <c r="I198" s="13" t="str">
        <f>IF(Table132[[#This Row],[template]]="","","0x"&amp;Table132[[#This Row],[D_Index]]&amp;"000")</f>
        <v>0x06160000</v>
      </c>
      <c r="J198" s="18" t="s">
        <v>341</v>
      </c>
      <c r="K198" s="10">
        <v>0</v>
      </c>
      <c r="L198" s="11"/>
      <c r="M198" s="9" t="str">
        <f>IF(Table132[[#This Row],[template]]="","",Table132[[#This Row],[IP_NAME]]&amp;"_"&amp;Table132[[#This Row],[PARAM_NAME]]&amp;IF(Table132[[#This Row],[PARAM_SUB]]="","","_"&amp;Table132[[#This Row],[PARAM_SUB]]))</f>
        <v>ev_pdpPolarity_22</v>
      </c>
      <c r="N198" s="1" t="s">
        <v>262</v>
      </c>
      <c r="O198" s="1" t="s">
        <v>415</v>
      </c>
      <c r="P198" s="6" t="s">
        <v>285</v>
      </c>
      <c r="Q198" s="4">
        <v>64</v>
      </c>
      <c r="R198" s="6" t="s">
        <v>363</v>
      </c>
      <c r="S198" s="1" t="s">
        <v>315</v>
      </c>
      <c r="T198" s="16" t="s">
        <v>285</v>
      </c>
      <c r="U198" s="6" t="s">
        <v>363</v>
      </c>
      <c r="X198" s="11">
        <f>IF(Table132[[#This Row],[template]]="","",VLOOKUP(Table132[[#This Row],[IP_NAME]],Table511175[],2,FALSE))</f>
        <v>1</v>
      </c>
      <c r="Y198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>06160</v>
      </c>
      <c r="Z198" s="14">
        <f>IF(Table132[[#This Row],[template]]="","",HEX2DEC(Table132[[#This Row],[Addr_Hex]]))</f>
        <v>100</v>
      </c>
    </row>
    <row r="199" spans="2:26" x14ac:dyDescent="0.3">
      <c r="B199" s="4">
        <v>572</v>
      </c>
      <c r="C199" s="4" t="s">
        <v>233</v>
      </c>
      <c r="D199" s="9" t="str">
        <f>UPPER(Table132[[#This Row],[SIGNAL]])</f>
        <v>EV_PDPPOLARITY_23</v>
      </c>
      <c r="E199" s="9" t="str">
        <f>IF(Table132[[#This Row],[template]]="","","0x"&amp;Table132[[#This Row],[IP_Index]]&amp;DEC2HEX(Table132[[#This Row],[Addr_Dec]]*4,7))</f>
        <v>0x10000190</v>
      </c>
      <c r="F199" s="9" t="str">
        <f>IF(Table132[[#This Row],[template]]="","",VLOOKUP(Table132[[#This Row],[template]],Table29153[],2,FALSE))</f>
        <v>asynParamInt32</v>
      </c>
      <c r="G199" s="18" t="str">
        <f>IF(Table132[[#This Row],[template]]="","","1")</f>
        <v>1</v>
      </c>
      <c r="H199" s="10"/>
      <c r="I199" s="13" t="str">
        <f>IF(Table132[[#This Row],[template]]="","","0x"&amp;Table132[[#This Row],[D_Index]]&amp;"000")</f>
        <v>0x06170000</v>
      </c>
      <c r="J199" s="18" t="s">
        <v>341</v>
      </c>
      <c r="K199" s="10">
        <v>0</v>
      </c>
      <c r="L199" s="11"/>
      <c r="M199" s="9" t="str">
        <f>IF(Table132[[#This Row],[template]]="","",Table132[[#This Row],[IP_NAME]]&amp;"_"&amp;Table132[[#This Row],[PARAM_NAME]]&amp;IF(Table132[[#This Row],[PARAM_SUB]]="","","_"&amp;Table132[[#This Row],[PARAM_SUB]]))</f>
        <v>ev_pdpPolarity_23</v>
      </c>
      <c r="N199" s="1" t="s">
        <v>262</v>
      </c>
      <c r="O199" s="1" t="s">
        <v>415</v>
      </c>
      <c r="P199" s="6" t="s">
        <v>286</v>
      </c>
      <c r="Q199" s="4">
        <v>64</v>
      </c>
      <c r="R199" s="6" t="s">
        <v>363</v>
      </c>
      <c r="S199" s="1" t="s">
        <v>315</v>
      </c>
      <c r="T199" s="16" t="s">
        <v>286</v>
      </c>
      <c r="U199" s="6" t="s">
        <v>363</v>
      </c>
      <c r="X199" s="11">
        <f>IF(Table132[[#This Row],[template]]="","",VLOOKUP(Table132[[#This Row],[IP_NAME]],Table511175[],2,FALSE))</f>
        <v>1</v>
      </c>
      <c r="Y199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>06170</v>
      </c>
      <c r="Z199" s="14">
        <f>IF(Table132[[#This Row],[template]]="","",HEX2DEC(Table132[[#This Row],[Addr_Hex]]))</f>
        <v>100</v>
      </c>
    </row>
    <row r="200" spans="2:26" x14ac:dyDescent="0.3">
      <c r="B200" s="4">
        <v>573</v>
      </c>
      <c r="C200" s="4" t="s">
        <v>233</v>
      </c>
      <c r="D200" s="9" t="str">
        <f>UPPER(Table132[[#This Row],[SIGNAL]])</f>
        <v>EV_PDPPOLARITY_24</v>
      </c>
      <c r="E200" s="9" t="str">
        <f>IF(Table132[[#This Row],[template]]="","","0x"&amp;Table132[[#This Row],[IP_Index]]&amp;DEC2HEX(Table132[[#This Row],[Addr_Dec]]*4,7))</f>
        <v>0x10000190</v>
      </c>
      <c r="F200" s="9" t="str">
        <f>IF(Table132[[#This Row],[template]]="","",VLOOKUP(Table132[[#This Row],[template]],Table29153[],2,FALSE))</f>
        <v>asynParamInt32</v>
      </c>
      <c r="G200" s="18" t="str">
        <f>IF(Table132[[#This Row],[template]]="","","1")</f>
        <v>1</v>
      </c>
      <c r="H200" s="10"/>
      <c r="I200" s="13" t="str">
        <f>IF(Table132[[#This Row],[template]]="","","0x"&amp;Table132[[#This Row],[D_Index]]&amp;"000")</f>
        <v>0x06180000</v>
      </c>
      <c r="J200" s="18" t="s">
        <v>341</v>
      </c>
      <c r="K200" s="10">
        <v>0</v>
      </c>
      <c r="L200" s="11"/>
      <c r="M200" s="9" t="str">
        <f>IF(Table132[[#This Row],[template]]="","",Table132[[#This Row],[IP_NAME]]&amp;"_"&amp;Table132[[#This Row],[PARAM_NAME]]&amp;IF(Table132[[#This Row],[PARAM_SUB]]="","","_"&amp;Table132[[#This Row],[PARAM_SUB]]))</f>
        <v>ev_pdpPolarity_24</v>
      </c>
      <c r="N200" s="1" t="s">
        <v>262</v>
      </c>
      <c r="O200" s="1" t="s">
        <v>415</v>
      </c>
      <c r="P200" s="6" t="s">
        <v>287</v>
      </c>
      <c r="Q200" s="4">
        <v>64</v>
      </c>
      <c r="R200" s="6" t="s">
        <v>363</v>
      </c>
      <c r="S200" s="1" t="s">
        <v>315</v>
      </c>
      <c r="T200" s="16" t="s">
        <v>287</v>
      </c>
      <c r="U200" s="6" t="s">
        <v>363</v>
      </c>
      <c r="X200" s="11">
        <f>IF(Table132[[#This Row],[template]]="","",VLOOKUP(Table132[[#This Row],[IP_NAME]],Table511175[],2,FALSE))</f>
        <v>1</v>
      </c>
      <c r="Y200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>06180</v>
      </c>
      <c r="Z200" s="14">
        <f>IF(Table132[[#This Row],[template]]="","",HEX2DEC(Table132[[#This Row],[Addr_Hex]]))</f>
        <v>100</v>
      </c>
    </row>
    <row r="201" spans="2:26" x14ac:dyDescent="0.3">
      <c r="B201" s="4">
        <v>574</v>
      </c>
      <c r="C201" s="4" t="s">
        <v>233</v>
      </c>
      <c r="D201" s="9" t="str">
        <f>UPPER(Table132[[#This Row],[SIGNAL]])</f>
        <v>EV_PDPPOLARITY_25</v>
      </c>
      <c r="E201" s="9" t="str">
        <f>IF(Table132[[#This Row],[template]]="","","0x"&amp;Table132[[#This Row],[IP_Index]]&amp;DEC2HEX(Table132[[#This Row],[Addr_Dec]]*4,7))</f>
        <v>0x10000190</v>
      </c>
      <c r="F201" s="9" t="str">
        <f>IF(Table132[[#This Row],[template]]="","",VLOOKUP(Table132[[#This Row],[template]],Table29153[],2,FALSE))</f>
        <v>asynParamInt32</v>
      </c>
      <c r="G201" s="18" t="str">
        <f>IF(Table132[[#This Row],[template]]="","","1")</f>
        <v>1</v>
      </c>
      <c r="H201" s="10"/>
      <c r="I201" s="13" t="str">
        <f>IF(Table132[[#This Row],[template]]="","","0x"&amp;Table132[[#This Row],[D_Index]]&amp;"000")</f>
        <v>0x06190000</v>
      </c>
      <c r="J201" s="18" t="s">
        <v>341</v>
      </c>
      <c r="K201" s="10">
        <v>0</v>
      </c>
      <c r="L201" s="11"/>
      <c r="M201" s="9" t="str">
        <f>IF(Table132[[#This Row],[template]]="","",Table132[[#This Row],[IP_NAME]]&amp;"_"&amp;Table132[[#This Row],[PARAM_NAME]]&amp;IF(Table132[[#This Row],[PARAM_SUB]]="","","_"&amp;Table132[[#This Row],[PARAM_SUB]]))</f>
        <v>ev_pdpPolarity_25</v>
      </c>
      <c r="N201" s="1" t="s">
        <v>262</v>
      </c>
      <c r="O201" s="1" t="s">
        <v>415</v>
      </c>
      <c r="P201" s="6" t="s">
        <v>288</v>
      </c>
      <c r="Q201" s="4">
        <v>64</v>
      </c>
      <c r="R201" s="6" t="s">
        <v>363</v>
      </c>
      <c r="S201" s="1" t="s">
        <v>315</v>
      </c>
      <c r="T201" s="16" t="s">
        <v>288</v>
      </c>
      <c r="U201" s="6" t="s">
        <v>363</v>
      </c>
      <c r="X201" s="11">
        <f>IF(Table132[[#This Row],[template]]="","",VLOOKUP(Table132[[#This Row],[IP_NAME]],Table511175[],2,FALSE))</f>
        <v>1</v>
      </c>
      <c r="Y201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>06190</v>
      </c>
      <c r="Z201" s="14">
        <f>IF(Table132[[#This Row],[template]]="","",HEX2DEC(Table132[[#This Row],[Addr_Hex]]))</f>
        <v>100</v>
      </c>
    </row>
    <row r="202" spans="2:26" x14ac:dyDescent="0.3">
      <c r="B202" s="4">
        <v>575</v>
      </c>
      <c r="C202" s="4" t="s">
        <v>233</v>
      </c>
      <c r="D202" s="9" t="str">
        <f>UPPER(Table132[[#This Row],[SIGNAL]])</f>
        <v>EV_PDPPOLARITY_26</v>
      </c>
      <c r="E202" s="9" t="str">
        <f>IF(Table132[[#This Row],[template]]="","","0x"&amp;Table132[[#This Row],[IP_Index]]&amp;DEC2HEX(Table132[[#This Row],[Addr_Dec]]*4,7))</f>
        <v>0x10000190</v>
      </c>
      <c r="F202" s="9" t="str">
        <f>IF(Table132[[#This Row],[template]]="","",VLOOKUP(Table132[[#This Row],[template]],Table29153[],2,FALSE))</f>
        <v>asynParamInt32</v>
      </c>
      <c r="G202" s="18" t="str">
        <f>IF(Table132[[#This Row],[template]]="","","1")</f>
        <v>1</v>
      </c>
      <c r="H202" s="10"/>
      <c r="I202" s="13" t="str">
        <f>IF(Table132[[#This Row],[template]]="","","0x"&amp;Table132[[#This Row],[D_Index]]&amp;"000")</f>
        <v>0x061A0000</v>
      </c>
      <c r="J202" s="18" t="s">
        <v>341</v>
      </c>
      <c r="K202" s="10">
        <v>0</v>
      </c>
      <c r="L202" s="11"/>
      <c r="M202" s="9" t="str">
        <f>IF(Table132[[#This Row],[template]]="","",Table132[[#This Row],[IP_NAME]]&amp;"_"&amp;Table132[[#This Row],[PARAM_NAME]]&amp;IF(Table132[[#This Row],[PARAM_SUB]]="","","_"&amp;Table132[[#This Row],[PARAM_SUB]]))</f>
        <v>ev_pdpPolarity_26</v>
      </c>
      <c r="N202" s="1" t="s">
        <v>262</v>
      </c>
      <c r="O202" s="1" t="s">
        <v>415</v>
      </c>
      <c r="P202" s="6" t="s">
        <v>289</v>
      </c>
      <c r="Q202" s="4">
        <v>64</v>
      </c>
      <c r="R202" s="6" t="s">
        <v>363</v>
      </c>
      <c r="S202" s="1" t="s">
        <v>315</v>
      </c>
      <c r="T202" s="16" t="s">
        <v>289</v>
      </c>
      <c r="U202" s="6" t="s">
        <v>363</v>
      </c>
      <c r="X202" s="11">
        <f>IF(Table132[[#This Row],[template]]="","",VLOOKUP(Table132[[#This Row],[IP_NAME]],Table511175[],2,FALSE))</f>
        <v>1</v>
      </c>
      <c r="Y202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>061A0</v>
      </c>
      <c r="Z202" s="14">
        <f>IF(Table132[[#This Row],[template]]="","",HEX2DEC(Table132[[#This Row],[Addr_Hex]]))</f>
        <v>100</v>
      </c>
    </row>
    <row r="203" spans="2:26" x14ac:dyDescent="0.3">
      <c r="B203" s="4">
        <v>576</v>
      </c>
      <c r="C203" s="4" t="s">
        <v>233</v>
      </c>
      <c r="D203" s="9" t="str">
        <f>UPPER(Table132[[#This Row],[SIGNAL]])</f>
        <v>EV_PDPPOLARITY_27</v>
      </c>
      <c r="E203" s="9" t="str">
        <f>IF(Table132[[#This Row],[template]]="","","0x"&amp;Table132[[#This Row],[IP_Index]]&amp;DEC2HEX(Table132[[#This Row],[Addr_Dec]]*4,7))</f>
        <v>0x10000190</v>
      </c>
      <c r="F203" s="9" t="str">
        <f>IF(Table132[[#This Row],[template]]="","",VLOOKUP(Table132[[#This Row],[template]],Table29153[],2,FALSE))</f>
        <v>asynParamInt32</v>
      </c>
      <c r="G203" s="18" t="str">
        <f>IF(Table132[[#This Row],[template]]="","","1")</f>
        <v>1</v>
      </c>
      <c r="H203" s="10"/>
      <c r="I203" s="13" t="str">
        <f>IF(Table132[[#This Row],[template]]="","","0x"&amp;Table132[[#This Row],[D_Index]]&amp;"000")</f>
        <v>0x061B0000</v>
      </c>
      <c r="J203" s="18" t="s">
        <v>341</v>
      </c>
      <c r="K203" s="10">
        <v>0</v>
      </c>
      <c r="L203" s="11"/>
      <c r="M203" s="9" t="str">
        <f>IF(Table132[[#This Row],[template]]="","",Table132[[#This Row],[IP_NAME]]&amp;"_"&amp;Table132[[#This Row],[PARAM_NAME]]&amp;IF(Table132[[#This Row],[PARAM_SUB]]="","","_"&amp;Table132[[#This Row],[PARAM_SUB]]))</f>
        <v>ev_pdpPolarity_27</v>
      </c>
      <c r="N203" s="1" t="s">
        <v>262</v>
      </c>
      <c r="O203" s="1" t="s">
        <v>415</v>
      </c>
      <c r="P203" s="6" t="s">
        <v>290</v>
      </c>
      <c r="Q203" s="4">
        <v>64</v>
      </c>
      <c r="R203" s="6" t="s">
        <v>363</v>
      </c>
      <c r="S203" s="1" t="s">
        <v>315</v>
      </c>
      <c r="T203" s="16" t="s">
        <v>290</v>
      </c>
      <c r="U203" s="6" t="s">
        <v>363</v>
      </c>
      <c r="X203" s="11">
        <f>IF(Table132[[#This Row],[template]]="","",VLOOKUP(Table132[[#This Row],[IP_NAME]],Table511175[],2,FALSE))</f>
        <v>1</v>
      </c>
      <c r="Y203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>061B0</v>
      </c>
      <c r="Z203" s="14">
        <f>IF(Table132[[#This Row],[template]]="","",HEX2DEC(Table132[[#This Row],[Addr_Hex]]))</f>
        <v>100</v>
      </c>
    </row>
    <row r="204" spans="2:26" x14ac:dyDescent="0.3">
      <c r="B204" s="4">
        <v>577</v>
      </c>
      <c r="C204" s="4" t="s">
        <v>233</v>
      </c>
      <c r="D204" s="9" t="str">
        <f>UPPER(Table132[[#This Row],[SIGNAL]])</f>
        <v>EV_PDPPOLARITY_28</v>
      </c>
      <c r="E204" s="9" t="str">
        <f>IF(Table132[[#This Row],[template]]="","","0x"&amp;Table132[[#This Row],[IP_Index]]&amp;DEC2HEX(Table132[[#This Row],[Addr_Dec]]*4,7))</f>
        <v>0x10000190</v>
      </c>
      <c r="F204" s="9" t="str">
        <f>IF(Table132[[#This Row],[template]]="","",VLOOKUP(Table132[[#This Row],[template]],Table29153[],2,FALSE))</f>
        <v>asynParamInt32</v>
      </c>
      <c r="G204" s="18" t="str">
        <f>IF(Table132[[#This Row],[template]]="","","1")</f>
        <v>1</v>
      </c>
      <c r="H204" s="10"/>
      <c r="I204" s="13" t="str">
        <f>IF(Table132[[#This Row],[template]]="","","0x"&amp;Table132[[#This Row],[D_Index]]&amp;"000")</f>
        <v>0x061C0000</v>
      </c>
      <c r="J204" s="18" t="s">
        <v>341</v>
      </c>
      <c r="K204" s="10">
        <v>0</v>
      </c>
      <c r="L204" s="11"/>
      <c r="M204" s="9" t="str">
        <f>IF(Table132[[#This Row],[template]]="","",Table132[[#This Row],[IP_NAME]]&amp;"_"&amp;Table132[[#This Row],[PARAM_NAME]]&amp;IF(Table132[[#This Row],[PARAM_SUB]]="","","_"&amp;Table132[[#This Row],[PARAM_SUB]]))</f>
        <v>ev_pdpPolarity_28</v>
      </c>
      <c r="N204" s="1" t="s">
        <v>262</v>
      </c>
      <c r="O204" s="1" t="s">
        <v>415</v>
      </c>
      <c r="P204" s="6" t="s">
        <v>291</v>
      </c>
      <c r="Q204" s="4">
        <v>64</v>
      </c>
      <c r="R204" s="6" t="s">
        <v>363</v>
      </c>
      <c r="S204" s="1" t="s">
        <v>315</v>
      </c>
      <c r="T204" s="16" t="s">
        <v>291</v>
      </c>
      <c r="U204" s="6" t="s">
        <v>363</v>
      </c>
      <c r="X204" s="11">
        <f>IF(Table132[[#This Row],[template]]="","",VLOOKUP(Table132[[#This Row],[IP_NAME]],Table511175[],2,FALSE))</f>
        <v>1</v>
      </c>
      <c r="Y204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>061C0</v>
      </c>
      <c r="Z204" s="14">
        <f>IF(Table132[[#This Row],[template]]="","",HEX2DEC(Table132[[#This Row],[Addr_Hex]]))</f>
        <v>100</v>
      </c>
    </row>
    <row r="205" spans="2:26" x14ac:dyDescent="0.3">
      <c r="B205" s="4">
        <v>578</v>
      </c>
      <c r="C205" s="4" t="s">
        <v>233</v>
      </c>
      <c r="D205" s="9" t="str">
        <f>UPPER(Table132[[#This Row],[SIGNAL]])</f>
        <v>EV_PDPPOLARITY_29</v>
      </c>
      <c r="E205" s="9" t="str">
        <f>IF(Table132[[#This Row],[template]]="","","0x"&amp;Table132[[#This Row],[IP_Index]]&amp;DEC2HEX(Table132[[#This Row],[Addr_Dec]]*4,7))</f>
        <v>0x10000190</v>
      </c>
      <c r="F205" s="9" t="str">
        <f>IF(Table132[[#This Row],[template]]="","",VLOOKUP(Table132[[#This Row],[template]],Table29153[],2,FALSE))</f>
        <v>asynParamInt32</v>
      </c>
      <c r="G205" s="18" t="str">
        <f>IF(Table132[[#This Row],[template]]="","","1")</f>
        <v>1</v>
      </c>
      <c r="H205" s="10"/>
      <c r="I205" s="13" t="str">
        <f>IF(Table132[[#This Row],[template]]="","","0x"&amp;Table132[[#This Row],[D_Index]]&amp;"000")</f>
        <v>0x061D0000</v>
      </c>
      <c r="J205" s="18" t="s">
        <v>341</v>
      </c>
      <c r="K205" s="10">
        <v>0</v>
      </c>
      <c r="L205" s="11"/>
      <c r="M205" s="9" t="str">
        <f>IF(Table132[[#This Row],[template]]="","",Table132[[#This Row],[IP_NAME]]&amp;"_"&amp;Table132[[#This Row],[PARAM_NAME]]&amp;IF(Table132[[#This Row],[PARAM_SUB]]="","","_"&amp;Table132[[#This Row],[PARAM_SUB]]))</f>
        <v>ev_pdpPolarity_29</v>
      </c>
      <c r="N205" s="1" t="s">
        <v>262</v>
      </c>
      <c r="O205" s="1" t="s">
        <v>415</v>
      </c>
      <c r="P205" s="6" t="s">
        <v>292</v>
      </c>
      <c r="Q205" s="4">
        <v>64</v>
      </c>
      <c r="R205" s="6" t="s">
        <v>363</v>
      </c>
      <c r="S205" s="1" t="s">
        <v>315</v>
      </c>
      <c r="T205" s="16" t="s">
        <v>292</v>
      </c>
      <c r="U205" s="6" t="s">
        <v>363</v>
      </c>
      <c r="X205" s="11">
        <f>IF(Table132[[#This Row],[template]]="","",VLOOKUP(Table132[[#This Row],[IP_NAME]],Table511175[],2,FALSE))</f>
        <v>1</v>
      </c>
      <c r="Y205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>061D0</v>
      </c>
      <c r="Z205" s="14">
        <f>IF(Table132[[#This Row],[template]]="","",HEX2DEC(Table132[[#This Row],[Addr_Hex]]))</f>
        <v>100</v>
      </c>
    </row>
    <row r="206" spans="2:26" x14ac:dyDescent="0.3">
      <c r="B206" s="4">
        <v>579</v>
      </c>
      <c r="C206" s="4" t="s">
        <v>233</v>
      </c>
      <c r="D206" s="9" t="str">
        <f>UPPER(Table132[[#This Row],[SIGNAL]])</f>
        <v>EV_PDPPOLARITY_30</v>
      </c>
      <c r="E206" s="9" t="str">
        <f>IF(Table132[[#This Row],[template]]="","","0x"&amp;Table132[[#This Row],[IP_Index]]&amp;DEC2HEX(Table132[[#This Row],[Addr_Dec]]*4,7))</f>
        <v>0x10000190</v>
      </c>
      <c r="F206" s="9" t="str">
        <f>IF(Table132[[#This Row],[template]]="","",VLOOKUP(Table132[[#This Row],[template]],Table29153[],2,FALSE))</f>
        <v>asynParamInt32</v>
      </c>
      <c r="G206" s="18" t="str">
        <f>IF(Table132[[#This Row],[template]]="","","1")</f>
        <v>1</v>
      </c>
      <c r="H206" s="10"/>
      <c r="I206" s="13" t="str">
        <f>IF(Table132[[#This Row],[template]]="","","0x"&amp;Table132[[#This Row],[D_Index]]&amp;"000")</f>
        <v>0x061E0000</v>
      </c>
      <c r="J206" s="18" t="s">
        <v>341</v>
      </c>
      <c r="K206" s="10">
        <v>0</v>
      </c>
      <c r="L206" s="11"/>
      <c r="M206" s="9" t="str">
        <f>IF(Table132[[#This Row],[template]]="","",Table132[[#This Row],[IP_NAME]]&amp;"_"&amp;Table132[[#This Row],[PARAM_NAME]]&amp;IF(Table132[[#This Row],[PARAM_SUB]]="","","_"&amp;Table132[[#This Row],[PARAM_SUB]]))</f>
        <v>ev_pdpPolarity_30</v>
      </c>
      <c r="N206" s="1" t="s">
        <v>262</v>
      </c>
      <c r="O206" s="1" t="s">
        <v>415</v>
      </c>
      <c r="P206" s="6" t="s">
        <v>293</v>
      </c>
      <c r="Q206" s="4">
        <v>64</v>
      </c>
      <c r="R206" s="6" t="s">
        <v>363</v>
      </c>
      <c r="S206" s="1" t="s">
        <v>315</v>
      </c>
      <c r="T206" s="16" t="s">
        <v>293</v>
      </c>
      <c r="U206" s="6" t="s">
        <v>363</v>
      </c>
      <c r="X206" s="11">
        <f>IF(Table132[[#This Row],[template]]="","",VLOOKUP(Table132[[#This Row],[IP_NAME]],Table511175[],2,FALSE))</f>
        <v>1</v>
      </c>
      <c r="Y206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>061E0</v>
      </c>
      <c r="Z206" s="14">
        <f>IF(Table132[[#This Row],[template]]="","",HEX2DEC(Table132[[#This Row],[Addr_Hex]]))</f>
        <v>100</v>
      </c>
    </row>
    <row r="207" spans="2:26" x14ac:dyDescent="0.3">
      <c r="B207" s="4">
        <v>580</v>
      </c>
      <c r="C207" s="4" t="s">
        <v>233</v>
      </c>
      <c r="D207" s="9" t="str">
        <f>UPPER(Table132[[#This Row],[SIGNAL]])</f>
        <v>EV_PDPPOLARITY_31</v>
      </c>
      <c r="E207" s="9" t="str">
        <f>IF(Table132[[#This Row],[template]]="","","0x"&amp;Table132[[#This Row],[IP_Index]]&amp;DEC2HEX(Table132[[#This Row],[Addr_Dec]]*4,7))</f>
        <v>0x10000190</v>
      </c>
      <c r="F207" s="9" t="str">
        <f>IF(Table132[[#This Row],[template]]="","",VLOOKUP(Table132[[#This Row],[template]],Table29153[],2,FALSE))</f>
        <v>asynParamInt32</v>
      </c>
      <c r="G207" s="18" t="str">
        <f>IF(Table132[[#This Row],[template]]="","","1")</f>
        <v>1</v>
      </c>
      <c r="H207" s="10"/>
      <c r="I207" s="13" t="str">
        <f>IF(Table132[[#This Row],[template]]="","","0x"&amp;Table132[[#This Row],[D_Index]]&amp;"000")</f>
        <v>0x061F0000</v>
      </c>
      <c r="J207" s="18" t="s">
        <v>341</v>
      </c>
      <c r="K207" s="10">
        <v>0</v>
      </c>
      <c r="L207" s="11"/>
      <c r="M207" s="9" t="str">
        <f>IF(Table132[[#This Row],[template]]="","",Table132[[#This Row],[IP_NAME]]&amp;"_"&amp;Table132[[#This Row],[PARAM_NAME]]&amp;IF(Table132[[#This Row],[PARAM_SUB]]="","","_"&amp;Table132[[#This Row],[PARAM_SUB]]))</f>
        <v>ev_pdpPolarity_31</v>
      </c>
      <c r="N207" s="1" t="s">
        <v>262</v>
      </c>
      <c r="O207" s="1" t="s">
        <v>415</v>
      </c>
      <c r="P207" s="6" t="s">
        <v>294</v>
      </c>
      <c r="Q207" s="4">
        <v>64</v>
      </c>
      <c r="R207" s="6" t="s">
        <v>363</v>
      </c>
      <c r="S207" s="1" t="s">
        <v>315</v>
      </c>
      <c r="T207" s="16" t="s">
        <v>294</v>
      </c>
      <c r="U207" s="6" t="s">
        <v>363</v>
      </c>
      <c r="X207" s="11">
        <f>IF(Table132[[#This Row],[template]]="","",VLOOKUP(Table132[[#This Row],[IP_NAME]],Table511175[],2,FALSE))</f>
        <v>1</v>
      </c>
      <c r="Y207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>061F0</v>
      </c>
      <c r="Z207" s="14">
        <f>IF(Table132[[#This Row],[template]]="","",HEX2DEC(Table132[[#This Row],[Addr_Hex]]))</f>
        <v>100</v>
      </c>
    </row>
    <row r="208" spans="2:26" x14ac:dyDescent="0.3">
      <c r="B208" s="4">
        <v>581</v>
      </c>
      <c r="C208" s="4"/>
      <c r="D208" s="9" t="str">
        <f>UPPER(Table132[[#This Row],[SIGNAL]])</f>
        <v/>
      </c>
      <c r="E208" s="9" t="str">
        <f>IF(Table132[[#This Row],[template]]="","","0x"&amp;Table132[[#This Row],[IP_Index]]&amp;DEC2HEX(Table132[[#This Row],[Addr_Dec]]*4,7))</f>
        <v/>
      </c>
      <c r="F208" s="9" t="str">
        <f>IF(Table132[[#This Row],[template]]="","",VLOOKUP(Table132[[#This Row],[template]],Table29153[],2,FALSE))</f>
        <v/>
      </c>
      <c r="G208" s="18" t="str">
        <f>IF(Table132[[#This Row],[template]]="","","1")</f>
        <v/>
      </c>
      <c r="H208" s="10"/>
      <c r="I208" s="13" t="str">
        <f>IF(Table132[[#This Row],[template]]="","","0x"&amp;Table132[[#This Row],[D_Index]]&amp;"000")</f>
        <v/>
      </c>
      <c r="J208" s="18"/>
      <c r="K208" s="10"/>
      <c r="L208" s="11"/>
      <c r="M208" s="9" t="str">
        <f>IF(Table132[[#This Row],[template]]="","",Table132[[#This Row],[IP_NAME]]&amp;"_"&amp;Table132[[#This Row],[PARAM_NAME]]&amp;IF(Table132[[#This Row],[PARAM_SUB]]="","","_"&amp;Table132[[#This Row],[PARAM_SUB]]))</f>
        <v/>
      </c>
      <c r="P208" s="6"/>
      <c r="Q208" s="4"/>
      <c r="R208" s="6"/>
      <c r="T208" s="16"/>
      <c r="U208" s="6"/>
      <c r="X208" s="11" t="str">
        <f>IF(Table132[[#This Row],[template]]="","",VLOOKUP(Table132[[#This Row],[IP_NAME]],Table511175[],2,FALSE))</f>
        <v/>
      </c>
      <c r="Y208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/>
      </c>
      <c r="Z208" s="14" t="str">
        <f>IF(Table132[[#This Row],[template]]="","",HEX2DEC(Table132[[#This Row],[Addr_Hex]]))</f>
        <v/>
      </c>
    </row>
    <row r="209" spans="2:26" x14ac:dyDescent="0.3">
      <c r="B209" s="4">
        <v>100</v>
      </c>
      <c r="C209" s="4" t="s">
        <v>233</v>
      </c>
      <c r="D209" s="9" t="str">
        <f>UPPER(Table132[[#This Row],[SIGNAL]])</f>
        <v>SYS_BIST</v>
      </c>
      <c r="E209" s="9" t="str">
        <f>IF(Table132[[#This Row],[template]]="","","0x"&amp;Table132[[#This Row],[IP_Index]]&amp;DEC2HEX(Table132[[#This Row],[Addr_Dec]]*4,7))</f>
        <v>0x00000000</v>
      </c>
      <c r="F209" s="9" t="str">
        <f>IF(Table132[[#This Row],[template]]="","",VLOOKUP(Table132[[#This Row],[template]],Table29153[],2,FALSE))</f>
        <v>asynParamInt32</v>
      </c>
      <c r="G209" s="18" t="str">
        <f>IF(Table132[[#This Row],[template]]="","","1")</f>
        <v>1</v>
      </c>
      <c r="H209" s="10"/>
      <c r="I209" s="13" t="str">
        <f>IF(Table132[[#This Row],[template]]="","","0x"&amp;Table132[[#This Row],[D_Index]]&amp;"000")</f>
        <v>0x10000000</v>
      </c>
      <c r="J209" s="18" t="s">
        <v>341</v>
      </c>
      <c r="K209" s="10">
        <v>0</v>
      </c>
      <c r="L209" s="11"/>
      <c r="M209" s="9" t="str">
        <f>IF(Table132[[#This Row],[template]]="","",Table132[[#This Row],[IP_NAME]]&amp;"_"&amp;Table132[[#This Row],[PARAM_NAME]]&amp;IF(Table132[[#This Row],[PARAM_SUB]]="","","_"&amp;Table132[[#This Row],[PARAM_SUB]]))</f>
        <v>sys_bist</v>
      </c>
      <c r="N209" s="1" t="s">
        <v>263</v>
      </c>
      <c r="O209" s="1" t="s">
        <v>416</v>
      </c>
      <c r="P209" s="6"/>
      <c r="Q209" s="4">
        <v>0</v>
      </c>
      <c r="R209" s="6" t="s">
        <v>362</v>
      </c>
      <c r="S209" s="1" t="s">
        <v>310</v>
      </c>
      <c r="T209" s="16">
        <v>0</v>
      </c>
      <c r="U209" s="6" t="s">
        <v>363</v>
      </c>
      <c r="X209" s="11">
        <f>IF(Table132[[#This Row],[template]]="","",VLOOKUP(Table132[[#This Row],[IP_NAME]],Table511175[],2,FALSE))</f>
        <v>0</v>
      </c>
      <c r="Y209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>10000</v>
      </c>
      <c r="Z209" s="14">
        <f>IF(Table132[[#This Row],[template]]="","",HEX2DEC(Table132[[#This Row],[Addr_Hex]]))</f>
        <v>0</v>
      </c>
    </row>
    <row r="210" spans="2:26" x14ac:dyDescent="0.3">
      <c r="B210" s="4"/>
      <c r="C210" s="4"/>
      <c r="D210" s="9" t="str">
        <f>UPPER(Table132[[#This Row],[SIGNAL]])</f>
        <v/>
      </c>
      <c r="E210" s="9" t="str">
        <f>IF(Table132[[#This Row],[template]]="","","0x"&amp;Table132[[#This Row],[IP_Index]]&amp;DEC2HEX(Table132[[#This Row],[Addr_Dec]]*4,7))</f>
        <v/>
      </c>
      <c r="F210" s="9" t="str">
        <f>IF(Table132[[#This Row],[template]]="","",VLOOKUP(Table132[[#This Row],[template]],Table29153[],2,FALSE))</f>
        <v/>
      </c>
      <c r="G210" s="18" t="str">
        <f>IF(Table132[[#This Row],[template]]="","","1")</f>
        <v/>
      </c>
      <c r="H210" s="10"/>
      <c r="I210" s="13" t="str">
        <f>IF(Table132[[#This Row],[template]]="","","0x"&amp;Table132[[#This Row],[D_Index]]&amp;"000")</f>
        <v/>
      </c>
      <c r="J210" s="18"/>
      <c r="K210" s="10"/>
      <c r="L210" s="11"/>
      <c r="M210" s="9" t="str">
        <f>IF(Table132[[#This Row],[template]]="","",Table132[[#This Row],[IP_NAME]]&amp;"_"&amp;Table132[[#This Row],[PARAM_NAME]]&amp;IF(Table132[[#This Row],[PARAM_SUB]]="","","_"&amp;Table132[[#This Row],[PARAM_SUB]]))</f>
        <v/>
      </c>
      <c r="P210" s="6"/>
      <c r="Q210" s="4"/>
      <c r="R210" s="6"/>
      <c r="T210" s="16"/>
      <c r="U210" s="6"/>
      <c r="X210" s="11" t="str">
        <f>IF(Table132[[#This Row],[template]]="","",VLOOKUP(Table132[[#This Row],[IP_NAME]],Table511175[],2,FALSE))</f>
        <v/>
      </c>
      <c r="Y210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/>
      </c>
      <c r="Z210" s="14" t="str">
        <f>IF(Table132[[#This Row],[template]]="","",HEX2DEC(Table132[[#This Row],[Addr_Hex]]))</f>
        <v/>
      </c>
    </row>
    <row r="211" spans="2:26" x14ac:dyDescent="0.3">
      <c r="B211" s="4" t="s">
        <v>463</v>
      </c>
      <c r="C211" s="4" t="s">
        <v>233</v>
      </c>
      <c r="D211" s="9" t="str">
        <f>UPPER(Table132[[#This Row],[SIGNAL]])</f>
        <v>EV_PDPDELAY_0</v>
      </c>
      <c r="E211" s="9" t="str">
        <f>IF(Table132[[#This Row],[template]]="","","0x"&amp;Table132[[#This Row],[IP_Index]]&amp;DEC2HEX(Table132[[#This Row],[Addr_Dec]]*4,7))</f>
        <v>0x1000C400</v>
      </c>
      <c r="F211" s="9" t="str">
        <f>IF(Table132[[#This Row],[template]]="","",VLOOKUP(Table132[[#This Row],[template]],Table29153[],2,FALSE))</f>
        <v>asynParamInt32</v>
      </c>
      <c r="G211" s="18" t="str">
        <f>IF(Table132[[#This Row],[template]]="","","1")</f>
        <v>1</v>
      </c>
      <c r="H211" s="10"/>
      <c r="I211" s="13" t="str">
        <f>IF(Table132[[#This Row],[template]]="","","0x"&amp;Table132[[#This Row],[D_Index]]&amp;"000")</f>
        <v>0x01000000</v>
      </c>
      <c r="J211" s="18" t="s">
        <v>341</v>
      </c>
      <c r="K211" s="10">
        <v>0</v>
      </c>
      <c r="L211" s="11"/>
      <c r="M211" s="9" t="str">
        <f>IF(Table132[[#This Row],[template]]="","",Table132[[#This Row],[IP_NAME]]&amp;"_"&amp;Table132[[#This Row],[PARAM_NAME]]&amp;IF(Table132[[#This Row],[PARAM_SUB]]="","","_"&amp;Table132[[#This Row],[PARAM_SUB]]))</f>
        <v>ev_pdpDelay_0</v>
      </c>
      <c r="N211" s="1" t="s">
        <v>262</v>
      </c>
      <c r="O211" s="1" t="s">
        <v>417</v>
      </c>
      <c r="P211" s="6" t="s">
        <v>367</v>
      </c>
      <c r="Q211" s="20" t="str">
        <f>DEC2HEX(HEX2DEC(Table132[[#This Row],[Index]])/4+Table132[[#This Row],[PARAM_SUB]],4)</f>
        <v>3100</v>
      </c>
      <c r="R211" s="6" t="s">
        <v>363</v>
      </c>
      <c r="S211" s="1" t="s">
        <v>254</v>
      </c>
      <c r="T211" s="16">
        <v>0</v>
      </c>
      <c r="U211" s="6" t="s">
        <v>363</v>
      </c>
      <c r="X211" s="11">
        <f>IF(Table132[[#This Row],[template]]="","",VLOOKUP(Table132[[#This Row],[IP_NAME]],Table511175[],2,FALSE))</f>
        <v>1</v>
      </c>
      <c r="Y211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>01000</v>
      </c>
      <c r="Z211" s="14">
        <f>IF(Table132[[#This Row],[template]]="","",HEX2DEC(Table132[[#This Row],[Addr_Hex]]))</f>
        <v>12544</v>
      </c>
    </row>
    <row r="212" spans="2:26" x14ac:dyDescent="0.3">
      <c r="B212" s="4" t="s">
        <v>463</v>
      </c>
      <c r="C212" s="4" t="s">
        <v>233</v>
      </c>
      <c r="D212" s="9" t="str">
        <f>UPPER(Table132[[#This Row],[SIGNAL]])</f>
        <v>EV_PDPDELAY_1</v>
      </c>
      <c r="E212" s="9" t="str">
        <f>IF(Table132[[#This Row],[template]]="","","0x"&amp;Table132[[#This Row],[IP_Index]]&amp;DEC2HEX(Table132[[#This Row],[Addr_Dec]]*4,7))</f>
        <v>0x1000C404</v>
      </c>
      <c r="F212" s="9" t="str">
        <f>IF(Table132[[#This Row],[template]]="","",VLOOKUP(Table132[[#This Row],[template]],Table29153[],2,FALSE))</f>
        <v>asynParamInt32</v>
      </c>
      <c r="G212" s="18" t="str">
        <f>IF(Table132[[#This Row],[template]]="","","1")</f>
        <v>1</v>
      </c>
      <c r="H212" s="10"/>
      <c r="I212" s="13" t="str">
        <f>IF(Table132[[#This Row],[template]]="","","0x"&amp;Table132[[#This Row],[D_Index]]&amp;"000")</f>
        <v>0x01000000</v>
      </c>
      <c r="J212" s="18" t="s">
        <v>341</v>
      </c>
      <c r="K212" s="10">
        <v>0</v>
      </c>
      <c r="L212" s="11"/>
      <c r="M212" s="9" t="str">
        <f>IF(Table132[[#This Row],[template]]="","",Table132[[#This Row],[IP_NAME]]&amp;"_"&amp;Table132[[#This Row],[PARAM_NAME]]&amp;IF(Table132[[#This Row],[PARAM_SUB]]="","","_"&amp;Table132[[#This Row],[PARAM_SUB]]))</f>
        <v>ev_pdpDelay_1</v>
      </c>
      <c r="N212" s="1" t="s">
        <v>262</v>
      </c>
      <c r="O212" s="1" t="s">
        <v>417</v>
      </c>
      <c r="P212" s="6" t="s">
        <v>271</v>
      </c>
      <c r="Q212" s="20" t="str">
        <f>DEC2HEX(HEX2DEC(Table132[[#This Row],[Index]])/4+Table132[[#This Row],[PARAM_SUB]],4)</f>
        <v>3101</v>
      </c>
      <c r="R212" s="6" t="s">
        <v>363</v>
      </c>
      <c r="S212" s="1" t="s">
        <v>254</v>
      </c>
      <c r="T212" s="16">
        <v>0</v>
      </c>
      <c r="U212" s="6" t="s">
        <v>363</v>
      </c>
      <c r="X212" s="11">
        <f>IF(Table132[[#This Row],[template]]="","",VLOOKUP(Table132[[#This Row],[IP_NAME]],Table511175[],2,FALSE))</f>
        <v>1</v>
      </c>
      <c r="Y212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>01000</v>
      </c>
      <c r="Z212" s="14">
        <f>IF(Table132[[#This Row],[template]]="","",HEX2DEC(Table132[[#This Row],[Addr_Hex]]))</f>
        <v>12545</v>
      </c>
    </row>
    <row r="213" spans="2:26" x14ac:dyDescent="0.3">
      <c r="B213" s="4" t="s">
        <v>463</v>
      </c>
      <c r="C213" s="4" t="s">
        <v>233</v>
      </c>
      <c r="D213" s="9" t="str">
        <f>UPPER(Table132[[#This Row],[SIGNAL]])</f>
        <v>EV_PDPDELAY_2</v>
      </c>
      <c r="E213" s="9" t="str">
        <f>IF(Table132[[#This Row],[template]]="","","0x"&amp;Table132[[#This Row],[IP_Index]]&amp;DEC2HEX(Table132[[#This Row],[Addr_Dec]]*4,7))</f>
        <v>0x1000C408</v>
      </c>
      <c r="F213" s="9" t="str">
        <f>IF(Table132[[#This Row],[template]]="","",VLOOKUP(Table132[[#This Row],[template]],Table29153[],2,FALSE))</f>
        <v>asynParamInt32</v>
      </c>
      <c r="G213" s="18" t="str">
        <f>IF(Table132[[#This Row],[template]]="","","1")</f>
        <v>1</v>
      </c>
      <c r="H213" s="10"/>
      <c r="I213" s="13" t="str">
        <f>IF(Table132[[#This Row],[template]]="","","0x"&amp;Table132[[#This Row],[D_Index]]&amp;"000")</f>
        <v>0x01000000</v>
      </c>
      <c r="J213" s="18" t="s">
        <v>341</v>
      </c>
      <c r="K213" s="10">
        <v>0</v>
      </c>
      <c r="L213" s="11"/>
      <c r="M213" s="9" t="str">
        <f>IF(Table132[[#This Row],[template]]="","",Table132[[#This Row],[IP_NAME]]&amp;"_"&amp;Table132[[#This Row],[PARAM_NAME]]&amp;IF(Table132[[#This Row],[PARAM_SUB]]="","","_"&amp;Table132[[#This Row],[PARAM_SUB]]))</f>
        <v>ev_pdpDelay_2</v>
      </c>
      <c r="N213" s="1" t="s">
        <v>262</v>
      </c>
      <c r="O213" s="1" t="s">
        <v>417</v>
      </c>
      <c r="P213" s="6" t="s">
        <v>243</v>
      </c>
      <c r="Q213" s="20" t="str">
        <f>DEC2HEX(HEX2DEC(Table132[[#This Row],[Index]])/4+Table132[[#This Row],[PARAM_SUB]],4)</f>
        <v>3102</v>
      </c>
      <c r="R213" s="6" t="s">
        <v>363</v>
      </c>
      <c r="S213" s="1" t="s">
        <v>254</v>
      </c>
      <c r="T213" s="16">
        <v>0</v>
      </c>
      <c r="U213" s="6" t="s">
        <v>363</v>
      </c>
      <c r="X213" s="11">
        <f>IF(Table132[[#This Row],[template]]="","",VLOOKUP(Table132[[#This Row],[IP_NAME]],Table511175[],2,FALSE))</f>
        <v>1</v>
      </c>
      <c r="Y213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>01000</v>
      </c>
      <c r="Z213" s="14">
        <f>IF(Table132[[#This Row],[template]]="","",HEX2DEC(Table132[[#This Row],[Addr_Hex]]))</f>
        <v>12546</v>
      </c>
    </row>
    <row r="214" spans="2:26" x14ac:dyDescent="0.3">
      <c r="B214" s="4" t="s">
        <v>463</v>
      </c>
      <c r="C214" s="4" t="s">
        <v>233</v>
      </c>
      <c r="D214" s="9" t="str">
        <f>UPPER(Table132[[#This Row],[SIGNAL]])</f>
        <v>EV_PDPDELAY_3</v>
      </c>
      <c r="E214" s="9" t="str">
        <f>IF(Table132[[#This Row],[template]]="","","0x"&amp;Table132[[#This Row],[IP_Index]]&amp;DEC2HEX(Table132[[#This Row],[Addr_Dec]]*4,7))</f>
        <v>0x1000C40C</v>
      </c>
      <c r="F214" s="9" t="str">
        <f>IF(Table132[[#This Row],[template]]="","",VLOOKUP(Table132[[#This Row],[template]],Table29153[],2,FALSE))</f>
        <v>asynParamInt32</v>
      </c>
      <c r="G214" s="18" t="str">
        <f>IF(Table132[[#This Row],[template]]="","","1")</f>
        <v>1</v>
      </c>
      <c r="H214" s="10"/>
      <c r="I214" s="13" t="str">
        <f>IF(Table132[[#This Row],[template]]="","","0x"&amp;Table132[[#This Row],[D_Index]]&amp;"000")</f>
        <v>0x01000000</v>
      </c>
      <c r="J214" s="18" t="s">
        <v>341</v>
      </c>
      <c r="K214" s="10">
        <v>0</v>
      </c>
      <c r="L214" s="11"/>
      <c r="M214" s="9" t="str">
        <f>IF(Table132[[#This Row],[template]]="","",Table132[[#This Row],[IP_NAME]]&amp;"_"&amp;Table132[[#This Row],[PARAM_NAME]]&amp;IF(Table132[[#This Row],[PARAM_SUB]]="","","_"&amp;Table132[[#This Row],[PARAM_SUB]]))</f>
        <v>ev_pdpDelay_3</v>
      </c>
      <c r="N214" s="1" t="s">
        <v>262</v>
      </c>
      <c r="O214" s="1" t="s">
        <v>417</v>
      </c>
      <c r="P214" s="6" t="s">
        <v>244</v>
      </c>
      <c r="Q214" s="20" t="str">
        <f>DEC2HEX(HEX2DEC(Table132[[#This Row],[Index]])/4+Table132[[#This Row],[PARAM_SUB]],4)</f>
        <v>3103</v>
      </c>
      <c r="R214" s="6" t="s">
        <v>363</v>
      </c>
      <c r="S214" s="1" t="s">
        <v>254</v>
      </c>
      <c r="T214" s="16">
        <v>0</v>
      </c>
      <c r="U214" s="6" t="s">
        <v>363</v>
      </c>
      <c r="X214" s="11">
        <f>IF(Table132[[#This Row],[template]]="","",VLOOKUP(Table132[[#This Row],[IP_NAME]],Table511175[],2,FALSE))</f>
        <v>1</v>
      </c>
      <c r="Y214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>01000</v>
      </c>
      <c r="Z214" s="14">
        <f>IF(Table132[[#This Row],[template]]="","",HEX2DEC(Table132[[#This Row],[Addr_Hex]]))</f>
        <v>12547</v>
      </c>
    </row>
    <row r="215" spans="2:26" x14ac:dyDescent="0.3">
      <c r="B215" s="4" t="s">
        <v>463</v>
      </c>
      <c r="C215" s="4" t="s">
        <v>233</v>
      </c>
      <c r="D215" s="9" t="str">
        <f>UPPER(Table132[[#This Row],[SIGNAL]])</f>
        <v>EV_PDPDELAY_4</v>
      </c>
      <c r="E215" s="9" t="str">
        <f>IF(Table132[[#This Row],[template]]="","","0x"&amp;Table132[[#This Row],[IP_Index]]&amp;DEC2HEX(Table132[[#This Row],[Addr_Dec]]*4,7))</f>
        <v>0x1000C410</v>
      </c>
      <c r="F215" s="9" t="str">
        <f>IF(Table132[[#This Row],[template]]="","",VLOOKUP(Table132[[#This Row],[template]],Table29153[],2,FALSE))</f>
        <v>asynParamInt32</v>
      </c>
      <c r="G215" s="18" t="str">
        <f>IF(Table132[[#This Row],[template]]="","","1")</f>
        <v>1</v>
      </c>
      <c r="H215" s="10"/>
      <c r="I215" s="13" t="str">
        <f>IF(Table132[[#This Row],[template]]="","","0x"&amp;Table132[[#This Row],[D_Index]]&amp;"000")</f>
        <v>0x01000000</v>
      </c>
      <c r="J215" s="18" t="s">
        <v>341</v>
      </c>
      <c r="K215" s="10">
        <v>0</v>
      </c>
      <c r="L215" s="11"/>
      <c r="M215" s="9" t="str">
        <f>IF(Table132[[#This Row],[template]]="","",Table132[[#This Row],[IP_NAME]]&amp;"_"&amp;Table132[[#This Row],[PARAM_NAME]]&amp;IF(Table132[[#This Row],[PARAM_SUB]]="","","_"&amp;Table132[[#This Row],[PARAM_SUB]]))</f>
        <v>ev_pdpDelay_4</v>
      </c>
      <c r="N215" s="1" t="s">
        <v>262</v>
      </c>
      <c r="O215" s="1" t="s">
        <v>417</v>
      </c>
      <c r="P215" s="6" t="s">
        <v>245</v>
      </c>
      <c r="Q215" s="20" t="str">
        <f>DEC2HEX(HEX2DEC(Table132[[#This Row],[Index]])/4+Table132[[#This Row],[PARAM_SUB]],4)</f>
        <v>3104</v>
      </c>
      <c r="R215" s="6" t="s">
        <v>363</v>
      </c>
      <c r="S215" s="1" t="s">
        <v>254</v>
      </c>
      <c r="T215" s="16">
        <v>0</v>
      </c>
      <c r="U215" s="6" t="s">
        <v>363</v>
      </c>
      <c r="X215" s="11">
        <f>IF(Table132[[#This Row],[template]]="","",VLOOKUP(Table132[[#This Row],[IP_NAME]],Table511175[],2,FALSE))</f>
        <v>1</v>
      </c>
      <c r="Y215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>01000</v>
      </c>
      <c r="Z215" s="14">
        <f>IF(Table132[[#This Row],[template]]="","",HEX2DEC(Table132[[#This Row],[Addr_Hex]]))</f>
        <v>12548</v>
      </c>
    </row>
    <row r="216" spans="2:26" x14ac:dyDescent="0.3">
      <c r="B216" s="4" t="s">
        <v>463</v>
      </c>
      <c r="C216" s="4" t="s">
        <v>233</v>
      </c>
      <c r="D216" s="9" t="str">
        <f>UPPER(Table132[[#This Row],[SIGNAL]])</f>
        <v>EV_PDPDELAY_5</v>
      </c>
      <c r="E216" s="9" t="str">
        <f>IF(Table132[[#This Row],[template]]="","","0x"&amp;Table132[[#This Row],[IP_Index]]&amp;DEC2HEX(Table132[[#This Row],[Addr_Dec]]*4,7))</f>
        <v>0x1000C414</v>
      </c>
      <c r="F216" s="9" t="str">
        <f>IF(Table132[[#This Row],[template]]="","",VLOOKUP(Table132[[#This Row],[template]],Table29153[],2,FALSE))</f>
        <v>asynParamInt32</v>
      </c>
      <c r="G216" s="18" t="str">
        <f>IF(Table132[[#This Row],[template]]="","","1")</f>
        <v>1</v>
      </c>
      <c r="H216" s="10"/>
      <c r="I216" s="13" t="str">
        <f>IF(Table132[[#This Row],[template]]="","","0x"&amp;Table132[[#This Row],[D_Index]]&amp;"000")</f>
        <v>0x01000000</v>
      </c>
      <c r="J216" s="18" t="s">
        <v>341</v>
      </c>
      <c r="K216" s="10">
        <v>0</v>
      </c>
      <c r="L216" s="11"/>
      <c r="M216" s="9" t="str">
        <f>IF(Table132[[#This Row],[template]]="","",Table132[[#This Row],[IP_NAME]]&amp;"_"&amp;Table132[[#This Row],[PARAM_NAME]]&amp;IF(Table132[[#This Row],[PARAM_SUB]]="","","_"&amp;Table132[[#This Row],[PARAM_SUB]]))</f>
        <v>ev_pdpDelay_5</v>
      </c>
      <c r="N216" s="1" t="s">
        <v>262</v>
      </c>
      <c r="O216" s="1" t="s">
        <v>417</v>
      </c>
      <c r="P216" s="6" t="s">
        <v>246</v>
      </c>
      <c r="Q216" s="20" t="str">
        <f>DEC2HEX(HEX2DEC(Table132[[#This Row],[Index]])/4+Table132[[#This Row],[PARAM_SUB]],4)</f>
        <v>3105</v>
      </c>
      <c r="R216" s="6" t="s">
        <v>363</v>
      </c>
      <c r="S216" s="1" t="s">
        <v>254</v>
      </c>
      <c r="T216" s="16">
        <v>0</v>
      </c>
      <c r="U216" s="6" t="s">
        <v>363</v>
      </c>
      <c r="X216" s="11">
        <f>IF(Table132[[#This Row],[template]]="","",VLOOKUP(Table132[[#This Row],[IP_NAME]],Table511175[],2,FALSE))</f>
        <v>1</v>
      </c>
      <c r="Y216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>01000</v>
      </c>
      <c r="Z216" s="14">
        <f>IF(Table132[[#This Row],[template]]="","",HEX2DEC(Table132[[#This Row],[Addr_Hex]]))</f>
        <v>12549</v>
      </c>
    </row>
    <row r="217" spans="2:26" x14ac:dyDescent="0.3">
      <c r="B217" s="4" t="s">
        <v>463</v>
      </c>
      <c r="C217" s="4" t="s">
        <v>233</v>
      </c>
      <c r="D217" s="9" t="str">
        <f>UPPER(Table132[[#This Row],[SIGNAL]])</f>
        <v>EV_PDPDELAY_6</v>
      </c>
      <c r="E217" s="9" t="str">
        <f>IF(Table132[[#This Row],[template]]="","","0x"&amp;Table132[[#This Row],[IP_Index]]&amp;DEC2HEX(Table132[[#This Row],[Addr_Dec]]*4,7))</f>
        <v>0x1000C418</v>
      </c>
      <c r="F217" s="9" t="str">
        <f>IF(Table132[[#This Row],[template]]="","",VLOOKUP(Table132[[#This Row],[template]],Table29153[],2,FALSE))</f>
        <v>asynParamInt32</v>
      </c>
      <c r="G217" s="18" t="str">
        <f>IF(Table132[[#This Row],[template]]="","","1")</f>
        <v>1</v>
      </c>
      <c r="H217" s="10"/>
      <c r="I217" s="13" t="str">
        <f>IF(Table132[[#This Row],[template]]="","","0x"&amp;Table132[[#This Row],[D_Index]]&amp;"000")</f>
        <v>0x01000000</v>
      </c>
      <c r="J217" s="18" t="s">
        <v>341</v>
      </c>
      <c r="K217" s="10">
        <v>0</v>
      </c>
      <c r="L217" s="11"/>
      <c r="M217" s="9" t="str">
        <f>IF(Table132[[#This Row],[template]]="","",Table132[[#This Row],[IP_NAME]]&amp;"_"&amp;Table132[[#This Row],[PARAM_NAME]]&amp;IF(Table132[[#This Row],[PARAM_SUB]]="","","_"&amp;Table132[[#This Row],[PARAM_SUB]]))</f>
        <v>ev_pdpDelay_6</v>
      </c>
      <c r="N217" s="1" t="s">
        <v>262</v>
      </c>
      <c r="O217" s="1" t="s">
        <v>417</v>
      </c>
      <c r="P217" s="6" t="s">
        <v>247</v>
      </c>
      <c r="Q217" s="20" t="str">
        <f>DEC2HEX(HEX2DEC(Table132[[#This Row],[Index]])/4+Table132[[#This Row],[PARAM_SUB]],4)</f>
        <v>3106</v>
      </c>
      <c r="R217" s="6" t="s">
        <v>363</v>
      </c>
      <c r="S217" s="1" t="s">
        <v>254</v>
      </c>
      <c r="T217" s="16">
        <v>0</v>
      </c>
      <c r="U217" s="6" t="s">
        <v>363</v>
      </c>
      <c r="X217" s="11">
        <f>IF(Table132[[#This Row],[template]]="","",VLOOKUP(Table132[[#This Row],[IP_NAME]],Table511175[],2,FALSE))</f>
        <v>1</v>
      </c>
      <c r="Y217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>01000</v>
      </c>
      <c r="Z217" s="14">
        <f>IF(Table132[[#This Row],[template]]="","",HEX2DEC(Table132[[#This Row],[Addr_Hex]]))</f>
        <v>12550</v>
      </c>
    </row>
    <row r="218" spans="2:26" x14ac:dyDescent="0.3">
      <c r="B218" s="4" t="s">
        <v>463</v>
      </c>
      <c r="C218" s="4" t="s">
        <v>233</v>
      </c>
      <c r="D218" s="9" t="str">
        <f>UPPER(Table132[[#This Row],[SIGNAL]])</f>
        <v>EV_PDPDELAY_7</v>
      </c>
      <c r="E218" s="9" t="str">
        <f>IF(Table132[[#This Row],[template]]="","","0x"&amp;Table132[[#This Row],[IP_Index]]&amp;DEC2HEX(Table132[[#This Row],[Addr_Dec]]*4,7))</f>
        <v>0x1000C41C</v>
      </c>
      <c r="F218" s="9" t="str">
        <f>IF(Table132[[#This Row],[template]]="","",VLOOKUP(Table132[[#This Row],[template]],Table29153[],2,FALSE))</f>
        <v>asynParamInt32</v>
      </c>
      <c r="G218" s="18" t="str">
        <f>IF(Table132[[#This Row],[template]]="","","1")</f>
        <v>1</v>
      </c>
      <c r="H218" s="10"/>
      <c r="I218" s="13" t="str">
        <f>IF(Table132[[#This Row],[template]]="","","0x"&amp;Table132[[#This Row],[D_Index]]&amp;"000")</f>
        <v>0x01000000</v>
      </c>
      <c r="J218" s="18" t="s">
        <v>341</v>
      </c>
      <c r="K218" s="10">
        <v>0</v>
      </c>
      <c r="L218" s="11"/>
      <c r="M218" s="9" t="str">
        <f>IF(Table132[[#This Row],[template]]="","",Table132[[#This Row],[IP_NAME]]&amp;"_"&amp;Table132[[#This Row],[PARAM_NAME]]&amp;IF(Table132[[#This Row],[PARAM_SUB]]="","","_"&amp;Table132[[#This Row],[PARAM_SUB]]))</f>
        <v>ev_pdpDelay_7</v>
      </c>
      <c r="N218" s="1" t="s">
        <v>262</v>
      </c>
      <c r="O218" s="1" t="s">
        <v>417</v>
      </c>
      <c r="P218" s="6" t="s">
        <v>248</v>
      </c>
      <c r="Q218" s="20" t="str">
        <f>DEC2HEX(HEX2DEC(Table132[[#This Row],[Index]])/4+Table132[[#This Row],[PARAM_SUB]],4)</f>
        <v>3107</v>
      </c>
      <c r="R218" s="6" t="s">
        <v>363</v>
      </c>
      <c r="S218" s="1" t="s">
        <v>254</v>
      </c>
      <c r="T218" s="16">
        <v>0</v>
      </c>
      <c r="U218" s="6" t="s">
        <v>363</v>
      </c>
      <c r="X218" s="11">
        <f>IF(Table132[[#This Row],[template]]="","",VLOOKUP(Table132[[#This Row],[IP_NAME]],Table511175[],2,FALSE))</f>
        <v>1</v>
      </c>
      <c r="Y218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>01000</v>
      </c>
      <c r="Z218" s="14">
        <f>IF(Table132[[#This Row],[template]]="","",HEX2DEC(Table132[[#This Row],[Addr_Hex]]))</f>
        <v>12551</v>
      </c>
    </row>
    <row r="219" spans="2:26" x14ac:dyDescent="0.3">
      <c r="B219" s="4" t="s">
        <v>463</v>
      </c>
      <c r="C219" s="4" t="s">
        <v>233</v>
      </c>
      <c r="D219" s="9" t="str">
        <f>UPPER(Table132[[#This Row],[SIGNAL]])</f>
        <v>EV_PDPDELAY_8</v>
      </c>
      <c r="E219" s="9" t="str">
        <f>IF(Table132[[#This Row],[template]]="","","0x"&amp;Table132[[#This Row],[IP_Index]]&amp;DEC2HEX(Table132[[#This Row],[Addr_Dec]]*4,7))</f>
        <v>0x1000C420</v>
      </c>
      <c r="F219" s="9" t="str">
        <f>IF(Table132[[#This Row],[template]]="","",VLOOKUP(Table132[[#This Row],[template]],Table29153[],2,FALSE))</f>
        <v>asynParamInt32</v>
      </c>
      <c r="G219" s="18" t="str">
        <f>IF(Table132[[#This Row],[template]]="","","1")</f>
        <v>1</v>
      </c>
      <c r="H219" s="10"/>
      <c r="I219" s="13" t="str">
        <f>IF(Table132[[#This Row],[template]]="","","0x"&amp;Table132[[#This Row],[D_Index]]&amp;"000")</f>
        <v>0x01000000</v>
      </c>
      <c r="J219" s="18" t="s">
        <v>341</v>
      </c>
      <c r="K219" s="10">
        <v>0</v>
      </c>
      <c r="L219" s="11"/>
      <c r="M219" s="9" t="str">
        <f>IF(Table132[[#This Row],[template]]="","",Table132[[#This Row],[IP_NAME]]&amp;"_"&amp;Table132[[#This Row],[PARAM_NAME]]&amp;IF(Table132[[#This Row],[PARAM_SUB]]="","","_"&amp;Table132[[#This Row],[PARAM_SUB]]))</f>
        <v>ev_pdpDelay_8</v>
      </c>
      <c r="N219" s="1" t="s">
        <v>262</v>
      </c>
      <c r="O219" s="1" t="s">
        <v>417</v>
      </c>
      <c r="P219" s="6" t="s">
        <v>249</v>
      </c>
      <c r="Q219" s="20" t="str">
        <f>DEC2HEX(HEX2DEC(Table132[[#This Row],[Index]])/4+Table132[[#This Row],[PARAM_SUB]],4)</f>
        <v>3108</v>
      </c>
      <c r="R219" s="6" t="s">
        <v>363</v>
      </c>
      <c r="S219" s="1" t="s">
        <v>254</v>
      </c>
      <c r="T219" s="16">
        <v>0</v>
      </c>
      <c r="U219" s="6" t="s">
        <v>363</v>
      </c>
      <c r="X219" s="11">
        <f>IF(Table132[[#This Row],[template]]="","",VLOOKUP(Table132[[#This Row],[IP_NAME]],Table511175[],2,FALSE))</f>
        <v>1</v>
      </c>
      <c r="Y219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>01000</v>
      </c>
      <c r="Z219" s="14">
        <f>IF(Table132[[#This Row],[template]]="","",HEX2DEC(Table132[[#This Row],[Addr_Hex]]))</f>
        <v>12552</v>
      </c>
    </row>
    <row r="220" spans="2:26" x14ac:dyDescent="0.3">
      <c r="B220" s="4" t="s">
        <v>463</v>
      </c>
      <c r="C220" s="4" t="s">
        <v>233</v>
      </c>
      <c r="D220" s="9" t="str">
        <f>UPPER(Table132[[#This Row],[SIGNAL]])</f>
        <v>EV_PDPDELAY_9</v>
      </c>
      <c r="E220" s="9" t="str">
        <f>IF(Table132[[#This Row],[template]]="","","0x"&amp;Table132[[#This Row],[IP_Index]]&amp;DEC2HEX(Table132[[#This Row],[Addr_Dec]]*4,7))</f>
        <v>0x1000C424</v>
      </c>
      <c r="F220" s="9" t="str">
        <f>IF(Table132[[#This Row],[template]]="","",VLOOKUP(Table132[[#This Row],[template]],Table29153[],2,FALSE))</f>
        <v>asynParamInt32</v>
      </c>
      <c r="G220" s="18" t="str">
        <f>IF(Table132[[#This Row],[template]]="","","1")</f>
        <v>1</v>
      </c>
      <c r="H220" s="10"/>
      <c r="I220" s="13" t="str">
        <f>IF(Table132[[#This Row],[template]]="","","0x"&amp;Table132[[#This Row],[D_Index]]&amp;"000")</f>
        <v>0x01000000</v>
      </c>
      <c r="J220" s="18" t="s">
        <v>341</v>
      </c>
      <c r="K220" s="10">
        <v>0</v>
      </c>
      <c r="L220" s="11"/>
      <c r="M220" s="9" t="str">
        <f>IF(Table132[[#This Row],[template]]="","",Table132[[#This Row],[IP_NAME]]&amp;"_"&amp;Table132[[#This Row],[PARAM_NAME]]&amp;IF(Table132[[#This Row],[PARAM_SUB]]="","","_"&amp;Table132[[#This Row],[PARAM_SUB]]))</f>
        <v>ev_pdpDelay_9</v>
      </c>
      <c r="N220" s="1" t="s">
        <v>262</v>
      </c>
      <c r="O220" s="1" t="s">
        <v>417</v>
      </c>
      <c r="P220" s="6" t="s">
        <v>250</v>
      </c>
      <c r="Q220" s="20" t="str">
        <f>DEC2HEX(HEX2DEC(Table132[[#This Row],[Index]])/4+Table132[[#This Row],[PARAM_SUB]],4)</f>
        <v>3109</v>
      </c>
      <c r="R220" s="6" t="s">
        <v>363</v>
      </c>
      <c r="S220" s="1" t="s">
        <v>254</v>
      </c>
      <c r="T220" s="16">
        <v>0</v>
      </c>
      <c r="U220" s="6" t="s">
        <v>363</v>
      </c>
      <c r="X220" s="11">
        <f>IF(Table132[[#This Row],[template]]="","",VLOOKUP(Table132[[#This Row],[IP_NAME]],Table511175[],2,FALSE))</f>
        <v>1</v>
      </c>
      <c r="Y220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>01000</v>
      </c>
      <c r="Z220" s="14">
        <f>IF(Table132[[#This Row],[template]]="","",HEX2DEC(Table132[[#This Row],[Addr_Hex]]))</f>
        <v>12553</v>
      </c>
    </row>
    <row r="221" spans="2:26" x14ac:dyDescent="0.3">
      <c r="B221" s="4" t="s">
        <v>463</v>
      </c>
      <c r="C221" s="4" t="s">
        <v>233</v>
      </c>
      <c r="D221" s="9" t="str">
        <f>UPPER(Table132[[#This Row],[SIGNAL]])</f>
        <v>EV_PDPDELAY_10</v>
      </c>
      <c r="E221" s="9" t="str">
        <f>IF(Table132[[#This Row],[template]]="","","0x"&amp;Table132[[#This Row],[IP_Index]]&amp;DEC2HEX(Table132[[#This Row],[Addr_Dec]]*4,7))</f>
        <v>0x1000C428</v>
      </c>
      <c r="F221" s="9" t="str">
        <f>IF(Table132[[#This Row],[template]]="","",VLOOKUP(Table132[[#This Row],[template]],Table29153[],2,FALSE))</f>
        <v>asynParamInt32</v>
      </c>
      <c r="G221" s="18" t="str">
        <f>IF(Table132[[#This Row],[template]]="","","1")</f>
        <v>1</v>
      </c>
      <c r="H221" s="10"/>
      <c r="I221" s="13" t="str">
        <f>IF(Table132[[#This Row],[template]]="","","0x"&amp;Table132[[#This Row],[D_Index]]&amp;"000")</f>
        <v>0x01000000</v>
      </c>
      <c r="J221" s="18" t="s">
        <v>341</v>
      </c>
      <c r="K221" s="10">
        <v>0</v>
      </c>
      <c r="L221" s="11"/>
      <c r="M221" s="9" t="str">
        <f>IF(Table132[[#This Row],[template]]="","",Table132[[#This Row],[IP_NAME]]&amp;"_"&amp;Table132[[#This Row],[PARAM_NAME]]&amp;IF(Table132[[#This Row],[PARAM_SUB]]="","","_"&amp;Table132[[#This Row],[PARAM_SUB]]))</f>
        <v>ev_pdpDelay_10</v>
      </c>
      <c r="N221" s="1" t="s">
        <v>262</v>
      </c>
      <c r="O221" s="1" t="s">
        <v>417</v>
      </c>
      <c r="P221" s="6" t="s">
        <v>273</v>
      </c>
      <c r="Q221" s="20" t="str">
        <f>DEC2HEX(HEX2DEC(Table132[[#This Row],[Index]])/4+Table132[[#This Row],[PARAM_SUB]],4)</f>
        <v>310A</v>
      </c>
      <c r="R221" s="6" t="s">
        <v>363</v>
      </c>
      <c r="S221" s="1" t="s">
        <v>254</v>
      </c>
      <c r="T221" s="16">
        <v>0</v>
      </c>
      <c r="U221" s="6" t="s">
        <v>363</v>
      </c>
      <c r="X221" s="11">
        <f>IF(Table132[[#This Row],[template]]="","",VLOOKUP(Table132[[#This Row],[IP_NAME]],Table511175[],2,FALSE))</f>
        <v>1</v>
      </c>
      <c r="Y221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>01000</v>
      </c>
      <c r="Z221" s="14">
        <f>IF(Table132[[#This Row],[template]]="","",HEX2DEC(Table132[[#This Row],[Addr_Hex]]))</f>
        <v>12554</v>
      </c>
    </row>
    <row r="222" spans="2:26" x14ac:dyDescent="0.3">
      <c r="B222" s="4" t="s">
        <v>463</v>
      </c>
      <c r="C222" s="4" t="s">
        <v>233</v>
      </c>
      <c r="D222" s="9" t="str">
        <f>UPPER(Table132[[#This Row],[SIGNAL]])</f>
        <v>EV_PDPDELAY_11</v>
      </c>
      <c r="E222" s="9" t="str">
        <f>IF(Table132[[#This Row],[template]]="","","0x"&amp;Table132[[#This Row],[IP_Index]]&amp;DEC2HEX(Table132[[#This Row],[Addr_Dec]]*4,7))</f>
        <v>0x1000C42C</v>
      </c>
      <c r="F222" s="9" t="str">
        <f>IF(Table132[[#This Row],[template]]="","",VLOOKUP(Table132[[#This Row],[template]],Table29153[],2,FALSE))</f>
        <v>asynParamInt32</v>
      </c>
      <c r="G222" s="18" t="str">
        <f>IF(Table132[[#This Row],[template]]="","","1")</f>
        <v>1</v>
      </c>
      <c r="H222" s="10"/>
      <c r="I222" s="13" t="str">
        <f>IF(Table132[[#This Row],[template]]="","","0x"&amp;Table132[[#This Row],[D_Index]]&amp;"000")</f>
        <v>0x01000000</v>
      </c>
      <c r="J222" s="18" t="s">
        <v>341</v>
      </c>
      <c r="K222" s="10">
        <v>0</v>
      </c>
      <c r="L222" s="11"/>
      <c r="M222" s="9" t="str">
        <f>IF(Table132[[#This Row],[template]]="","",Table132[[#This Row],[IP_NAME]]&amp;"_"&amp;Table132[[#This Row],[PARAM_NAME]]&amp;IF(Table132[[#This Row],[PARAM_SUB]]="","","_"&amp;Table132[[#This Row],[PARAM_SUB]]))</f>
        <v>ev_pdpDelay_11</v>
      </c>
      <c r="N222" s="1" t="s">
        <v>262</v>
      </c>
      <c r="O222" s="1" t="s">
        <v>417</v>
      </c>
      <c r="P222" s="6" t="s">
        <v>274</v>
      </c>
      <c r="Q222" s="20" t="str">
        <f>DEC2HEX(HEX2DEC(Table132[[#This Row],[Index]])/4+Table132[[#This Row],[PARAM_SUB]],4)</f>
        <v>310B</v>
      </c>
      <c r="R222" s="6" t="s">
        <v>363</v>
      </c>
      <c r="S222" s="1" t="s">
        <v>254</v>
      </c>
      <c r="T222" s="16">
        <v>0</v>
      </c>
      <c r="U222" s="6" t="s">
        <v>363</v>
      </c>
      <c r="X222" s="11">
        <f>IF(Table132[[#This Row],[template]]="","",VLOOKUP(Table132[[#This Row],[IP_NAME]],Table511175[],2,FALSE))</f>
        <v>1</v>
      </c>
      <c r="Y222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>01000</v>
      </c>
      <c r="Z222" s="14">
        <f>IF(Table132[[#This Row],[template]]="","",HEX2DEC(Table132[[#This Row],[Addr_Hex]]))</f>
        <v>12555</v>
      </c>
    </row>
    <row r="223" spans="2:26" x14ac:dyDescent="0.3">
      <c r="B223" s="4" t="s">
        <v>463</v>
      </c>
      <c r="C223" s="4" t="s">
        <v>233</v>
      </c>
      <c r="D223" s="9" t="str">
        <f>UPPER(Table132[[#This Row],[SIGNAL]])</f>
        <v>EV_PDPDELAY_12</v>
      </c>
      <c r="E223" s="9" t="str">
        <f>IF(Table132[[#This Row],[template]]="","","0x"&amp;Table132[[#This Row],[IP_Index]]&amp;DEC2HEX(Table132[[#This Row],[Addr_Dec]]*4,7))</f>
        <v>0x1000C430</v>
      </c>
      <c r="F223" s="9" t="str">
        <f>IF(Table132[[#This Row],[template]]="","",VLOOKUP(Table132[[#This Row],[template]],Table29153[],2,FALSE))</f>
        <v>asynParamInt32</v>
      </c>
      <c r="G223" s="18" t="str">
        <f>IF(Table132[[#This Row],[template]]="","","1")</f>
        <v>1</v>
      </c>
      <c r="H223" s="10"/>
      <c r="I223" s="13" t="str">
        <f>IF(Table132[[#This Row],[template]]="","","0x"&amp;Table132[[#This Row],[D_Index]]&amp;"000")</f>
        <v>0x01000000</v>
      </c>
      <c r="J223" s="18" t="s">
        <v>341</v>
      </c>
      <c r="K223" s="10">
        <v>0</v>
      </c>
      <c r="L223" s="11"/>
      <c r="M223" s="9" t="str">
        <f>IF(Table132[[#This Row],[template]]="","",Table132[[#This Row],[IP_NAME]]&amp;"_"&amp;Table132[[#This Row],[PARAM_NAME]]&amp;IF(Table132[[#This Row],[PARAM_SUB]]="","","_"&amp;Table132[[#This Row],[PARAM_SUB]]))</f>
        <v>ev_pdpDelay_12</v>
      </c>
      <c r="N223" s="1" t="s">
        <v>262</v>
      </c>
      <c r="O223" s="1" t="s">
        <v>417</v>
      </c>
      <c r="P223" s="6" t="s">
        <v>275</v>
      </c>
      <c r="Q223" s="20" t="str">
        <f>DEC2HEX(HEX2DEC(Table132[[#This Row],[Index]])/4+Table132[[#This Row],[PARAM_SUB]],4)</f>
        <v>310C</v>
      </c>
      <c r="R223" s="6" t="s">
        <v>363</v>
      </c>
      <c r="S223" s="1" t="s">
        <v>254</v>
      </c>
      <c r="T223" s="16">
        <v>0</v>
      </c>
      <c r="U223" s="6" t="s">
        <v>363</v>
      </c>
      <c r="X223" s="11">
        <f>IF(Table132[[#This Row],[template]]="","",VLOOKUP(Table132[[#This Row],[IP_NAME]],Table511175[],2,FALSE))</f>
        <v>1</v>
      </c>
      <c r="Y223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>01000</v>
      </c>
      <c r="Z223" s="14">
        <f>IF(Table132[[#This Row],[template]]="","",HEX2DEC(Table132[[#This Row],[Addr_Hex]]))</f>
        <v>12556</v>
      </c>
    </row>
    <row r="224" spans="2:26" x14ac:dyDescent="0.3">
      <c r="B224" s="4" t="s">
        <v>463</v>
      </c>
      <c r="C224" s="4" t="s">
        <v>233</v>
      </c>
      <c r="D224" s="9" t="str">
        <f>UPPER(Table132[[#This Row],[SIGNAL]])</f>
        <v>EV_PDPDELAY_13</v>
      </c>
      <c r="E224" s="9" t="str">
        <f>IF(Table132[[#This Row],[template]]="","","0x"&amp;Table132[[#This Row],[IP_Index]]&amp;DEC2HEX(Table132[[#This Row],[Addr_Dec]]*4,7))</f>
        <v>0x1000C434</v>
      </c>
      <c r="F224" s="9" t="str">
        <f>IF(Table132[[#This Row],[template]]="","",VLOOKUP(Table132[[#This Row],[template]],Table29153[],2,FALSE))</f>
        <v>asynParamInt32</v>
      </c>
      <c r="G224" s="18" t="str">
        <f>IF(Table132[[#This Row],[template]]="","","1")</f>
        <v>1</v>
      </c>
      <c r="H224" s="10"/>
      <c r="I224" s="13" t="str">
        <f>IF(Table132[[#This Row],[template]]="","","0x"&amp;Table132[[#This Row],[D_Index]]&amp;"000")</f>
        <v>0x01000000</v>
      </c>
      <c r="J224" s="18" t="s">
        <v>341</v>
      </c>
      <c r="K224" s="10">
        <v>0</v>
      </c>
      <c r="L224" s="11"/>
      <c r="M224" s="9" t="str">
        <f>IF(Table132[[#This Row],[template]]="","",Table132[[#This Row],[IP_NAME]]&amp;"_"&amp;Table132[[#This Row],[PARAM_NAME]]&amp;IF(Table132[[#This Row],[PARAM_SUB]]="","","_"&amp;Table132[[#This Row],[PARAM_SUB]]))</f>
        <v>ev_pdpDelay_13</v>
      </c>
      <c r="N224" s="1" t="s">
        <v>262</v>
      </c>
      <c r="O224" s="1" t="s">
        <v>417</v>
      </c>
      <c r="P224" s="6" t="s">
        <v>276</v>
      </c>
      <c r="Q224" s="20" t="str">
        <f>DEC2HEX(HEX2DEC(Table132[[#This Row],[Index]])/4+Table132[[#This Row],[PARAM_SUB]],4)</f>
        <v>310D</v>
      </c>
      <c r="R224" s="6" t="s">
        <v>363</v>
      </c>
      <c r="S224" s="1" t="s">
        <v>254</v>
      </c>
      <c r="T224" s="16">
        <v>0</v>
      </c>
      <c r="U224" s="6" t="s">
        <v>363</v>
      </c>
      <c r="X224" s="11">
        <f>IF(Table132[[#This Row],[template]]="","",VLOOKUP(Table132[[#This Row],[IP_NAME]],Table511175[],2,FALSE))</f>
        <v>1</v>
      </c>
      <c r="Y224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>01000</v>
      </c>
      <c r="Z224" s="14">
        <f>IF(Table132[[#This Row],[template]]="","",HEX2DEC(Table132[[#This Row],[Addr_Hex]]))</f>
        <v>12557</v>
      </c>
    </row>
    <row r="225" spans="2:26" x14ac:dyDescent="0.3">
      <c r="B225" s="4" t="s">
        <v>463</v>
      </c>
      <c r="C225" s="4" t="s">
        <v>233</v>
      </c>
      <c r="D225" s="9" t="str">
        <f>UPPER(Table132[[#This Row],[SIGNAL]])</f>
        <v>EV_PDPDELAY_14</v>
      </c>
      <c r="E225" s="9" t="str">
        <f>IF(Table132[[#This Row],[template]]="","","0x"&amp;Table132[[#This Row],[IP_Index]]&amp;DEC2HEX(Table132[[#This Row],[Addr_Dec]]*4,7))</f>
        <v>0x1000C438</v>
      </c>
      <c r="F225" s="9" t="str">
        <f>IF(Table132[[#This Row],[template]]="","",VLOOKUP(Table132[[#This Row],[template]],Table29153[],2,FALSE))</f>
        <v>asynParamInt32</v>
      </c>
      <c r="G225" s="18" t="str">
        <f>IF(Table132[[#This Row],[template]]="","","1")</f>
        <v>1</v>
      </c>
      <c r="H225" s="10"/>
      <c r="I225" s="13" t="str">
        <f>IF(Table132[[#This Row],[template]]="","","0x"&amp;Table132[[#This Row],[D_Index]]&amp;"000")</f>
        <v>0x01000000</v>
      </c>
      <c r="J225" s="18" t="s">
        <v>341</v>
      </c>
      <c r="K225" s="10">
        <v>0</v>
      </c>
      <c r="L225" s="11"/>
      <c r="M225" s="9" t="str">
        <f>IF(Table132[[#This Row],[template]]="","",Table132[[#This Row],[IP_NAME]]&amp;"_"&amp;Table132[[#This Row],[PARAM_NAME]]&amp;IF(Table132[[#This Row],[PARAM_SUB]]="","","_"&amp;Table132[[#This Row],[PARAM_SUB]]))</f>
        <v>ev_pdpDelay_14</v>
      </c>
      <c r="N225" s="1" t="s">
        <v>262</v>
      </c>
      <c r="O225" s="1" t="s">
        <v>417</v>
      </c>
      <c r="P225" s="6" t="s">
        <v>277</v>
      </c>
      <c r="Q225" s="20" t="str">
        <f>DEC2HEX(HEX2DEC(Table132[[#This Row],[Index]])/4+Table132[[#This Row],[PARAM_SUB]],4)</f>
        <v>310E</v>
      </c>
      <c r="R225" s="6" t="s">
        <v>363</v>
      </c>
      <c r="S225" s="1" t="s">
        <v>254</v>
      </c>
      <c r="T225" s="16">
        <v>0</v>
      </c>
      <c r="U225" s="6" t="s">
        <v>363</v>
      </c>
      <c r="X225" s="11">
        <f>IF(Table132[[#This Row],[template]]="","",VLOOKUP(Table132[[#This Row],[IP_NAME]],Table511175[],2,FALSE))</f>
        <v>1</v>
      </c>
      <c r="Y225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>01000</v>
      </c>
      <c r="Z225" s="14">
        <f>IF(Table132[[#This Row],[template]]="","",HEX2DEC(Table132[[#This Row],[Addr_Hex]]))</f>
        <v>12558</v>
      </c>
    </row>
    <row r="226" spans="2:26" x14ac:dyDescent="0.3">
      <c r="B226" s="4" t="s">
        <v>463</v>
      </c>
      <c r="C226" s="4" t="s">
        <v>233</v>
      </c>
      <c r="D226" s="9" t="str">
        <f>UPPER(Table132[[#This Row],[SIGNAL]])</f>
        <v>EV_PDPDELAY_15</v>
      </c>
      <c r="E226" s="9" t="str">
        <f>IF(Table132[[#This Row],[template]]="","","0x"&amp;Table132[[#This Row],[IP_Index]]&amp;DEC2HEX(Table132[[#This Row],[Addr_Dec]]*4,7))</f>
        <v>0x1000C43C</v>
      </c>
      <c r="F226" s="9" t="str">
        <f>IF(Table132[[#This Row],[template]]="","",VLOOKUP(Table132[[#This Row],[template]],Table29153[],2,FALSE))</f>
        <v>asynParamInt32</v>
      </c>
      <c r="G226" s="18" t="str">
        <f>IF(Table132[[#This Row],[template]]="","","1")</f>
        <v>1</v>
      </c>
      <c r="H226" s="10"/>
      <c r="I226" s="13" t="str">
        <f>IF(Table132[[#This Row],[template]]="","","0x"&amp;Table132[[#This Row],[D_Index]]&amp;"000")</f>
        <v>0x01000000</v>
      </c>
      <c r="J226" s="18" t="s">
        <v>341</v>
      </c>
      <c r="K226" s="10">
        <v>0</v>
      </c>
      <c r="L226" s="11"/>
      <c r="M226" s="9" t="str">
        <f>IF(Table132[[#This Row],[template]]="","",Table132[[#This Row],[IP_NAME]]&amp;"_"&amp;Table132[[#This Row],[PARAM_NAME]]&amp;IF(Table132[[#This Row],[PARAM_SUB]]="","","_"&amp;Table132[[#This Row],[PARAM_SUB]]))</f>
        <v>ev_pdpDelay_15</v>
      </c>
      <c r="N226" s="1" t="s">
        <v>262</v>
      </c>
      <c r="O226" s="1" t="s">
        <v>417</v>
      </c>
      <c r="P226" s="6" t="s">
        <v>278</v>
      </c>
      <c r="Q226" s="20" t="str">
        <f>DEC2HEX(HEX2DEC(Table132[[#This Row],[Index]])/4+Table132[[#This Row],[PARAM_SUB]],4)</f>
        <v>310F</v>
      </c>
      <c r="R226" s="6" t="s">
        <v>363</v>
      </c>
      <c r="S226" s="1" t="s">
        <v>254</v>
      </c>
      <c r="T226" s="16">
        <v>0</v>
      </c>
      <c r="U226" s="6" t="s">
        <v>363</v>
      </c>
      <c r="X226" s="11">
        <f>IF(Table132[[#This Row],[template]]="","",VLOOKUP(Table132[[#This Row],[IP_NAME]],Table511175[],2,FALSE))</f>
        <v>1</v>
      </c>
      <c r="Y226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>01000</v>
      </c>
      <c r="Z226" s="14">
        <f>IF(Table132[[#This Row],[template]]="","",HEX2DEC(Table132[[#This Row],[Addr_Hex]]))</f>
        <v>12559</v>
      </c>
    </row>
    <row r="227" spans="2:26" x14ac:dyDescent="0.3">
      <c r="B227" s="4" t="s">
        <v>463</v>
      </c>
      <c r="C227" s="4" t="s">
        <v>233</v>
      </c>
      <c r="D227" s="9" t="str">
        <f>UPPER(Table132[[#This Row],[SIGNAL]])</f>
        <v>EV_PDPDELAY_16</v>
      </c>
      <c r="E227" s="9" t="str">
        <f>IF(Table132[[#This Row],[template]]="","","0x"&amp;Table132[[#This Row],[IP_Index]]&amp;DEC2HEX(Table132[[#This Row],[Addr_Dec]]*4,7))</f>
        <v>0x1000C440</v>
      </c>
      <c r="F227" s="9" t="str">
        <f>IF(Table132[[#This Row],[template]]="","",VLOOKUP(Table132[[#This Row],[template]],Table29153[],2,FALSE))</f>
        <v>asynParamInt32</v>
      </c>
      <c r="G227" s="18" t="str">
        <f>IF(Table132[[#This Row],[template]]="","","1")</f>
        <v>1</v>
      </c>
      <c r="H227" s="10"/>
      <c r="I227" s="13" t="str">
        <f>IF(Table132[[#This Row],[template]]="","","0x"&amp;Table132[[#This Row],[D_Index]]&amp;"000")</f>
        <v>0x01000000</v>
      </c>
      <c r="J227" s="18" t="s">
        <v>341</v>
      </c>
      <c r="K227" s="10">
        <v>0</v>
      </c>
      <c r="L227" s="11"/>
      <c r="M227" s="9" t="str">
        <f>IF(Table132[[#This Row],[template]]="","",Table132[[#This Row],[IP_NAME]]&amp;"_"&amp;Table132[[#This Row],[PARAM_NAME]]&amp;IF(Table132[[#This Row],[PARAM_SUB]]="","","_"&amp;Table132[[#This Row],[PARAM_SUB]]))</f>
        <v>ev_pdpDelay_16</v>
      </c>
      <c r="N227" s="1" t="s">
        <v>262</v>
      </c>
      <c r="O227" s="1" t="s">
        <v>417</v>
      </c>
      <c r="P227" s="6" t="s">
        <v>279</v>
      </c>
      <c r="Q227" s="20" t="str">
        <f>DEC2HEX(HEX2DEC(Table132[[#This Row],[Index]])/4+Table132[[#This Row],[PARAM_SUB]],4)</f>
        <v>3110</v>
      </c>
      <c r="R227" s="6" t="s">
        <v>363</v>
      </c>
      <c r="S227" s="1" t="s">
        <v>254</v>
      </c>
      <c r="T227" s="16">
        <v>0</v>
      </c>
      <c r="U227" s="6" t="s">
        <v>363</v>
      </c>
      <c r="X227" s="11">
        <f>IF(Table132[[#This Row],[template]]="","",VLOOKUP(Table132[[#This Row],[IP_NAME]],Table511175[],2,FALSE))</f>
        <v>1</v>
      </c>
      <c r="Y227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>01000</v>
      </c>
      <c r="Z227" s="14">
        <f>IF(Table132[[#This Row],[template]]="","",HEX2DEC(Table132[[#This Row],[Addr_Hex]]))</f>
        <v>12560</v>
      </c>
    </row>
    <row r="228" spans="2:26" x14ac:dyDescent="0.3">
      <c r="B228" s="4" t="s">
        <v>463</v>
      </c>
      <c r="C228" s="4" t="s">
        <v>233</v>
      </c>
      <c r="D228" s="9" t="str">
        <f>UPPER(Table132[[#This Row],[SIGNAL]])</f>
        <v>EV_PDPDELAY_17</v>
      </c>
      <c r="E228" s="9" t="str">
        <f>IF(Table132[[#This Row],[template]]="","","0x"&amp;Table132[[#This Row],[IP_Index]]&amp;DEC2HEX(Table132[[#This Row],[Addr_Dec]]*4,7))</f>
        <v>0x1000C444</v>
      </c>
      <c r="F228" s="9" t="str">
        <f>IF(Table132[[#This Row],[template]]="","",VLOOKUP(Table132[[#This Row],[template]],Table29153[],2,FALSE))</f>
        <v>asynParamInt32</v>
      </c>
      <c r="G228" s="18" t="str">
        <f>IF(Table132[[#This Row],[template]]="","","1")</f>
        <v>1</v>
      </c>
      <c r="H228" s="10"/>
      <c r="I228" s="13" t="str">
        <f>IF(Table132[[#This Row],[template]]="","","0x"&amp;Table132[[#This Row],[D_Index]]&amp;"000")</f>
        <v>0x01000000</v>
      </c>
      <c r="J228" s="18" t="s">
        <v>341</v>
      </c>
      <c r="K228" s="10">
        <v>0</v>
      </c>
      <c r="L228" s="11"/>
      <c r="M228" s="9" t="str">
        <f>IF(Table132[[#This Row],[template]]="","",Table132[[#This Row],[IP_NAME]]&amp;"_"&amp;Table132[[#This Row],[PARAM_NAME]]&amp;IF(Table132[[#This Row],[PARAM_SUB]]="","","_"&amp;Table132[[#This Row],[PARAM_SUB]]))</f>
        <v>ev_pdpDelay_17</v>
      </c>
      <c r="N228" s="1" t="s">
        <v>262</v>
      </c>
      <c r="O228" s="1" t="s">
        <v>417</v>
      </c>
      <c r="P228" s="6" t="s">
        <v>280</v>
      </c>
      <c r="Q228" s="20" t="str">
        <f>DEC2HEX(HEX2DEC(Table132[[#This Row],[Index]])/4+Table132[[#This Row],[PARAM_SUB]],4)</f>
        <v>3111</v>
      </c>
      <c r="R228" s="6" t="s">
        <v>363</v>
      </c>
      <c r="S228" s="1" t="s">
        <v>254</v>
      </c>
      <c r="T228" s="16">
        <v>0</v>
      </c>
      <c r="U228" s="6" t="s">
        <v>363</v>
      </c>
      <c r="X228" s="11">
        <f>IF(Table132[[#This Row],[template]]="","",VLOOKUP(Table132[[#This Row],[IP_NAME]],Table511175[],2,FALSE))</f>
        <v>1</v>
      </c>
      <c r="Y228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>01000</v>
      </c>
      <c r="Z228" s="14">
        <f>IF(Table132[[#This Row],[template]]="","",HEX2DEC(Table132[[#This Row],[Addr_Hex]]))</f>
        <v>12561</v>
      </c>
    </row>
    <row r="229" spans="2:26" x14ac:dyDescent="0.3">
      <c r="B229" s="4" t="s">
        <v>463</v>
      </c>
      <c r="C229" s="4" t="s">
        <v>233</v>
      </c>
      <c r="D229" s="9" t="str">
        <f>UPPER(Table132[[#This Row],[SIGNAL]])</f>
        <v>EV_PDPDELAY_18</v>
      </c>
      <c r="E229" s="9" t="str">
        <f>IF(Table132[[#This Row],[template]]="","","0x"&amp;Table132[[#This Row],[IP_Index]]&amp;DEC2HEX(Table132[[#This Row],[Addr_Dec]]*4,7))</f>
        <v>0x1000C448</v>
      </c>
      <c r="F229" s="9" t="str">
        <f>IF(Table132[[#This Row],[template]]="","",VLOOKUP(Table132[[#This Row],[template]],Table29153[],2,FALSE))</f>
        <v>asynParamInt32</v>
      </c>
      <c r="G229" s="18" t="str">
        <f>IF(Table132[[#This Row],[template]]="","","1")</f>
        <v>1</v>
      </c>
      <c r="H229" s="10"/>
      <c r="I229" s="13" t="str">
        <f>IF(Table132[[#This Row],[template]]="","","0x"&amp;Table132[[#This Row],[D_Index]]&amp;"000")</f>
        <v>0x01000000</v>
      </c>
      <c r="J229" s="18" t="s">
        <v>341</v>
      </c>
      <c r="K229" s="10">
        <v>0</v>
      </c>
      <c r="L229" s="11"/>
      <c r="M229" s="9" t="str">
        <f>IF(Table132[[#This Row],[template]]="","",Table132[[#This Row],[IP_NAME]]&amp;"_"&amp;Table132[[#This Row],[PARAM_NAME]]&amp;IF(Table132[[#This Row],[PARAM_SUB]]="","","_"&amp;Table132[[#This Row],[PARAM_SUB]]))</f>
        <v>ev_pdpDelay_18</v>
      </c>
      <c r="N229" s="1" t="s">
        <v>262</v>
      </c>
      <c r="O229" s="1" t="s">
        <v>417</v>
      </c>
      <c r="P229" s="6" t="s">
        <v>281</v>
      </c>
      <c r="Q229" s="20" t="str">
        <f>DEC2HEX(HEX2DEC(Table132[[#This Row],[Index]])/4+Table132[[#This Row],[PARAM_SUB]],4)</f>
        <v>3112</v>
      </c>
      <c r="R229" s="6" t="s">
        <v>363</v>
      </c>
      <c r="S229" s="1" t="s">
        <v>254</v>
      </c>
      <c r="T229" s="16">
        <v>0</v>
      </c>
      <c r="U229" s="6" t="s">
        <v>363</v>
      </c>
      <c r="X229" s="11">
        <f>IF(Table132[[#This Row],[template]]="","",VLOOKUP(Table132[[#This Row],[IP_NAME]],Table511175[],2,FALSE))</f>
        <v>1</v>
      </c>
      <c r="Y229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>01000</v>
      </c>
      <c r="Z229" s="14">
        <f>IF(Table132[[#This Row],[template]]="","",HEX2DEC(Table132[[#This Row],[Addr_Hex]]))</f>
        <v>12562</v>
      </c>
    </row>
    <row r="230" spans="2:26" x14ac:dyDescent="0.3">
      <c r="B230" s="4" t="s">
        <v>463</v>
      </c>
      <c r="C230" s="4" t="s">
        <v>233</v>
      </c>
      <c r="D230" s="9" t="str">
        <f>UPPER(Table132[[#This Row],[SIGNAL]])</f>
        <v>EV_PDPDELAY_19</v>
      </c>
      <c r="E230" s="9" t="str">
        <f>IF(Table132[[#This Row],[template]]="","","0x"&amp;Table132[[#This Row],[IP_Index]]&amp;DEC2HEX(Table132[[#This Row],[Addr_Dec]]*4,7))</f>
        <v>0x1000C44C</v>
      </c>
      <c r="F230" s="9" t="str">
        <f>IF(Table132[[#This Row],[template]]="","",VLOOKUP(Table132[[#This Row],[template]],Table29153[],2,FALSE))</f>
        <v>asynParamInt32</v>
      </c>
      <c r="G230" s="18" t="str">
        <f>IF(Table132[[#This Row],[template]]="","","1")</f>
        <v>1</v>
      </c>
      <c r="H230" s="10"/>
      <c r="I230" s="13" t="str">
        <f>IF(Table132[[#This Row],[template]]="","","0x"&amp;Table132[[#This Row],[D_Index]]&amp;"000")</f>
        <v>0x01000000</v>
      </c>
      <c r="J230" s="18" t="s">
        <v>341</v>
      </c>
      <c r="K230" s="10">
        <v>0</v>
      </c>
      <c r="L230" s="11"/>
      <c r="M230" s="9" t="str">
        <f>IF(Table132[[#This Row],[template]]="","",Table132[[#This Row],[IP_NAME]]&amp;"_"&amp;Table132[[#This Row],[PARAM_NAME]]&amp;IF(Table132[[#This Row],[PARAM_SUB]]="","","_"&amp;Table132[[#This Row],[PARAM_SUB]]))</f>
        <v>ev_pdpDelay_19</v>
      </c>
      <c r="N230" s="1" t="s">
        <v>262</v>
      </c>
      <c r="O230" s="1" t="s">
        <v>417</v>
      </c>
      <c r="P230" s="6" t="s">
        <v>282</v>
      </c>
      <c r="Q230" s="20" t="str">
        <f>DEC2HEX(HEX2DEC(Table132[[#This Row],[Index]])/4+Table132[[#This Row],[PARAM_SUB]],4)</f>
        <v>3113</v>
      </c>
      <c r="R230" s="6" t="s">
        <v>363</v>
      </c>
      <c r="S230" s="1" t="s">
        <v>254</v>
      </c>
      <c r="T230" s="16">
        <v>0</v>
      </c>
      <c r="U230" s="6" t="s">
        <v>363</v>
      </c>
      <c r="X230" s="11">
        <f>IF(Table132[[#This Row],[template]]="","",VLOOKUP(Table132[[#This Row],[IP_NAME]],Table511175[],2,FALSE))</f>
        <v>1</v>
      </c>
      <c r="Y230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>01000</v>
      </c>
      <c r="Z230" s="14">
        <f>IF(Table132[[#This Row],[template]]="","",HEX2DEC(Table132[[#This Row],[Addr_Hex]]))</f>
        <v>12563</v>
      </c>
    </row>
    <row r="231" spans="2:26" x14ac:dyDescent="0.3">
      <c r="B231" s="4" t="s">
        <v>463</v>
      </c>
      <c r="C231" s="4" t="s">
        <v>233</v>
      </c>
      <c r="D231" s="9" t="str">
        <f>UPPER(Table132[[#This Row],[SIGNAL]])</f>
        <v>EV_PDPDELAY_20</v>
      </c>
      <c r="E231" s="9" t="str">
        <f>IF(Table132[[#This Row],[template]]="","","0x"&amp;Table132[[#This Row],[IP_Index]]&amp;DEC2HEX(Table132[[#This Row],[Addr_Dec]]*4,7))</f>
        <v>0x1000C450</v>
      </c>
      <c r="F231" s="9" t="str">
        <f>IF(Table132[[#This Row],[template]]="","",VLOOKUP(Table132[[#This Row],[template]],Table29153[],2,FALSE))</f>
        <v>asynParamInt32</v>
      </c>
      <c r="G231" s="18" t="str">
        <f>IF(Table132[[#This Row],[template]]="","","1")</f>
        <v>1</v>
      </c>
      <c r="H231" s="10"/>
      <c r="I231" s="13" t="str">
        <f>IF(Table132[[#This Row],[template]]="","","0x"&amp;Table132[[#This Row],[D_Index]]&amp;"000")</f>
        <v>0x01000000</v>
      </c>
      <c r="J231" s="18" t="s">
        <v>341</v>
      </c>
      <c r="K231" s="10">
        <v>0</v>
      </c>
      <c r="L231" s="11"/>
      <c r="M231" s="9" t="str">
        <f>IF(Table132[[#This Row],[template]]="","",Table132[[#This Row],[IP_NAME]]&amp;"_"&amp;Table132[[#This Row],[PARAM_NAME]]&amp;IF(Table132[[#This Row],[PARAM_SUB]]="","","_"&amp;Table132[[#This Row],[PARAM_SUB]]))</f>
        <v>ev_pdpDelay_20</v>
      </c>
      <c r="N231" s="1" t="s">
        <v>262</v>
      </c>
      <c r="O231" s="1" t="s">
        <v>417</v>
      </c>
      <c r="P231" s="6" t="s">
        <v>283</v>
      </c>
      <c r="Q231" s="20" t="str">
        <f>DEC2HEX(HEX2DEC(Table132[[#This Row],[Index]])/4+Table132[[#This Row],[PARAM_SUB]],4)</f>
        <v>3114</v>
      </c>
      <c r="R231" s="6" t="s">
        <v>363</v>
      </c>
      <c r="S231" s="1" t="s">
        <v>254</v>
      </c>
      <c r="T231" s="16">
        <v>0</v>
      </c>
      <c r="U231" s="6" t="s">
        <v>363</v>
      </c>
      <c r="X231" s="11">
        <f>IF(Table132[[#This Row],[template]]="","",VLOOKUP(Table132[[#This Row],[IP_NAME]],Table511175[],2,FALSE))</f>
        <v>1</v>
      </c>
      <c r="Y231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>01000</v>
      </c>
      <c r="Z231" s="14">
        <f>IF(Table132[[#This Row],[template]]="","",HEX2DEC(Table132[[#This Row],[Addr_Hex]]))</f>
        <v>12564</v>
      </c>
    </row>
    <row r="232" spans="2:26" x14ac:dyDescent="0.3">
      <c r="B232" s="4" t="s">
        <v>463</v>
      </c>
      <c r="C232" s="4" t="s">
        <v>233</v>
      </c>
      <c r="D232" s="9" t="str">
        <f>UPPER(Table132[[#This Row],[SIGNAL]])</f>
        <v>EV_PDPDELAY_21</v>
      </c>
      <c r="E232" s="9" t="str">
        <f>IF(Table132[[#This Row],[template]]="","","0x"&amp;Table132[[#This Row],[IP_Index]]&amp;DEC2HEX(Table132[[#This Row],[Addr_Dec]]*4,7))</f>
        <v>0x1000C454</v>
      </c>
      <c r="F232" s="9" t="str">
        <f>IF(Table132[[#This Row],[template]]="","",VLOOKUP(Table132[[#This Row],[template]],Table29153[],2,FALSE))</f>
        <v>asynParamInt32</v>
      </c>
      <c r="G232" s="18" t="str">
        <f>IF(Table132[[#This Row],[template]]="","","1")</f>
        <v>1</v>
      </c>
      <c r="H232" s="10"/>
      <c r="I232" s="13" t="str">
        <f>IF(Table132[[#This Row],[template]]="","","0x"&amp;Table132[[#This Row],[D_Index]]&amp;"000")</f>
        <v>0x01000000</v>
      </c>
      <c r="J232" s="18" t="s">
        <v>341</v>
      </c>
      <c r="K232" s="10">
        <v>0</v>
      </c>
      <c r="L232" s="11"/>
      <c r="M232" s="9" t="str">
        <f>IF(Table132[[#This Row],[template]]="","",Table132[[#This Row],[IP_NAME]]&amp;"_"&amp;Table132[[#This Row],[PARAM_NAME]]&amp;IF(Table132[[#This Row],[PARAM_SUB]]="","","_"&amp;Table132[[#This Row],[PARAM_SUB]]))</f>
        <v>ev_pdpDelay_21</v>
      </c>
      <c r="N232" s="1" t="s">
        <v>262</v>
      </c>
      <c r="O232" s="1" t="s">
        <v>417</v>
      </c>
      <c r="P232" s="6" t="s">
        <v>284</v>
      </c>
      <c r="Q232" s="20" t="str">
        <f>DEC2HEX(HEX2DEC(Table132[[#This Row],[Index]])/4+Table132[[#This Row],[PARAM_SUB]],4)</f>
        <v>3115</v>
      </c>
      <c r="R232" s="6" t="s">
        <v>363</v>
      </c>
      <c r="S232" s="1" t="s">
        <v>254</v>
      </c>
      <c r="T232" s="16">
        <v>0</v>
      </c>
      <c r="U232" s="6" t="s">
        <v>363</v>
      </c>
      <c r="X232" s="11">
        <f>IF(Table132[[#This Row],[template]]="","",VLOOKUP(Table132[[#This Row],[IP_NAME]],Table511175[],2,FALSE))</f>
        <v>1</v>
      </c>
      <c r="Y232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>01000</v>
      </c>
      <c r="Z232" s="14">
        <f>IF(Table132[[#This Row],[template]]="","",HEX2DEC(Table132[[#This Row],[Addr_Hex]]))</f>
        <v>12565</v>
      </c>
    </row>
    <row r="233" spans="2:26" x14ac:dyDescent="0.3">
      <c r="B233" s="4" t="s">
        <v>463</v>
      </c>
      <c r="C233" s="4" t="s">
        <v>233</v>
      </c>
      <c r="D233" s="9" t="str">
        <f>UPPER(Table132[[#This Row],[SIGNAL]])</f>
        <v>EV_PDPDELAY_22</v>
      </c>
      <c r="E233" s="9" t="str">
        <f>IF(Table132[[#This Row],[template]]="","","0x"&amp;Table132[[#This Row],[IP_Index]]&amp;DEC2HEX(Table132[[#This Row],[Addr_Dec]]*4,7))</f>
        <v>0x1000C458</v>
      </c>
      <c r="F233" s="9" t="str">
        <f>IF(Table132[[#This Row],[template]]="","",VLOOKUP(Table132[[#This Row],[template]],Table29153[],2,FALSE))</f>
        <v>asynParamInt32</v>
      </c>
      <c r="G233" s="18" t="str">
        <f>IF(Table132[[#This Row],[template]]="","","1")</f>
        <v>1</v>
      </c>
      <c r="H233" s="10"/>
      <c r="I233" s="13" t="str">
        <f>IF(Table132[[#This Row],[template]]="","","0x"&amp;Table132[[#This Row],[D_Index]]&amp;"000")</f>
        <v>0x01000000</v>
      </c>
      <c r="J233" s="18" t="s">
        <v>341</v>
      </c>
      <c r="K233" s="10">
        <v>0</v>
      </c>
      <c r="L233" s="11"/>
      <c r="M233" s="9" t="str">
        <f>IF(Table132[[#This Row],[template]]="","",Table132[[#This Row],[IP_NAME]]&amp;"_"&amp;Table132[[#This Row],[PARAM_NAME]]&amp;IF(Table132[[#This Row],[PARAM_SUB]]="","","_"&amp;Table132[[#This Row],[PARAM_SUB]]))</f>
        <v>ev_pdpDelay_22</v>
      </c>
      <c r="N233" s="1" t="s">
        <v>262</v>
      </c>
      <c r="O233" s="1" t="s">
        <v>417</v>
      </c>
      <c r="P233" s="6" t="s">
        <v>285</v>
      </c>
      <c r="Q233" s="20" t="str">
        <f>DEC2HEX(HEX2DEC(Table132[[#This Row],[Index]])/4+Table132[[#This Row],[PARAM_SUB]],4)</f>
        <v>3116</v>
      </c>
      <c r="R233" s="6" t="s">
        <v>363</v>
      </c>
      <c r="S233" s="1" t="s">
        <v>254</v>
      </c>
      <c r="T233" s="16">
        <v>0</v>
      </c>
      <c r="U233" s="6" t="s">
        <v>363</v>
      </c>
      <c r="X233" s="11">
        <f>IF(Table132[[#This Row],[template]]="","",VLOOKUP(Table132[[#This Row],[IP_NAME]],Table511175[],2,FALSE))</f>
        <v>1</v>
      </c>
      <c r="Y233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>01000</v>
      </c>
      <c r="Z233" s="14">
        <f>IF(Table132[[#This Row],[template]]="","",HEX2DEC(Table132[[#This Row],[Addr_Hex]]))</f>
        <v>12566</v>
      </c>
    </row>
    <row r="234" spans="2:26" x14ac:dyDescent="0.3">
      <c r="B234" s="4" t="s">
        <v>463</v>
      </c>
      <c r="C234" s="4" t="s">
        <v>233</v>
      </c>
      <c r="D234" s="9" t="str">
        <f>UPPER(Table132[[#This Row],[SIGNAL]])</f>
        <v>EV_PDPDELAY_23</v>
      </c>
      <c r="E234" s="9" t="str">
        <f>IF(Table132[[#This Row],[template]]="","","0x"&amp;Table132[[#This Row],[IP_Index]]&amp;DEC2HEX(Table132[[#This Row],[Addr_Dec]]*4,7))</f>
        <v>0x1000C45C</v>
      </c>
      <c r="F234" s="9" t="str">
        <f>IF(Table132[[#This Row],[template]]="","",VLOOKUP(Table132[[#This Row],[template]],Table29153[],2,FALSE))</f>
        <v>asynParamInt32</v>
      </c>
      <c r="G234" s="18" t="str">
        <f>IF(Table132[[#This Row],[template]]="","","1")</f>
        <v>1</v>
      </c>
      <c r="H234" s="10"/>
      <c r="I234" s="13" t="str">
        <f>IF(Table132[[#This Row],[template]]="","","0x"&amp;Table132[[#This Row],[D_Index]]&amp;"000")</f>
        <v>0x01000000</v>
      </c>
      <c r="J234" s="18" t="s">
        <v>341</v>
      </c>
      <c r="K234" s="10">
        <v>0</v>
      </c>
      <c r="L234" s="11"/>
      <c r="M234" s="9" t="str">
        <f>IF(Table132[[#This Row],[template]]="","",Table132[[#This Row],[IP_NAME]]&amp;"_"&amp;Table132[[#This Row],[PARAM_NAME]]&amp;IF(Table132[[#This Row],[PARAM_SUB]]="","","_"&amp;Table132[[#This Row],[PARAM_SUB]]))</f>
        <v>ev_pdpDelay_23</v>
      </c>
      <c r="N234" s="1" t="s">
        <v>262</v>
      </c>
      <c r="O234" s="1" t="s">
        <v>417</v>
      </c>
      <c r="P234" s="6" t="s">
        <v>286</v>
      </c>
      <c r="Q234" s="20" t="str">
        <f>DEC2HEX(HEX2DEC(Table132[[#This Row],[Index]])/4+Table132[[#This Row],[PARAM_SUB]],4)</f>
        <v>3117</v>
      </c>
      <c r="R234" s="6" t="s">
        <v>363</v>
      </c>
      <c r="S234" s="1" t="s">
        <v>254</v>
      </c>
      <c r="T234" s="16">
        <v>0</v>
      </c>
      <c r="U234" s="6" t="s">
        <v>363</v>
      </c>
      <c r="X234" s="11">
        <f>IF(Table132[[#This Row],[template]]="","",VLOOKUP(Table132[[#This Row],[IP_NAME]],Table511175[],2,FALSE))</f>
        <v>1</v>
      </c>
      <c r="Y234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>01000</v>
      </c>
      <c r="Z234" s="14">
        <f>IF(Table132[[#This Row],[template]]="","",HEX2DEC(Table132[[#This Row],[Addr_Hex]]))</f>
        <v>12567</v>
      </c>
    </row>
    <row r="235" spans="2:26" x14ac:dyDescent="0.3">
      <c r="B235" s="4" t="s">
        <v>463</v>
      </c>
      <c r="C235" s="4" t="s">
        <v>233</v>
      </c>
      <c r="D235" s="9" t="str">
        <f>UPPER(Table132[[#This Row],[SIGNAL]])</f>
        <v>EV_PDPDELAY_24</v>
      </c>
      <c r="E235" s="9" t="str">
        <f>IF(Table132[[#This Row],[template]]="","","0x"&amp;Table132[[#This Row],[IP_Index]]&amp;DEC2HEX(Table132[[#This Row],[Addr_Dec]]*4,7))</f>
        <v>0x1000C460</v>
      </c>
      <c r="F235" s="9" t="str">
        <f>IF(Table132[[#This Row],[template]]="","",VLOOKUP(Table132[[#This Row],[template]],Table29153[],2,FALSE))</f>
        <v>asynParamInt32</v>
      </c>
      <c r="G235" s="18" t="str">
        <f>IF(Table132[[#This Row],[template]]="","","1")</f>
        <v>1</v>
      </c>
      <c r="H235" s="10"/>
      <c r="I235" s="13" t="str">
        <f>IF(Table132[[#This Row],[template]]="","","0x"&amp;Table132[[#This Row],[D_Index]]&amp;"000")</f>
        <v>0x01000000</v>
      </c>
      <c r="J235" s="18" t="s">
        <v>341</v>
      </c>
      <c r="K235" s="10">
        <v>0</v>
      </c>
      <c r="L235" s="11"/>
      <c r="M235" s="9" t="str">
        <f>IF(Table132[[#This Row],[template]]="","",Table132[[#This Row],[IP_NAME]]&amp;"_"&amp;Table132[[#This Row],[PARAM_NAME]]&amp;IF(Table132[[#This Row],[PARAM_SUB]]="","","_"&amp;Table132[[#This Row],[PARAM_SUB]]))</f>
        <v>ev_pdpDelay_24</v>
      </c>
      <c r="N235" s="1" t="s">
        <v>262</v>
      </c>
      <c r="O235" s="1" t="s">
        <v>417</v>
      </c>
      <c r="P235" s="6" t="s">
        <v>287</v>
      </c>
      <c r="Q235" s="20" t="str">
        <f>DEC2HEX(HEX2DEC(Table132[[#This Row],[Index]])/4+Table132[[#This Row],[PARAM_SUB]],4)</f>
        <v>3118</v>
      </c>
      <c r="R235" s="6" t="s">
        <v>363</v>
      </c>
      <c r="S235" s="1" t="s">
        <v>254</v>
      </c>
      <c r="T235" s="16">
        <v>0</v>
      </c>
      <c r="U235" s="6" t="s">
        <v>363</v>
      </c>
      <c r="X235" s="11">
        <f>IF(Table132[[#This Row],[template]]="","",VLOOKUP(Table132[[#This Row],[IP_NAME]],Table511175[],2,FALSE))</f>
        <v>1</v>
      </c>
      <c r="Y235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>01000</v>
      </c>
      <c r="Z235" s="14">
        <f>IF(Table132[[#This Row],[template]]="","",HEX2DEC(Table132[[#This Row],[Addr_Hex]]))</f>
        <v>12568</v>
      </c>
    </row>
    <row r="236" spans="2:26" x14ac:dyDescent="0.3">
      <c r="B236" s="4" t="s">
        <v>463</v>
      </c>
      <c r="C236" s="4" t="s">
        <v>233</v>
      </c>
      <c r="D236" s="9" t="str">
        <f>UPPER(Table132[[#This Row],[SIGNAL]])</f>
        <v>EV_PDPDELAY_25</v>
      </c>
      <c r="E236" s="9" t="str">
        <f>IF(Table132[[#This Row],[template]]="","","0x"&amp;Table132[[#This Row],[IP_Index]]&amp;DEC2HEX(Table132[[#This Row],[Addr_Dec]]*4,7))</f>
        <v>0x1000C464</v>
      </c>
      <c r="F236" s="9" t="str">
        <f>IF(Table132[[#This Row],[template]]="","",VLOOKUP(Table132[[#This Row],[template]],Table29153[],2,FALSE))</f>
        <v>asynParamInt32</v>
      </c>
      <c r="G236" s="18" t="str">
        <f>IF(Table132[[#This Row],[template]]="","","1")</f>
        <v>1</v>
      </c>
      <c r="H236" s="10"/>
      <c r="I236" s="13" t="str">
        <f>IF(Table132[[#This Row],[template]]="","","0x"&amp;Table132[[#This Row],[D_Index]]&amp;"000")</f>
        <v>0x01000000</v>
      </c>
      <c r="J236" s="18" t="s">
        <v>341</v>
      </c>
      <c r="K236" s="10">
        <v>0</v>
      </c>
      <c r="L236" s="11"/>
      <c r="M236" s="9" t="str">
        <f>IF(Table132[[#This Row],[template]]="","",Table132[[#This Row],[IP_NAME]]&amp;"_"&amp;Table132[[#This Row],[PARAM_NAME]]&amp;IF(Table132[[#This Row],[PARAM_SUB]]="","","_"&amp;Table132[[#This Row],[PARAM_SUB]]))</f>
        <v>ev_pdpDelay_25</v>
      </c>
      <c r="N236" s="1" t="s">
        <v>262</v>
      </c>
      <c r="O236" s="1" t="s">
        <v>417</v>
      </c>
      <c r="P236" s="6" t="s">
        <v>288</v>
      </c>
      <c r="Q236" s="20" t="str">
        <f>DEC2HEX(HEX2DEC(Table132[[#This Row],[Index]])/4+Table132[[#This Row],[PARAM_SUB]],4)</f>
        <v>3119</v>
      </c>
      <c r="R236" s="6" t="s">
        <v>363</v>
      </c>
      <c r="S236" s="1" t="s">
        <v>254</v>
      </c>
      <c r="T236" s="16">
        <v>0</v>
      </c>
      <c r="U236" s="6" t="s">
        <v>363</v>
      </c>
      <c r="X236" s="11">
        <f>IF(Table132[[#This Row],[template]]="","",VLOOKUP(Table132[[#This Row],[IP_NAME]],Table511175[],2,FALSE))</f>
        <v>1</v>
      </c>
      <c r="Y236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>01000</v>
      </c>
      <c r="Z236" s="14">
        <f>IF(Table132[[#This Row],[template]]="","",HEX2DEC(Table132[[#This Row],[Addr_Hex]]))</f>
        <v>12569</v>
      </c>
    </row>
    <row r="237" spans="2:26" x14ac:dyDescent="0.3">
      <c r="B237" s="4" t="s">
        <v>463</v>
      </c>
      <c r="C237" s="4" t="s">
        <v>233</v>
      </c>
      <c r="D237" s="9" t="str">
        <f>UPPER(Table132[[#This Row],[SIGNAL]])</f>
        <v>EV_PDPDELAY_26</v>
      </c>
      <c r="E237" s="9" t="str">
        <f>IF(Table132[[#This Row],[template]]="","","0x"&amp;Table132[[#This Row],[IP_Index]]&amp;DEC2HEX(Table132[[#This Row],[Addr_Dec]]*4,7))</f>
        <v>0x1000C468</v>
      </c>
      <c r="F237" s="9" t="str">
        <f>IF(Table132[[#This Row],[template]]="","",VLOOKUP(Table132[[#This Row],[template]],Table29153[],2,FALSE))</f>
        <v>asynParamInt32</v>
      </c>
      <c r="G237" s="18" t="str">
        <f>IF(Table132[[#This Row],[template]]="","","1")</f>
        <v>1</v>
      </c>
      <c r="H237" s="10"/>
      <c r="I237" s="13" t="str">
        <f>IF(Table132[[#This Row],[template]]="","","0x"&amp;Table132[[#This Row],[D_Index]]&amp;"000")</f>
        <v>0x01000000</v>
      </c>
      <c r="J237" s="18" t="s">
        <v>341</v>
      </c>
      <c r="K237" s="10">
        <v>0</v>
      </c>
      <c r="L237" s="11"/>
      <c r="M237" s="9" t="str">
        <f>IF(Table132[[#This Row],[template]]="","",Table132[[#This Row],[IP_NAME]]&amp;"_"&amp;Table132[[#This Row],[PARAM_NAME]]&amp;IF(Table132[[#This Row],[PARAM_SUB]]="","","_"&amp;Table132[[#This Row],[PARAM_SUB]]))</f>
        <v>ev_pdpDelay_26</v>
      </c>
      <c r="N237" s="1" t="s">
        <v>262</v>
      </c>
      <c r="O237" s="1" t="s">
        <v>417</v>
      </c>
      <c r="P237" s="6" t="s">
        <v>289</v>
      </c>
      <c r="Q237" s="20" t="str">
        <f>DEC2HEX(HEX2DEC(Table132[[#This Row],[Index]])/4+Table132[[#This Row],[PARAM_SUB]],4)</f>
        <v>311A</v>
      </c>
      <c r="R237" s="6" t="s">
        <v>363</v>
      </c>
      <c r="S237" s="1" t="s">
        <v>254</v>
      </c>
      <c r="T237" s="16">
        <v>0</v>
      </c>
      <c r="U237" s="6" t="s">
        <v>363</v>
      </c>
      <c r="X237" s="11">
        <f>IF(Table132[[#This Row],[template]]="","",VLOOKUP(Table132[[#This Row],[IP_NAME]],Table511175[],2,FALSE))</f>
        <v>1</v>
      </c>
      <c r="Y237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>01000</v>
      </c>
      <c r="Z237" s="14">
        <f>IF(Table132[[#This Row],[template]]="","",HEX2DEC(Table132[[#This Row],[Addr_Hex]]))</f>
        <v>12570</v>
      </c>
    </row>
    <row r="238" spans="2:26" x14ac:dyDescent="0.3">
      <c r="B238" s="4" t="s">
        <v>463</v>
      </c>
      <c r="C238" s="4" t="s">
        <v>233</v>
      </c>
      <c r="D238" s="9" t="str">
        <f>UPPER(Table132[[#This Row],[SIGNAL]])</f>
        <v>EV_PDPDELAY_27</v>
      </c>
      <c r="E238" s="9" t="str">
        <f>IF(Table132[[#This Row],[template]]="","","0x"&amp;Table132[[#This Row],[IP_Index]]&amp;DEC2HEX(Table132[[#This Row],[Addr_Dec]]*4,7))</f>
        <v>0x1000C46C</v>
      </c>
      <c r="F238" s="9" t="str">
        <f>IF(Table132[[#This Row],[template]]="","",VLOOKUP(Table132[[#This Row],[template]],Table29153[],2,FALSE))</f>
        <v>asynParamInt32</v>
      </c>
      <c r="G238" s="18" t="str">
        <f>IF(Table132[[#This Row],[template]]="","","1")</f>
        <v>1</v>
      </c>
      <c r="H238" s="10"/>
      <c r="I238" s="13" t="str">
        <f>IF(Table132[[#This Row],[template]]="","","0x"&amp;Table132[[#This Row],[D_Index]]&amp;"000")</f>
        <v>0x01000000</v>
      </c>
      <c r="J238" s="18" t="s">
        <v>341</v>
      </c>
      <c r="K238" s="10">
        <v>0</v>
      </c>
      <c r="L238" s="11"/>
      <c r="M238" s="9" t="str">
        <f>IF(Table132[[#This Row],[template]]="","",Table132[[#This Row],[IP_NAME]]&amp;"_"&amp;Table132[[#This Row],[PARAM_NAME]]&amp;IF(Table132[[#This Row],[PARAM_SUB]]="","","_"&amp;Table132[[#This Row],[PARAM_SUB]]))</f>
        <v>ev_pdpDelay_27</v>
      </c>
      <c r="N238" s="1" t="s">
        <v>262</v>
      </c>
      <c r="O238" s="1" t="s">
        <v>417</v>
      </c>
      <c r="P238" s="6" t="s">
        <v>290</v>
      </c>
      <c r="Q238" s="20" t="str">
        <f>DEC2HEX(HEX2DEC(Table132[[#This Row],[Index]])/4+Table132[[#This Row],[PARAM_SUB]],4)</f>
        <v>311B</v>
      </c>
      <c r="R238" s="6" t="s">
        <v>363</v>
      </c>
      <c r="S238" s="1" t="s">
        <v>254</v>
      </c>
      <c r="T238" s="16">
        <v>0</v>
      </c>
      <c r="U238" s="6" t="s">
        <v>363</v>
      </c>
      <c r="X238" s="11">
        <f>IF(Table132[[#This Row],[template]]="","",VLOOKUP(Table132[[#This Row],[IP_NAME]],Table511175[],2,FALSE))</f>
        <v>1</v>
      </c>
      <c r="Y238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>01000</v>
      </c>
      <c r="Z238" s="14">
        <f>IF(Table132[[#This Row],[template]]="","",HEX2DEC(Table132[[#This Row],[Addr_Hex]]))</f>
        <v>12571</v>
      </c>
    </row>
    <row r="239" spans="2:26" x14ac:dyDescent="0.3">
      <c r="B239" s="4" t="s">
        <v>463</v>
      </c>
      <c r="C239" s="4" t="s">
        <v>233</v>
      </c>
      <c r="D239" s="9" t="str">
        <f>UPPER(Table132[[#This Row],[SIGNAL]])</f>
        <v>EV_PDPDELAY_28</v>
      </c>
      <c r="E239" s="9" t="str">
        <f>IF(Table132[[#This Row],[template]]="","","0x"&amp;Table132[[#This Row],[IP_Index]]&amp;DEC2HEX(Table132[[#This Row],[Addr_Dec]]*4,7))</f>
        <v>0x1000C470</v>
      </c>
      <c r="F239" s="9" t="str">
        <f>IF(Table132[[#This Row],[template]]="","",VLOOKUP(Table132[[#This Row],[template]],Table29153[],2,FALSE))</f>
        <v>asynParamInt32</v>
      </c>
      <c r="G239" s="18" t="str">
        <f>IF(Table132[[#This Row],[template]]="","","1")</f>
        <v>1</v>
      </c>
      <c r="H239" s="10"/>
      <c r="I239" s="13" t="str">
        <f>IF(Table132[[#This Row],[template]]="","","0x"&amp;Table132[[#This Row],[D_Index]]&amp;"000")</f>
        <v>0x01000000</v>
      </c>
      <c r="J239" s="18" t="s">
        <v>341</v>
      </c>
      <c r="K239" s="10">
        <v>0</v>
      </c>
      <c r="L239" s="11"/>
      <c r="M239" s="9" t="str">
        <f>IF(Table132[[#This Row],[template]]="","",Table132[[#This Row],[IP_NAME]]&amp;"_"&amp;Table132[[#This Row],[PARAM_NAME]]&amp;IF(Table132[[#This Row],[PARAM_SUB]]="","","_"&amp;Table132[[#This Row],[PARAM_SUB]]))</f>
        <v>ev_pdpDelay_28</v>
      </c>
      <c r="N239" s="1" t="s">
        <v>262</v>
      </c>
      <c r="O239" s="1" t="s">
        <v>417</v>
      </c>
      <c r="P239" s="6" t="s">
        <v>291</v>
      </c>
      <c r="Q239" s="20" t="str">
        <f>DEC2HEX(HEX2DEC(Table132[[#This Row],[Index]])/4+Table132[[#This Row],[PARAM_SUB]],4)</f>
        <v>311C</v>
      </c>
      <c r="R239" s="6" t="s">
        <v>363</v>
      </c>
      <c r="S239" s="1" t="s">
        <v>254</v>
      </c>
      <c r="T239" s="16">
        <v>0</v>
      </c>
      <c r="U239" s="6" t="s">
        <v>363</v>
      </c>
      <c r="X239" s="11">
        <f>IF(Table132[[#This Row],[template]]="","",VLOOKUP(Table132[[#This Row],[IP_NAME]],Table511175[],2,FALSE))</f>
        <v>1</v>
      </c>
      <c r="Y239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>01000</v>
      </c>
      <c r="Z239" s="14">
        <f>IF(Table132[[#This Row],[template]]="","",HEX2DEC(Table132[[#This Row],[Addr_Hex]]))</f>
        <v>12572</v>
      </c>
    </row>
    <row r="240" spans="2:26" x14ac:dyDescent="0.3">
      <c r="B240" s="4" t="s">
        <v>463</v>
      </c>
      <c r="C240" s="4" t="s">
        <v>233</v>
      </c>
      <c r="D240" s="9" t="str">
        <f>UPPER(Table132[[#This Row],[SIGNAL]])</f>
        <v>EV_PDPDELAY_29</v>
      </c>
      <c r="E240" s="9" t="str">
        <f>IF(Table132[[#This Row],[template]]="","","0x"&amp;Table132[[#This Row],[IP_Index]]&amp;DEC2HEX(Table132[[#This Row],[Addr_Dec]]*4,7))</f>
        <v>0x1000C474</v>
      </c>
      <c r="F240" s="9" t="str">
        <f>IF(Table132[[#This Row],[template]]="","",VLOOKUP(Table132[[#This Row],[template]],Table29153[],2,FALSE))</f>
        <v>asynParamInt32</v>
      </c>
      <c r="G240" s="18" t="str">
        <f>IF(Table132[[#This Row],[template]]="","","1")</f>
        <v>1</v>
      </c>
      <c r="H240" s="10"/>
      <c r="I240" s="13" t="str">
        <f>IF(Table132[[#This Row],[template]]="","","0x"&amp;Table132[[#This Row],[D_Index]]&amp;"000")</f>
        <v>0x01000000</v>
      </c>
      <c r="J240" s="18" t="s">
        <v>341</v>
      </c>
      <c r="K240" s="10">
        <v>0</v>
      </c>
      <c r="L240" s="11"/>
      <c r="M240" s="9" t="str">
        <f>IF(Table132[[#This Row],[template]]="","",Table132[[#This Row],[IP_NAME]]&amp;"_"&amp;Table132[[#This Row],[PARAM_NAME]]&amp;IF(Table132[[#This Row],[PARAM_SUB]]="","","_"&amp;Table132[[#This Row],[PARAM_SUB]]))</f>
        <v>ev_pdpDelay_29</v>
      </c>
      <c r="N240" s="1" t="s">
        <v>262</v>
      </c>
      <c r="O240" s="1" t="s">
        <v>417</v>
      </c>
      <c r="P240" s="6" t="s">
        <v>292</v>
      </c>
      <c r="Q240" s="20" t="str">
        <f>DEC2HEX(HEX2DEC(Table132[[#This Row],[Index]])/4+Table132[[#This Row],[PARAM_SUB]],4)</f>
        <v>311D</v>
      </c>
      <c r="R240" s="6" t="s">
        <v>363</v>
      </c>
      <c r="S240" s="1" t="s">
        <v>254</v>
      </c>
      <c r="T240" s="16">
        <v>0</v>
      </c>
      <c r="U240" s="6" t="s">
        <v>363</v>
      </c>
      <c r="X240" s="11">
        <f>IF(Table132[[#This Row],[template]]="","",VLOOKUP(Table132[[#This Row],[IP_NAME]],Table511175[],2,FALSE))</f>
        <v>1</v>
      </c>
      <c r="Y240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>01000</v>
      </c>
      <c r="Z240" s="14">
        <f>IF(Table132[[#This Row],[template]]="","",HEX2DEC(Table132[[#This Row],[Addr_Hex]]))</f>
        <v>12573</v>
      </c>
    </row>
    <row r="241" spans="2:26" x14ac:dyDescent="0.3">
      <c r="B241" s="4" t="s">
        <v>463</v>
      </c>
      <c r="C241" s="4" t="s">
        <v>233</v>
      </c>
      <c r="D241" s="9" t="str">
        <f>UPPER(Table132[[#This Row],[SIGNAL]])</f>
        <v>EV_PDPDELAY_30</v>
      </c>
      <c r="E241" s="9" t="str">
        <f>IF(Table132[[#This Row],[template]]="","","0x"&amp;Table132[[#This Row],[IP_Index]]&amp;DEC2HEX(Table132[[#This Row],[Addr_Dec]]*4,7))</f>
        <v>0x1000C478</v>
      </c>
      <c r="F241" s="9" t="str">
        <f>IF(Table132[[#This Row],[template]]="","",VLOOKUP(Table132[[#This Row],[template]],Table29153[],2,FALSE))</f>
        <v>asynParamInt32</v>
      </c>
      <c r="G241" s="18" t="str">
        <f>IF(Table132[[#This Row],[template]]="","","1")</f>
        <v>1</v>
      </c>
      <c r="H241" s="10"/>
      <c r="I241" s="13" t="str">
        <f>IF(Table132[[#This Row],[template]]="","","0x"&amp;Table132[[#This Row],[D_Index]]&amp;"000")</f>
        <v>0x01000000</v>
      </c>
      <c r="J241" s="18" t="s">
        <v>341</v>
      </c>
      <c r="K241" s="10">
        <v>0</v>
      </c>
      <c r="L241" s="11"/>
      <c r="M241" s="9" t="str">
        <f>IF(Table132[[#This Row],[template]]="","",Table132[[#This Row],[IP_NAME]]&amp;"_"&amp;Table132[[#This Row],[PARAM_NAME]]&amp;IF(Table132[[#This Row],[PARAM_SUB]]="","","_"&amp;Table132[[#This Row],[PARAM_SUB]]))</f>
        <v>ev_pdpDelay_30</v>
      </c>
      <c r="N241" s="1" t="s">
        <v>262</v>
      </c>
      <c r="O241" s="1" t="s">
        <v>417</v>
      </c>
      <c r="P241" s="6" t="s">
        <v>293</v>
      </c>
      <c r="Q241" s="20" t="str">
        <f>DEC2HEX(HEX2DEC(Table132[[#This Row],[Index]])/4+Table132[[#This Row],[PARAM_SUB]],4)</f>
        <v>311E</v>
      </c>
      <c r="R241" s="6" t="s">
        <v>363</v>
      </c>
      <c r="S241" s="1" t="s">
        <v>254</v>
      </c>
      <c r="T241" s="16">
        <v>0</v>
      </c>
      <c r="U241" s="6" t="s">
        <v>363</v>
      </c>
      <c r="X241" s="11">
        <f>IF(Table132[[#This Row],[template]]="","",VLOOKUP(Table132[[#This Row],[IP_NAME]],Table511175[],2,FALSE))</f>
        <v>1</v>
      </c>
      <c r="Y241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>01000</v>
      </c>
      <c r="Z241" s="14">
        <f>IF(Table132[[#This Row],[template]]="","",HEX2DEC(Table132[[#This Row],[Addr_Hex]]))</f>
        <v>12574</v>
      </c>
    </row>
    <row r="242" spans="2:26" x14ac:dyDescent="0.3">
      <c r="B242" s="4" t="s">
        <v>463</v>
      </c>
      <c r="C242" s="4" t="s">
        <v>233</v>
      </c>
      <c r="D242" s="9" t="str">
        <f>UPPER(Table132[[#This Row],[SIGNAL]])</f>
        <v>EV_PDPDELAY_31</v>
      </c>
      <c r="E242" s="9" t="str">
        <f>IF(Table132[[#This Row],[template]]="","","0x"&amp;Table132[[#This Row],[IP_Index]]&amp;DEC2HEX(Table132[[#This Row],[Addr_Dec]]*4,7))</f>
        <v>0x1000C47C</v>
      </c>
      <c r="F242" s="9" t="str">
        <f>IF(Table132[[#This Row],[template]]="","",VLOOKUP(Table132[[#This Row],[template]],Table29153[],2,FALSE))</f>
        <v>asynParamInt32</v>
      </c>
      <c r="G242" s="18" t="str">
        <f>IF(Table132[[#This Row],[template]]="","","1")</f>
        <v>1</v>
      </c>
      <c r="H242" s="10"/>
      <c r="I242" s="13" t="str">
        <f>IF(Table132[[#This Row],[template]]="","","0x"&amp;Table132[[#This Row],[D_Index]]&amp;"000")</f>
        <v>0x01000000</v>
      </c>
      <c r="J242" s="18" t="s">
        <v>341</v>
      </c>
      <c r="K242" s="10">
        <v>0</v>
      </c>
      <c r="L242" s="11"/>
      <c r="M242" s="9" t="str">
        <f>IF(Table132[[#This Row],[template]]="","",Table132[[#This Row],[IP_NAME]]&amp;"_"&amp;Table132[[#This Row],[PARAM_NAME]]&amp;IF(Table132[[#This Row],[PARAM_SUB]]="","","_"&amp;Table132[[#This Row],[PARAM_SUB]]))</f>
        <v>ev_pdpDelay_31</v>
      </c>
      <c r="N242" s="1" t="s">
        <v>262</v>
      </c>
      <c r="O242" s="1" t="s">
        <v>417</v>
      </c>
      <c r="P242" s="6" t="s">
        <v>294</v>
      </c>
      <c r="Q242" s="20" t="str">
        <f>DEC2HEX(HEX2DEC(Table132[[#This Row],[Index]])/4+Table132[[#This Row],[PARAM_SUB]],4)</f>
        <v>311F</v>
      </c>
      <c r="R242" s="6" t="s">
        <v>363</v>
      </c>
      <c r="S242" s="1" t="s">
        <v>254</v>
      </c>
      <c r="T242" s="16">
        <v>0</v>
      </c>
      <c r="U242" s="6" t="s">
        <v>363</v>
      </c>
      <c r="X242" s="11">
        <f>IF(Table132[[#This Row],[template]]="","",VLOOKUP(Table132[[#This Row],[IP_NAME]],Table511175[],2,FALSE))</f>
        <v>1</v>
      </c>
      <c r="Y242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>01000</v>
      </c>
      <c r="Z242" s="14">
        <f>IF(Table132[[#This Row],[template]]="","",HEX2DEC(Table132[[#This Row],[Addr_Hex]]))</f>
        <v>12575</v>
      </c>
    </row>
    <row r="243" spans="2:26" x14ac:dyDescent="0.3">
      <c r="B243" s="4"/>
      <c r="C243" s="4"/>
      <c r="D243" s="9" t="str">
        <f>UPPER(Table132[[#This Row],[SIGNAL]])</f>
        <v/>
      </c>
      <c r="E243" s="9" t="str">
        <f>IF(Table132[[#This Row],[template]]="","","0x"&amp;Table132[[#This Row],[IP_Index]]&amp;DEC2HEX(Table132[[#This Row],[Addr_Dec]]*4,7))</f>
        <v/>
      </c>
      <c r="F243" s="9" t="str">
        <f>IF(Table132[[#This Row],[template]]="","",VLOOKUP(Table132[[#This Row],[template]],Table29153[],2,FALSE))</f>
        <v/>
      </c>
      <c r="G243" s="18" t="str">
        <f>IF(Table132[[#This Row],[template]]="","","1")</f>
        <v/>
      </c>
      <c r="H243" s="10"/>
      <c r="I243" s="13" t="str">
        <f>IF(Table132[[#This Row],[template]]="","","0x"&amp;Table132[[#This Row],[D_Index]]&amp;"000")</f>
        <v/>
      </c>
      <c r="J243" s="18"/>
      <c r="K243" s="10"/>
      <c r="L243" s="11"/>
      <c r="M243" s="9" t="str">
        <f>IF(Table132[[#This Row],[template]]="","",Table132[[#This Row],[IP_NAME]]&amp;"_"&amp;Table132[[#This Row],[PARAM_NAME]]&amp;IF(Table132[[#This Row],[PARAM_SUB]]="","","_"&amp;Table132[[#This Row],[PARAM_SUB]]))</f>
        <v/>
      </c>
      <c r="P243" s="6"/>
      <c r="Q243" s="4"/>
      <c r="R243" s="6"/>
      <c r="T243" s="16"/>
      <c r="U243" s="6"/>
      <c r="X243" s="11" t="str">
        <f>IF(Table132[[#This Row],[template]]="","",VLOOKUP(Table132[[#This Row],[IP_NAME]],Table511175[],2,FALSE))</f>
        <v/>
      </c>
      <c r="Y243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/>
      </c>
      <c r="Z243" s="14" t="str">
        <f>IF(Table132[[#This Row],[template]]="","",HEX2DEC(Table132[[#This Row],[Addr_Hex]]))</f>
        <v/>
      </c>
    </row>
    <row r="244" spans="2:26" x14ac:dyDescent="0.3">
      <c r="B244" s="4" t="s">
        <v>464</v>
      </c>
      <c r="C244" s="4" t="s">
        <v>233</v>
      </c>
      <c r="D244" s="9" t="str">
        <f>UPPER(Table132[[#This Row],[SIGNAL]])</f>
        <v>EV_PDPWIDTH_0</v>
      </c>
      <c r="E244" s="9" t="str">
        <f>IF(Table132[[#This Row],[template]]="","","0x"&amp;Table132[[#This Row],[IP_Index]]&amp;DEC2HEX(Table132[[#This Row],[Addr_Dec]]*4,7))</f>
        <v>0x1000C480</v>
      </c>
      <c r="F244" s="9" t="str">
        <f>IF(Table132[[#This Row],[template]]="","",VLOOKUP(Table132[[#This Row],[template]],Table29153[],2,FALSE))</f>
        <v>asynParamInt32</v>
      </c>
      <c r="G244" s="18" t="str">
        <f>IF(Table132[[#This Row],[template]]="","","1")</f>
        <v>1</v>
      </c>
      <c r="H244" s="10"/>
      <c r="I244" s="13" t="str">
        <f>IF(Table132[[#This Row],[template]]="","","0x"&amp;Table132[[#This Row],[D_Index]]&amp;"000")</f>
        <v>0x01000000</v>
      </c>
      <c r="J244" s="18" t="s">
        <v>341</v>
      </c>
      <c r="K244" s="10">
        <v>0</v>
      </c>
      <c r="L244" s="11"/>
      <c r="M244" s="9" t="str">
        <f>IF(Table132[[#This Row],[template]]="","",Table132[[#This Row],[IP_NAME]]&amp;"_"&amp;Table132[[#This Row],[PARAM_NAME]]&amp;IF(Table132[[#This Row],[PARAM_SUB]]="","","_"&amp;Table132[[#This Row],[PARAM_SUB]]))</f>
        <v>ev_pdpWidth_0</v>
      </c>
      <c r="N244" s="1" t="s">
        <v>262</v>
      </c>
      <c r="O244" s="1" t="s">
        <v>418</v>
      </c>
      <c r="P244" s="6" t="s">
        <v>367</v>
      </c>
      <c r="Q244" s="20" t="str">
        <f>DEC2HEX(HEX2DEC(Table132[[#This Row],[Index]])/4+Table132[[#This Row],[PARAM_SUB]],4)</f>
        <v>3120</v>
      </c>
      <c r="R244" s="6" t="s">
        <v>363</v>
      </c>
      <c r="S244" s="1" t="s">
        <v>254</v>
      </c>
      <c r="T244" s="16">
        <v>0</v>
      </c>
      <c r="U244" s="6" t="s">
        <v>363</v>
      </c>
      <c r="X244" s="11">
        <f>IF(Table132[[#This Row],[template]]="","",VLOOKUP(Table132[[#This Row],[IP_NAME]],Table511175[],2,FALSE))</f>
        <v>1</v>
      </c>
      <c r="Y244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>01000</v>
      </c>
      <c r="Z244" s="14">
        <f>IF(Table132[[#This Row],[template]]="","",HEX2DEC(Table132[[#This Row],[Addr_Hex]]))</f>
        <v>12576</v>
      </c>
    </row>
    <row r="245" spans="2:26" x14ac:dyDescent="0.3">
      <c r="B245" s="4" t="s">
        <v>464</v>
      </c>
      <c r="C245" s="4" t="s">
        <v>233</v>
      </c>
      <c r="D245" s="9" t="str">
        <f>UPPER(Table132[[#This Row],[SIGNAL]])</f>
        <v>EV_PDPWIDTH_1</v>
      </c>
      <c r="E245" s="9" t="str">
        <f>IF(Table132[[#This Row],[template]]="","","0x"&amp;Table132[[#This Row],[IP_Index]]&amp;DEC2HEX(Table132[[#This Row],[Addr_Dec]]*4,7))</f>
        <v>0x1000C484</v>
      </c>
      <c r="F245" s="9" t="str">
        <f>IF(Table132[[#This Row],[template]]="","",VLOOKUP(Table132[[#This Row],[template]],Table29153[],2,FALSE))</f>
        <v>asynParamInt32</v>
      </c>
      <c r="G245" s="18" t="str">
        <f>IF(Table132[[#This Row],[template]]="","","1")</f>
        <v>1</v>
      </c>
      <c r="H245" s="10"/>
      <c r="I245" s="13" t="str">
        <f>IF(Table132[[#This Row],[template]]="","","0x"&amp;Table132[[#This Row],[D_Index]]&amp;"000")</f>
        <v>0x01000000</v>
      </c>
      <c r="J245" s="18" t="s">
        <v>341</v>
      </c>
      <c r="K245" s="10">
        <v>0</v>
      </c>
      <c r="L245" s="11"/>
      <c r="M245" s="9" t="str">
        <f>IF(Table132[[#This Row],[template]]="","",Table132[[#This Row],[IP_NAME]]&amp;"_"&amp;Table132[[#This Row],[PARAM_NAME]]&amp;IF(Table132[[#This Row],[PARAM_SUB]]="","","_"&amp;Table132[[#This Row],[PARAM_SUB]]))</f>
        <v>ev_pdpWidth_1</v>
      </c>
      <c r="N245" s="1" t="s">
        <v>262</v>
      </c>
      <c r="O245" s="1" t="s">
        <v>418</v>
      </c>
      <c r="P245" s="6" t="s">
        <v>271</v>
      </c>
      <c r="Q245" s="20" t="s">
        <v>419</v>
      </c>
      <c r="R245" s="6" t="s">
        <v>363</v>
      </c>
      <c r="S245" s="1" t="s">
        <v>254</v>
      </c>
      <c r="T245" s="16">
        <v>0</v>
      </c>
      <c r="U245" s="6" t="s">
        <v>363</v>
      </c>
      <c r="X245" s="11">
        <f>IF(Table132[[#This Row],[template]]="","",VLOOKUP(Table132[[#This Row],[IP_NAME]],Table511175[],2,FALSE))</f>
        <v>1</v>
      </c>
      <c r="Y245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>01000</v>
      </c>
      <c r="Z245" s="14">
        <f>IF(Table132[[#This Row],[template]]="","",HEX2DEC(Table132[[#This Row],[Addr_Hex]]))</f>
        <v>12577</v>
      </c>
    </row>
    <row r="246" spans="2:26" x14ac:dyDescent="0.3">
      <c r="B246" s="4" t="s">
        <v>464</v>
      </c>
      <c r="C246" s="4" t="s">
        <v>233</v>
      </c>
      <c r="D246" s="9" t="str">
        <f>UPPER(Table132[[#This Row],[SIGNAL]])</f>
        <v>EV_PDPWIDTH_2</v>
      </c>
      <c r="E246" s="9" t="str">
        <f>IF(Table132[[#This Row],[template]]="","","0x"&amp;Table132[[#This Row],[IP_Index]]&amp;DEC2HEX(Table132[[#This Row],[Addr_Dec]]*4,7))</f>
        <v>0x1000C488</v>
      </c>
      <c r="F246" s="9" t="str">
        <f>IF(Table132[[#This Row],[template]]="","",VLOOKUP(Table132[[#This Row],[template]],Table29153[],2,FALSE))</f>
        <v>asynParamInt32</v>
      </c>
      <c r="G246" s="18" t="str">
        <f>IF(Table132[[#This Row],[template]]="","","1")</f>
        <v>1</v>
      </c>
      <c r="H246" s="10"/>
      <c r="I246" s="13" t="str">
        <f>IF(Table132[[#This Row],[template]]="","","0x"&amp;Table132[[#This Row],[D_Index]]&amp;"000")</f>
        <v>0x01000000</v>
      </c>
      <c r="J246" s="18" t="s">
        <v>341</v>
      </c>
      <c r="K246" s="10">
        <v>0</v>
      </c>
      <c r="L246" s="11"/>
      <c r="M246" s="9" t="str">
        <f>IF(Table132[[#This Row],[template]]="","",Table132[[#This Row],[IP_NAME]]&amp;"_"&amp;Table132[[#This Row],[PARAM_NAME]]&amp;IF(Table132[[#This Row],[PARAM_SUB]]="","","_"&amp;Table132[[#This Row],[PARAM_SUB]]))</f>
        <v>ev_pdpWidth_2</v>
      </c>
      <c r="N246" s="1" t="s">
        <v>262</v>
      </c>
      <c r="O246" s="1" t="s">
        <v>418</v>
      </c>
      <c r="P246" s="6" t="s">
        <v>243</v>
      </c>
      <c r="Q246" s="20" t="s">
        <v>420</v>
      </c>
      <c r="R246" s="6" t="s">
        <v>363</v>
      </c>
      <c r="S246" s="1" t="s">
        <v>254</v>
      </c>
      <c r="T246" s="16">
        <v>0</v>
      </c>
      <c r="U246" s="6" t="s">
        <v>363</v>
      </c>
      <c r="X246" s="11">
        <f>IF(Table132[[#This Row],[template]]="","",VLOOKUP(Table132[[#This Row],[IP_NAME]],Table511175[],2,FALSE))</f>
        <v>1</v>
      </c>
      <c r="Y246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>01000</v>
      </c>
      <c r="Z246" s="14">
        <f>IF(Table132[[#This Row],[template]]="","",HEX2DEC(Table132[[#This Row],[Addr_Hex]]))</f>
        <v>12578</v>
      </c>
    </row>
    <row r="247" spans="2:26" x14ac:dyDescent="0.3">
      <c r="B247" s="4" t="s">
        <v>464</v>
      </c>
      <c r="C247" s="4" t="s">
        <v>233</v>
      </c>
      <c r="D247" s="9" t="str">
        <f>UPPER(Table132[[#This Row],[SIGNAL]])</f>
        <v>EV_PDPWIDTH_3</v>
      </c>
      <c r="E247" s="9" t="str">
        <f>IF(Table132[[#This Row],[template]]="","","0x"&amp;Table132[[#This Row],[IP_Index]]&amp;DEC2HEX(Table132[[#This Row],[Addr_Dec]]*4,7))</f>
        <v>0x1000C48C</v>
      </c>
      <c r="F247" s="9" t="str">
        <f>IF(Table132[[#This Row],[template]]="","",VLOOKUP(Table132[[#This Row],[template]],Table29153[],2,FALSE))</f>
        <v>asynParamInt32</v>
      </c>
      <c r="G247" s="18" t="str">
        <f>IF(Table132[[#This Row],[template]]="","","1")</f>
        <v>1</v>
      </c>
      <c r="H247" s="10"/>
      <c r="I247" s="13" t="str">
        <f>IF(Table132[[#This Row],[template]]="","","0x"&amp;Table132[[#This Row],[D_Index]]&amp;"000")</f>
        <v>0x01000000</v>
      </c>
      <c r="J247" s="18" t="s">
        <v>341</v>
      </c>
      <c r="K247" s="10">
        <v>0</v>
      </c>
      <c r="L247" s="11"/>
      <c r="M247" s="9" t="str">
        <f>IF(Table132[[#This Row],[template]]="","",Table132[[#This Row],[IP_NAME]]&amp;"_"&amp;Table132[[#This Row],[PARAM_NAME]]&amp;IF(Table132[[#This Row],[PARAM_SUB]]="","","_"&amp;Table132[[#This Row],[PARAM_SUB]]))</f>
        <v>ev_pdpWidth_3</v>
      </c>
      <c r="N247" s="1" t="s">
        <v>262</v>
      </c>
      <c r="O247" s="1" t="s">
        <v>418</v>
      </c>
      <c r="P247" s="6" t="s">
        <v>244</v>
      </c>
      <c r="Q247" s="20" t="s">
        <v>421</v>
      </c>
      <c r="R247" s="6" t="s">
        <v>363</v>
      </c>
      <c r="S247" s="1" t="s">
        <v>254</v>
      </c>
      <c r="T247" s="16">
        <v>0</v>
      </c>
      <c r="U247" s="6" t="s">
        <v>363</v>
      </c>
      <c r="X247" s="11">
        <f>IF(Table132[[#This Row],[template]]="","",VLOOKUP(Table132[[#This Row],[IP_NAME]],Table511175[],2,FALSE))</f>
        <v>1</v>
      </c>
      <c r="Y247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>01000</v>
      </c>
      <c r="Z247" s="14">
        <f>IF(Table132[[#This Row],[template]]="","",HEX2DEC(Table132[[#This Row],[Addr_Hex]]))</f>
        <v>12579</v>
      </c>
    </row>
    <row r="248" spans="2:26" x14ac:dyDescent="0.3">
      <c r="B248" s="4" t="s">
        <v>464</v>
      </c>
      <c r="C248" s="4" t="s">
        <v>233</v>
      </c>
      <c r="D248" s="9" t="str">
        <f>UPPER(Table132[[#This Row],[SIGNAL]])</f>
        <v>EV_PDPWIDTH_4</v>
      </c>
      <c r="E248" s="9" t="str">
        <f>IF(Table132[[#This Row],[template]]="","","0x"&amp;Table132[[#This Row],[IP_Index]]&amp;DEC2HEX(Table132[[#This Row],[Addr_Dec]]*4,7))</f>
        <v>0x1000C490</v>
      </c>
      <c r="F248" s="9" t="str">
        <f>IF(Table132[[#This Row],[template]]="","",VLOOKUP(Table132[[#This Row],[template]],Table29153[],2,FALSE))</f>
        <v>asynParamInt32</v>
      </c>
      <c r="G248" s="18" t="str">
        <f>IF(Table132[[#This Row],[template]]="","","1")</f>
        <v>1</v>
      </c>
      <c r="H248" s="10"/>
      <c r="I248" s="13" t="str">
        <f>IF(Table132[[#This Row],[template]]="","","0x"&amp;Table132[[#This Row],[D_Index]]&amp;"000")</f>
        <v>0x01000000</v>
      </c>
      <c r="J248" s="18" t="s">
        <v>341</v>
      </c>
      <c r="K248" s="10">
        <v>0</v>
      </c>
      <c r="L248" s="11"/>
      <c r="M248" s="9" t="str">
        <f>IF(Table132[[#This Row],[template]]="","",Table132[[#This Row],[IP_NAME]]&amp;"_"&amp;Table132[[#This Row],[PARAM_NAME]]&amp;IF(Table132[[#This Row],[PARAM_SUB]]="","","_"&amp;Table132[[#This Row],[PARAM_SUB]]))</f>
        <v>ev_pdpWidth_4</v>
      </c>
      <c r="N248" s="1" t="s">
        <v>262</v>
      </c>
      <c r="O248" s="1" t="s">
        <v>418</v>
      </c>
      <c r="P248" s="6" t="s">
        <v>245</v>
      </c>
      <c r="Q248" s="20" t="s">
        <v>422</v>
      </c>
      <c r="R248" s="6" t="s">
        <v>363</v>
      </c>
      <c r="S248" s="1" t="s">
        <v>254</v>
      </c>
      <c r="T248" s="16">
        <v>0</v>
      </c>
      <c r="U248" s="6" t="s">
        <v>363</v>
      </c>
      <c r="X248" s="11">
        <f>IF(Table132[[#This Row],[template]]="","",VLOOKUP(Table132[[#This Row],[IP_NAME]],Table511175[],2,FALSE))</f>
        <v>1</v>
      </c>
      <c r="Y248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>01000</v>
      </c>
      <c r="Z248" s="14">
        <f>IF(Table132[[#This Row],[template]]="","",HEX2DEC(Table132[[#This Row],[Addr_Hex]]))</f>
        <v>12580</v>
      </c>
    </row>
    <row r="249" spans="2:26" x14ac:dyDescent="0.3">
      <c r="B249" s="4" t="s">
        <v>464</v>
      </c>
      <c r="C249" s="4" t="s">
        <v>233</v>
      </c>
      <c r="D249" s="9" t="str">
        <f>UPPER(Table132[[#This Row],[SIGNAL]])</f>
        <v>EV_PDPWIDTH_5</v>
      </c>
      <c r="E249" s="9" t="str">
        <f>IF(Table132[[#This Row],[template]]="","","0x"&amp;Table132[[#This Row],[IP_Index]]&amp;DEC2HEX(Table132[[#This Row],[Addr_Dec]]*4,7))</f>
        <v>0x1000C494</v>
      </c>
      <c r="F249" s="9" t="str">
        <f>IF(Table132[[#This Row],[template]]="","",VLOOKUP(Table132[[#This Row],[template]],Table29153[],2,FALSE))</f>
        <v>asynParamInt32</v>
      </c>
      <c r="G249" s="18" t="str">
        <f>IF(Table132[[#This Row],[template]]="","","1")</f>
        <v>1</v>
      </c>
      <c r="H249" s="10"/>
      <c r="I249" s="13" t="str">
        <f>IF(Table132[[#This Row],[template]]="","","0x"&amp;Table132[[#This Row],[D_Index]]&amp;"000")</f>
        <v>0x01000000</v>
      </c>
      <c r="J249" s="18" t="s">
        <v>341</v>
      </c>
      <c r="K249" s="10">
        <v>0</v>
      </c>
      <c r="L249" s="11"/>
      <c r="M249" s="9" t="str">
        <f>IF(Table132[[#This Row],[template]]="","",Table132[[#This Row],[IP_NAME]]&amp;"_"&amp;Table132[[#This Row],[PARAM_NAME]]&amp;IF(Table132[[#This Row],[PARAM_SUB]]="","","_"&amp;Table132[[#This Row],[PARAM_SUB]]))</f>
        <v>ev_pdpWidth_5</v>
      </c>
      <c r="N249" s="1" t="s">
        <v>262</v>
      </c>
      <c r="O249" s="1" t="s">
        <v>418</v>
      </c>
      <c r="P249" s="6" t="s">
        <v>246</v>
      </c>
      <c r="Q249" s="20" t="s">
        <v>423</v>
      </c>
      <c r="R249" s="6" t="s">
        <v>363</v>
      </c>
      <c r="S249" s="1" t="s">
        <v>254</v>
      </c>
      <c r="T249" s="16">
        <v>0</v>
      </c>
      <c r="U249" s="6" t="s">
        <v>363</v>
      </c>
      <c r="X249" s="11">
        <f>IF(Table132[[#This Row],[template]]="","",VLOOKUP(Table132[[#This Row],[IP_NAME]],Table511175[],2,FALSE))</f>
        <v>1</v>
      </c>
      <c r="Y249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>01000</v>
      </c>
      <c r="Z249" s="14">
        <f>IF(Table132[[#This Row],[template]]="","",HEX2DEC(Table132[[#This Row],[Addr_Hex]]))</f>
        <v>12581</v>
      </c>
    </row>
    <row r="250" spans="2:26" x14ac:dyDescent="0.3">
      <c r="B250" s="4" t="s">
        <v>464</v>
      </c>
      <c r="C250" s="4" t="s">
        <v>233</v>
      </c>
      <c r="D250" s="9" t="str">
        <f>UPPER(Table132[[#This Row],[SIGNAL]])</f>
        <v>EV_PDPWIDTH_6</v>
      </c>
      <c r="E250" s="9" t="str">
        <f>IF(Table132[[#This Row],[template]]="","","0x"&amp;Table132[[#This Row],[IP_Index]]&amp;DEC2HEX(Table132[[#This Row],[Addr_Dec]]*4,7))</f>
        <v>0x1000C498</v>
      </c>
      <c r="F250" s="9" t="str">
        <f>IF(Table132[[#This Row],[template]]="","",VLOOKUP(Table132[[#This Row],[template]],Table29153[],2,FALSE))</f>
        <v>asynParamInt32</v>
      </c>
      <c r="G250" s="18" t="str">
        <f>IF(Table132[[#This Row],[template]]="","","1")</f>
        <v>1</v>
      </c>
      <c r="H250" s="10"/>
      <c r="I250" s="13" t="str">
        <f>IF(Table132[[#This Row],[template]]="","","0x"&amp;Table132[[#This Row],[D_Index]]&amp;"000")</f>
        <v>0x01000000</v>
      </c>
      <c r="J250" s="18" t="s">
        <v>341</v>
      </c>
      <c r="K250" s="10">
        <v>0</v>
      </c>
      <c r="L250" s="11"/>
      <c r="M250" s="9" t="str">
        <f>IF(Table132[[#This Row],[template]]="","",Table132[[#This Row],[IP_NAME]]&amp;"_"&amp;Table132[[#This Row],[PARAM_NAME]]&amp;IF(Table132[[#This Row],[PARAM_SUB]]="","","_"&amp;Table132[[#This Row],[PARAM_SUB]]))</f>
        <v>ev_pdpWidth_6</v>
      </c>
      <c r="N250" s="1" t="s">
        <v>262</v>
      </c>
      <c r="O250" s="1" t="s">
        <v>418</v>
      </c>
      <c r="P250" s="6" t="s">
        <v>247</v>
      </c>
      <c r="Q250" s="20" t="s">
        <v>424</v>
      </c>
      <c r="R250" s="6" t="s">
        <v>363</v>
      </c>
      <c r="S250" s="1" t="s">
        <v>254</v>
      </c>
      <c r="T250" s="16">
        <v>0</v>
      </c>
      <c r="U250" s="6" t="s">
        <v>363</v>
      </c>
      <c r="X250" s="11">
        <f>IF(Table132[[#This Row],[template]]="","",VLOOKUP(Table132[[#This Row],[IP_NAME]],Table511175[],2,FALSE))</f>
        <v>1</v>
      </c>
      <c r="Y250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>01000</v>
      </c>
      <c r="Z250" s="14">
        <f>IF(Table132[[#This Row],[template]]="","",HEX2DEC(Table132[[#This Row],[Addr_Hex]]))</f>
        <v>12582</v>
      </c>
    </row>
    <row r="251" spans="2:26" x14ac:dyDescent="0.3">
      <c r="B251" s="4" t="s">
        <v>464</v>
      </c>
      <c r="C251" s="4" t="s">
        <v>233</v>
      </c>
      <c r="D251" s="9" t="str">
        <f>UPPER(Table132[[#This Row],[SIGNAL]])</f>
        <v>EV_PDPWIDTH_7</v>
      </c>
      <c r="E251" s="9" t="str">
        <f>IF(Table132[[#This Row],[template]]="","","0x"&amp;Table132[[#This Row],[IP_Index]]&amp;DEC2HEX(Table132[[#This Row],[Addr_Dec]]*4,7))</f>
        <v>0x1000C49C</v>
      </c>
      <c r="F251" s="9" t="str">
        <f>IF(Table132[[#This Row],[template]]="","",VLOOKUP(Table132[[#This Row],[template]],Table29153[],2,FALSE))</f>
        <v>asynParamInt32</v>
      </c>
      <c r="G251" s="18" t="str">
        <f>IF(Table132[[#This Row],[template]]="","","1")</f>
        <v>1</v>
      </c>
      <c r="H251" s="10"/>
      <c r="I251" s="13" t="str">
        <f>IF(Table132[[#This Row],[template]]="","","0x"&amp;Table132[[#This Row],[D_Index]]&amp;"000")</f>
        <v>0x01000000</v>
      </c>
      <c r="J251" s="18" t="s">
        <v>341</v>
      </c>
      <c r="K251" s="10">
        <v>0</v>
      </c>
      <c r="L251" s="11"/>
      <c r="M251" s="9" t="str">
        <f>IF(Table132[[#This Row],[template]]="","",Table132[[#This Row],[IP_NAME]]&amp;"_"&amp;Table132[[#This Row],[PARAM_NAME]]&amp;IF(Table132[[#This Row],[PARAM_SUB]]="","","_"&amp;Table132[[#This Row],[PARAM_SUB]]))</f>
        <v>ev_pdpWidth_7</v>
      </c>
      <c r="N251" s="1" t="s">
        <v>262</v>
      </c>
      <c r="O251" s="1" t="s">
        <v>418</v>
      </c>
      <c r="P251" s="6" t="s">
        <v>248</v>
      </c>
      <c r="Q251" s="20" t="s">
        <v>425</v>
      </c>
      <c r="R251" s="6" t="s">
        <v>363</v>
      </c>
      <c r="S251" s="1" t="s">
        <v>254</v>
      </c>
      <c r="T251" s="16">
        <v>0</v>
      </c>
      <c r="U251" s="6" t="s">
        <v>363</v>
      </c>
      <c r="X251" s="11">
        <f>IF(Table132[[#This Row],[template]]="","",VLOOKUP(Table132[[#This Row],[IP_NAME]],Table511175[],2,FALSE))</f>
        <v>1</v>
      </c>
      <c r="Y251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>01000</v>
      </c>
      <c r="Z251" s="14">
        <f>IF(Table132[[#This Row],[template]]="","",HEX2DEC(Table132[[#This Row],[Addr_Hex]]))</f>
        <v>12583</v>
      </c>
    </row>
    <row r="252" spans="2:26" x14ac:dyDescent="0.3">
      <c r="B252" s="4" t="s">
        <v>464</v>
      </c>
      <c r="C252" s="4" t="s">
        <v>233</v>
      </c>
      <c r="D252" s="9" t="str">
        <f>UPPER(Table132[[#This Row],[SIGNAL]])</f>
        <v>EV_PDPWIDTH_8</v>
      </c>
      <c r="E252" s="9" t="str">
        <f>IF(Table132[[#This Row],[template]]="","","0x"&amp;Table132[[#This Row],[IP_Index]]&amp;DEC2HEX(Table132[[#This Row],[Addr_Dec]]*4,7))</f>
        <v>0x1000C4A0</v>
      </c>
      <c r="F252" s="9" t="str">
        <f>IF(Table132[[#This Row],[template]]="","",VLOOKUP(Table132[[#This Row],[template]],Table29153[],2,FALSE))</f>
        <v>asynParamInt32</v>
      </c>
      <c r="G252" s="18" t="str">
        <f>IF(Table132[[#This Row],[template]]="","","1")</f>
        <v>1</v>
      </c>
      <c r="H252" s="10"/>
      <c r="I252" s="13" t="str">
        <f>IF(Table132[[#This Row],[template]]="","","0x"&amp;Table132[[#This Row],[D_Index]]&amp;"000")</f>
        <v>0x01000000</v>
      </c>
      <c r="J252" s="18" t="s">
        <v>341</v>
      </c>
      <c r="K252" s="10">
        <v>0</v>
      </c>
      <c r="L252" s="11"/>
      <c r="M252" s="9" t="str">
        <f>IF(Table132[[#This Row],[template]]="","",Table132[[#This Row],[IP_NAME]]&amp;"_"&amp;Table132[[#This Row],[PARAM_NAME]]&amp;IF(Table132[[#This Row],[PARAM_SUB]]="","","_"&amp;Table132[[#This Row],[PARAM_SUB]]))</f>
        <v>ev_pdpWidth_8</v>
      </c>
      <c r="N252" s="1" t="s">
        <v>262</v>
      </c>
      <c r="O252" s="1" t="s">
        <v>418</v>
      </c>
      <c r="P252" s="6" t="s">
        <v>249</v>
      </c>
      <c r="Q252" s="20" t="s">
        <v>426</v>
      </c>
      <c r="R252" s="6" t="s">
        <v>363</v>
      </c>
      <c r="S252" s="1" t="s">
        <v>254</v>
      </c>
      <c r="T252" s="16">
        <v>0</v>
      </c>
      <c r="U252" s="6" t="s">
        <v>363</v>
      </c>
      <c r="X252" s="11">
        <f>IF(Table132[[#This Row],[template]]="","",VLOOKUP(Table132[[#This Row],[IP_NAME]],Table511175[],2,FALSE))</f>
        <v>1</v>
      </c>
      <c r="Y252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>01000</v>
      </c>
      <c r="Z252" s="14">
        <f>IF(Table132[[#This Row],[template]]="","",HEX2DEC(Table132[[#This Row],[Addr_Hex]]))</f>
        <v>12584</v>
      </c>
    </row>
    <row r="253" spans="2:26" x14ac:dyDescent="0.3">
      <c r="B253" s="4" t="s">
        <v>464</v>
      </c>
      <c r="C253" s="4" t="s">
        <v>233</v>
      </c>
      <c r="D253" s="9" t="str">
        <f>UPPER(Table132[[#This Row],[SIGNAL]])</f>
        <v>EV_PDPWIDTH_9</v>
      </c>
      <c r="E253" s="9" t="str">
        <f>IF(Table132[[#This Row],[template]]="","","0x"&amp;Table132[[#This Row],[IP_Index]]&amp;DEC2HEX(Table132[[#This Row],[Addr_Dec]]*4,7))</f>
        <v>0x1000C4A4</v>
      </c>
      <c r="F253" s="9" t="str">
        <f>IF(Table132[[#This Row],[template]]="","",VLOOKUP(Table132[[#This Row],[template]],Table29153[],2,FALSE))</f>
        <v>asynParamInt32</v>
      </c>
      <c r="G253" s="18" t="str">
        <f>IF(Table132[[#This Row],[template]]="","","1")</f>
        <v>1</v>
      </c>
      <c r="H253" s="10"/>
      <c r="I253" s="13" t="str">
        <f>IF(Table132[[#This Row],[template]]="","","0x"&amp;Table132[[#This Row],[D_Index]]&amp;"000")</f>
        <v>0x01000000</v>
      </c>
      <c r="J253" s="18" t="s">
        <v>341</v>
      </c>
      <c r="K253" s="10">
        <v>0</v>
      </c>
      <c r="L253" s="11"/>
      <c r="M253" s="9" t="str">
        <f>IF(Table132[[#This Row],[template]]="","",Table132[[#This Row],[IP_NAME]]&amp;"_"&amp;Table132[[#This Row],[PARAM_NAME]]&amp;IF(Table132[[#This Row],[PARAM_SUB]]="","","_"&amp;Table132[[#This Row],[PARAM_SUB]]))</f>
        <v>ev_pdpWidth_9</v>
      </c>
      <c r="N253" s="1" t="s">
        <v>262</v>
      </c>
      <c r="O253" s="1" t="s">
        <v>418</v>
      </c>
      <c r="P253" s="6" t="s">
        <v>250</v>
      </c>
      <c r="Q253" s="20" t="s">
        <v>427</v>
      </c>
      <c r="R253" s="6" t="s">
        <v>363</v>
      </c>
      <c r="S253" s="1" t="s">
        <v>254</v>
      </c>
      <c r="T253" s="16">
        <v>0</v>
      </c>
      <c r="U253" s="6" t="s">
        <v>363</v>
      </c>
      <c r="X253" s="11">
        <f>IF(Table132[[#This Row],[template]]="","",VLOOKUP(Table132[[#This Row],[IP_NAME]],Table511175[],2,FALSE))</f>
        <v>1</v>
      </c>
      <c r="Y253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>01000</v>
      </c>
      <c r="Z253" s="14">
        <f>IF(Table132[[#This Row],[template]]="","",HEX2DEC(Table132[[#This Row],[Addr_Hex]]))</f>
        <v>12585</v>
      </c>
    </row>
    <row r="254" spans="2:26" x14ac:dyDescent="0.3">
      <c r="B254" s="4" t="s">
        <v>464</v>
      </c>
      <c r="C254" s="4" t="s">
        <v>233</v>
      </c>
      <c r="D254" s="9" t="str">
        <f>UPPER(Table132[[#This Row],[SIGNAL]])</f>
        <v>EV_PDPWIDTH_10</v>
      </c>
      <c r="E254" s="9" t="str">
        <f>IF(Table132[[#This Row],[template]]="","","0x"&amp;Table132[[#This Row],[IP_Index]]&amp;DEC2HEX(Table132[[#This Row],[Addr_Dec]]*4,7))</f>
        <v>0x1000C4A8</v>
      </c>
      <c r="F254" s="9" t="str">
        <f>IF(Table132[[#This Row],[template]]="","",VLOOKUP(Table132[[#This Row],[template]],Table29153[],2,FALSE))</f>
        <v>asynParamInt32</v>
      </c>
      <c r="G254" s="18" t="str">
        <f>IF(Table132[[#This Row],[template]]="","","1")</f>
        <v>1</v>
      </c>
      <c r="H254" s="10"/>
      <c r="I254" s="13" t="str">
        <f>IF(Table132[[#This Row],[template]]="","","0x"&amp;Table132[[#This Row],[D_Index]]&amp;"000")</f>
        <v>0x01000000</v>
      </c>
      <c r="J254" s="18" t="s">
        <v>341</v>
      </c>
      <c r="K254" s="10">
        <v>0</v>
      </c>
      <c r="L254" s="11"/>
      <c r="M254" s="9" t="str">
        <f>IF(Table132[[#This Row],[template]]="","",Table132[[#This Row],[IP_NAME]]&amp;"_"&amp;Table132[[#This Row],[PARAM_NAME]]&amp;IF(Table132[[#This Row],[PARAM_SUB]]="","","_"&amp;Table132[[#This Row],[PARAM_SUB]]))</f>
        <v>ev_pdpWidth_10</v>
      </c>
      <c r="N254" s="1" t="s">
        <v>262</v>
      </c>
      <c r="O254" s="1" t="s">
        <v>418</v>
      </c>
      <c r="P254" s="6" t="s">
        <v>273</v>
      </c>
      <c r="Q254" s="20" t="s">
        <v>428</v>
      </c>
      <c r="R254" s="6" t="s">
        <v>363</v>
      </c>
      <c r="S254" s="1" t="s">
        <v>254</v>
      </c>
      <c r="T254" s="16">
        <v>0</v>
      </c>
      <c r="U254" s="6" t="s">
        <v>363</v>
      </c>
      <c r="X254" s="11">
        <f>IF(Table132[[#This Row],[template]]="","",VLOOKUP(Table132[[#This Row],[IP_NAME]],Table511175[],2,FALSE))</f>
        <v>1</v>
      </c>
      <c r="Y254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>01000</v>
      </c>
      <c r="Z254" s="14">
        <f>IF(Table132[[#This Row],[template]]="","",HEX2DEC(Table132[[#This Row],[Addr_Hex]]))</f>
        <v>12586</v>
      </c>
    </row>
    <row r="255" spans="2:26" x14ac:dyDescent="0.3">
      <c r="B255" s="4" t="s">
        <v>464</v>
      </c>
      <c r="C255" s="4" t="s">
        <v>233</v>
      </c>
      <c r="D255" s="9" t="str">
        <f>UPPER(Table132[[#This Row],[SIGNAL]])</f>
        <v>EV_PDPWIDTH_11</v>
      </c>
      <c r="E255" s="9" t="str">
        <f>IF(Table132[[#This Row],[template]]="","","0x"&amp;Table132[[#This Row],[IP_Index]]&amp;DEC2HEX(Table132[[#This Row],[Addr_Dec]]*4,7))</f>
        <v>0x1000C4AC</v>
      </c>
      <c r="F255" s="9" t="str">
        <f>IF(Table132[[#This Row],[template]]="","",VLOOKUP(Table132[[#This Row],[template]],Table29153[],2,FALSE))</f>
        <v>asynParamInt32</v>
      </c>
      <c r="G255" s="18" t="str">
        <f>IF(Table132[[#This Row],[template]]="","","1")</f>
        <v>1</v>
      </c>
      <c r="H255" s="10"/>
      <c r="I255" s="13" t="str">
        <f>IF(Table132[[#This Row],[template]]="","","0x"&amp;Table132[[#This Row],[D_Index]]&amp;"000")</f>
        <v>0x01000000</v>
      </c>
      <c r="J255" s="18" t="s">
        <v>341</v>
      </c>
      <c r="K255" s="10">
        <v>0</v>
      </c>
      <c r="L255" s="11"/>
      <c r="M255" s="9" t="str">
        <f>IF(Table132[[#This Row],[template]]="","",Table132[[#This Row],[IP_NAME]]&amp;"_"&amp;Table132[[#This Row],[PARAM_NAME]]&amp;IF(Table132[[#This Row],[PARAM_SUB]]="","","_"&amp;Table132[[#This Row],[PARAM_SUB]]))</f>
        <v>ev_pdpWidth_11</v>
      </c>
      <c r="N255" s="1" t="s">
        <v>262</v>
      </c>
      <c r="O255" s="1" t="s">
        <v>418</v>
      </c>
      <c r="P255" s="6" t="s">
        <v>274</v>
      </c>
      <c r="Q255" s="20" t="s">
        <v>429</v>
      </c>
      <c r="R255" s="6" t="s">
        <v>363</v>
      </c>
      <c r="S255" s="1" t="s">
        <v>254</v>
      </c>
      <c r="T255" s="16">
        <v>0</v>
      </c>
      <c r="U255" s="6" t="s">
        <v>363</v>
      </c>
      <c r="X255" s="11">
        <f>IF(Table132[[#This Row],[template]]="","",VLOOKUP(Table132[[#This Row],[IP_NAME]],Table511175[],2,FALSE))</f>
        <v>1</v>
      </c>
      <c r="Y255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>01000</v>
      </c>
      <c r="Z255" s="14">
        <f>IF(Table132[[#This Row],[template]]="","",HEX2DEC(Table132[[#This Row],[Addr_Hex]]))</f>
        <v>12587</v>
      </c>
    </row>
    <row r="256" spans="2:26" x14ac:dyDescent="0.3">
      <c r="B256" s="4" t="s">
        <v>464</v>
      </c>
      <c r="C256" s="4" t="s">
        <v>233</v>
      </c>
      <c r="D256" s="9" t="str">
        <f>UPPER(Table132[[#This Row],[SIGNAL]])</f>
        <v>EV_PDPWIDTH_12</v>
      </c>
      <c r="E256" s="9" t="str">
        <f>IF(Table132[[#This Row],[template]]="","","0x"&amp;Table132[[#This Row],[IP_Index]]&amp;DEC2HEX(Table132[[#This Row],[Addr_Dec]]*4,7))</f>
        <v>0x1000C4B0</v>
      </c>
      <c r="F256" s="9" t="str">
        <f>IF(Table132[[#This Row],[template]]="","",VLOOKUP(Table132[[#This Row],[template]],Table29153[],2,FALSE))</f>
        <v>asynParamInt32</v>
      </c>
      <c r="G256" s="18" t="str">
        <f>IF(Table132[[#This Row],[template]]="","","1")</f>
        <v>1</v>
      </c>
      <c r="H256" s="10"/>
      <c r="I256" s="13" t="str">
        <f>IF(Table132[[#This Row],[template]]="","","0x"&amp;Table132[[#This Row],[D_Index]]&amp;"000")</f>
        <v>0x01000000</v>
      </c>
      <c r="J256" s="18" t="s">
        <v>341</v>
      </c>
      <c r="K256" s="10">
        <v>0</v>
      </c>
      <c r="L256" s="11"/>
      <c r="M256" s="9" t="str">
        <f>IF(Table132[[#This Row],[template]]="","",Table132[[#This Row],[IP_NAME]]&amp;"_"&amp;Table132[[#This Row],[PARAM_NAME]]&amp;IF(Table132[[#This Row],[PARAM_SUB]]="","","_"&amp;Table132[[#This Row],[PARAM_SUB]]))</f>
        <v>ev_pdpWidth_12</v>
      </c>
      <c r="N256" s="1" t="s">
        <v>262</v>
      </c>
      <c r="O256" s="1" t="s">
        <v>418</v>
      </c>
      <c r="P256" s="6" t="s">
        <v>275</v>
      </c>
      <c r="Q256" s="20" t="s">
        <v>430</v>
      </c>
      <c r="R256" s="6" t="s">
        <v>363</v>
      </c>
      <c r="S256" s="1" t="s">
        <v>254</v>
      </c>
      <c r="T256" s="16">
        <v>0</v>
      </c>
      <c r="U256" s="6" t="s">
        <v>363</v>
      </c>
      <c r="X256" s="11">
        <f>IF(Table132[[#This Row],[template]]="","",VLOOKUP(Table132[[#This Row],[IP_NAME]],Table511175[],2,FALSE))</f>
        <v>1</v>
      </c>
      <c r="Y256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>01000</v>
      </c>
      <c r="Z256" s="14">
        <f>IF(Table132[[#This Row],[template]]="","",HEX2DEC(Table132[[#This Row],[Addr_Hex]]))</f>
        <v>12588</v>
      </c>
    </row>
    <row r="257" spans="2:26" x14ac:dyDescent="0.3">
      <c r="B257" s="4" t="s">
        <v>464</v>
      </c>
      <c r="C257" s="4" t="s">
        <v>233</v>
      </c>
      <c r="D257" s="9" t="str">
        <f>UPPER(Table132[[#This Row],[SIGNAL]])</f>
        <v>EV_PDPWIDTH_13</v>
      </c>
      <c r="E257" s="9" t="str">
        <f>IF(Table132[[#This Row],[template]]="","","0x"&amp;Table132[[#This Row],[IP_Index]]&amp;DEC2HEX(Table132[[#This Row],[Addr_Dec]]*4,7))</f>
        <v>0x1000C4B4</v>
      </c>
      <c r="F257" s="9" t="str">
        <f>IF(Table132[[#This Row],[template]]="","",VLOOKUP(Table132[[#This Row],[template]],Table29153[],2,FALSE))</f>
        <v>asynParamInt32</v>
      </c>
      <c r="G257" s="18" t="str">
        <f>IF(Table132[[#This Row],[template]]="","","1")</f>
        <v>1</v>
      </c>
      <c r="H257" s="10"/>
      <c r="I257" s="13" t="str">
        <f>IF(Table132[[#This Row],[template]]="","","0x"&amp;Table132[[#This Row],[D_Index]]&amp;"000")</f>
        <v>0x01000000</v>
      </c>
      <c r="J257" s="18" t="s">
        <v>341</v>
      </c>
      <c r="K257" s="10">
        <v>0</v>
      </c>
      <c r="L257" s="11"/>
      <c r="M257" s="9" t="str">
        <f>IF(Table132[[#This Row],[template]]="","",Table132[[#This Row],[IP_NAME]]&amp;"_"&amp;Table132[[#This Row],[PARAM_NAME]]&amp;IF(Table132[[#This Row],[PARAM_SUB]]="","","_"&amp;Table132[[#This Row],[PARAM_SUB]]))</f>
        <v>ev_pdpWidth_13</v>
      </c>
      <c r="N257" s="1" t="s">
        <v>262</v>
      </c>
      <c r="O257" s="1" t="s">
        <v>418</v>
      </c>
      <c r="P257" s="6" t="s">
        <v>276</v>
      </c>
      <c r="Q257" s="20" t="s">
        <v>431</v>
      </c>
      <c r="R257" s="6" t="s">
        <v>363</v>
      </c>
      <c r="S257" s="1" t="s">
        <v>254</v>
      </c>
      <c r="T257" s="16">
        <v>0</v>
      </c>
      <c r="U257" s="6" t="s">
        <v>363</v>
      </c>
      <c r="X257" s="11">
        <f>IF(Table132[[#This Row],[template]]="","",VLOOKUP(Table132[[#This Row],[IP_NAME]],Table511175[],2,FALSE))</f>
        <v>1</v>
      </c>
      <c r="Y257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>01000</v>
      </c>
      <c r="Z257" s="14">
        <f>IF(Table132[[#This Row],[template]]="","",HEX2DEC(Table132[[#This Row],[Addr_Hex]]))</f>
        <v>12589</v>
      </c>
    </row>
    <row r="258" spans="2:26" x14ac:dyDescent="0.3">
      <c r="B258" s="4" t="s">
        <v>464</v>
      </c>
      <c r="C258" s="4" t="s">
        <v>233</v>
      </c>
      <c r="D258" s="9" t="str">
        <f>UPPER(Table132[[#This Row],[SIGNAL]])</f>
        <v>EV_PDPWIDTH_14</v>
      </c>
      <c r="E258" s="9" t="str">
        <f>IF(Table132[[#This Row],[template]]="","","0x"&amp;Table132[[#This Row],[IP_Index]]&amp;DEC2HEX(Table132[[#This Row],[Addr_Dec]]*4,7))</f>
        <v>0x1000C4B8</v>
      </c>
      <c r="F258" s="9" t="str">
        <f>IF(Table132[[#This Row],[template]]="","",VLOOKUP(Table132[[#This Row],[template]],Table29153[],2,FALSE))</f>
        <v>asynParamInt32</v>
      </c>
      <c r="G258" s="18" t="str">
        <f>IF(Table132[[#This Row],[template]]="","","1")</f>
        <v>1</v>
      </c>
      <c r="H258" s="10"/>
      <c r="I258" s="13" t="str">
        <f>IF(Table132[[#This Row],[template]]="","","0x"&amp;Table132[[#This Row],[D_Index]]&amp;"000")</f>
        <v>0x01000000</v>
      </c>
      <c r="J258" s="18" t="s">
        <v>341</v>
      </c>
      <c r="K258" s="10">
        <v>0</v>
      </c>
      <c r="L258" s="11"/>
      <c r="M258" s="9" t="str">
        <f>IF(Table132[[#This Row],[template]]="","",Table132[[#This Row],[IP_NAME]]&amp;"_"&amp;Table132[[#This Row],[PARAM_NAME]]&amp;IF(Table132[[#This Row],[PARAM_SUB]]="","","_"&amp;Table132[[#This Row],[PARAM_SUB]]))</f>
        <v>ev_pdpWidth_14</v>
      </c>
      <c r="N258" s="1" t="s">
        <v>262</v>
      </c>
      <c r="O258" s="1" t="s">
        <v>418</v>
      </c>
      <c r="P258" s="6" t="s">
        <v>277</v>
      </c>
      <c r="Q258" s="20" t="s">
        <v>432</v>
      </c>
      <c r="R258" s="6" t="s">
        <v>363</v>
      </c>
      <c r="S258" s="1" t="s">
        <v>254</v>
      </c>
      <c r="T258" s="16">
        <v>0</v>
      </c>
      <c r="U258" s="6" t="s">
        <v>363</v>
      </c>
      <c r="X258" s="11">
        <f>IF(Table132[[#This Row],[template]]="","",VLOOKUP(Table132[[#This Row],[IP_NAME]],Table511175[],2,FALSE))</f>
        <v>1</v>
      </c>
      <c r="Y258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>01000</v>
      </c>
      <c r="Z258" s="14">
        <f>IF(Table132[[#This Row],[template]]="","",HEX2DEC(Table132[[#This Row],[Addr_Hex]]))</f>
        <v>12590</v>
      </c>
    </row>
    <row r="259" spans="2:26" x14ac:dyDescent="0.3">
      <c r="B259" s="4" t="s">
        <v>464</v>
      </c>
      <c r="C259" s="4" t="s">
        <v>233</v>
      </c>
      <c r="D259" s="9" t="str">
        <f>UPPER(Table132[[#This Row],[SIGNAL]])</f>
        <v>EV_PDPWIDTH_15</v>
      </c>
      <c r="E259" s="9" t="str">
        <f>IF(Table132[[#This Row],[template]]="","","0x"&amp;Table132[[#This Row],[IP_Index]]&amp;DEC2HEX(Table132[[#This Row],[Addr_Dec]]*4,7))</f>
        <v>0x1000C4BC</v>
      </c>
      <c r="F259" s="9" t="str">
        <f>IF(Table132[[#This Row],[template]]="","",VLOOKUP(Table132[[#This Row],[template]],Table29153[],2,FALSE))</f>
        <v>asynParamInt32</v>
      </c>
      <c r="G259" s="18" t="str">
        <f>IF(Table132[[#This Row],[template]]="","","1")</f>
        <v>1</v>
      </c>
      <c r="H259" s="10"/>
      <c r="I259" s="13" t="str">
        <f>IF(Table132[[#This Row],[template]]="","","0x"&amp;Table132[[#This Row],[D_Index]]&amp;"000")</f>
        <v>0x01000000</v>
      </c>
      <c r="J259" s="18" t="s">
        <v>341</v>
      </c>
      <c r="K259" s="10">
        <v>0</v>
      </c>
      <c r="L259" s="11"/>
      <c r="M259" s="9" t="str">
        <f>IF(Table132[[#This Row],[template]]="","",Table132[[#This Row],[IP_NAME]]&amp;"_"&amp;Table132[[#This Row],[PARAM_NAME]]&amp;IF(Table132[[#This Row],[PARAM_SUB]]="","","_"&amp;Table132[[#This Row],[PARAM_SUB]]))</f>
        <v>ev_pdpWidth_15</v>
      </c>
      <c r="N259" s="1" t="s">
        <v>262</v>
      </c>
      <c r="O259" s="1" t="s">
        <v>418</v>
      </c>
      <c r="P259" s="6" t="s">
        <v>278</v>
      </c>
      <c r="Q259" s="20" t="s">
        <v>433</v>
      </c>
      <c r="R259" s="6" t="s">
        <v>363</v>
      </c>
      <c r="S259" s="1" t="s">
        <v>254</v>
      </c>
      <c r="T259" s="16">
        <v>0</v>
      </c>
      <c r="U259" s="6" t="s">
        <v>363</v>
      </c>
      <c r="X259" s="11">
        <f>IF(Table132[[#This Row],[template]]="","",VLOOKUP(Table132[[#This Row],[IP_NAME]],Table511175[],2,FALSE))</f>
        <v>1</v>
      </c>
      <c r="Y259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>01000</v>
      </c>
      <c r="Z259" s="14">
        <f>IF(Table132[[#This Row],[template]]="","",HEX2DEC(Table132[[#This Row],[Addr_Hex]]))</f>
        <v>12591</v>
      </c>
    </row>
    <row r="260" spans="2:26" x14ac:dyDescent="0.3">
      <c r="B260" s="4" t="s">
        <v>464</v>
      </c>
      <c r="C260" s="4" t="s">
        <v>233</v>
      </c>
      <c r="D260" s="9" t="str">
        <f>UPPER(Table132[[#This Row],[SIGNAL]])</f>
        <v>EV_PDPWIDTH_16</v>
      </c>
      <c r="E260" s="9" t="str">
        <f>IF(Table132[[#This Row],[template]]="","","0x"&amp;Table132[[#This Row],[IP_Index]]&amp;DEC2HEX(Table132[[#This Row],[Addr_Dec]]*4,7))</f>
        <v>0x1000C4C0</v>
      </c>
      <c r="F260" s="9" t="str">
        <f>IF(Table132[[#This Row],[template]]="","",VLOOKUP(Table132[[#This Row],[template]],Table29153[],2,FALSE))</f>
        <v>asynParamInt32</v>
      </c>
      <c r="G260" s="18" t="str">
        <f>IF(Table132[[#This Row],[template]]="","","1")</f>
        <v>1</v>
      </c>
      <c r="H260" s="10"/>
      <c r="I260" s="13" t="str">
        <f>IF(Table132[[#This Row],[template]]="","","0x"&amp;Table132[[#This Row],[D_Index]]&amp;"000")</f>
        <v>0x01000000</v>
      </c>
      <c r="J260" s="18" t="s">
        <v>341</v>
      </c>
      <c r="K260" s="10">
        <v>0</v>
      </c>
      <c r="L260" s="11"/>
      <c r="M260" s="9" t="str">
        <f>IF(Table132[[#This Row],[template]]="","",Table132[[#This Row],[IP_NAME]]&amp;"_"&amp;Table132[[#This Row],[PARAM_NAME]]&amp;IF(Table132[[#This Row],[PARAM_SUB]]="","","_"&amp;Table132[[#This Row],[PARAM_SUB]]))</f>
        <v>ev_pdpWidth_16</v>
      </c>
      <c r="N260" s="1" t="s">
        <v>262</v>
      </c>
      <c r="O260" s="1" t="s">
        <v>418</v>
      </c>
      <c r="P260" s="6" t="s">
        <v>279</v>
      </c>
      <c r="Q260" s="20" t="s">
        <v>434</v>
      </c>
      <c r="R260" s="6" t="s">
        <v>363</v>
      </c>
      <c r="S260" s="1" t="s">
        <v>254</v>
      </c>
      <c r="T260" s="16">
        <v>0</v>
      </c>
      <c r="U260" s="6" t="s">
        <v>363</v>
      </c>
      <c r="X260" s="11">
        <f>IF(Table132[[#This Row],[template]]="","",VLOOKUP(Table132[[#This Row],[IP_NAME]],Table511175[],2,FALSE))</f>
        <v>1</v>
      </c>
      <c r="Y260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>01000</v>
      </c>
      <c r="Z260" s="14">
        <f>IF(Table132[[#This Row],[template]]="","",HEX2DEC(Table132[[#This Row],[Addr_Hex]]))</f>
        <v>12592</v>
      </c>
    </row>
    <row r="261" spans="2:26" x14ac:dyDescent="0.3">
      <c r="B261" s="4" t="s">
        <v>464</v>
      </c>
      <c r="C261" s="4" t="s">
        <v>233</v>
      </c>
      <c r="D261" s="9" t="str">
        <f>UPPER(Table132[[#This Row],[SIGNAL]])</f>
        <v>EV_PDPWIDTH_17</v>
      </c>
      <c r="E261" s="9" t="str">
        <f>IF(Table132[[#This Row],[template]]="","","0x"&amp;Table132[[#This Row],[IP_Index]]&amp;DEC2HEX(Table132[[#This Row],[Addr_Dec]]*4,7))</f>
        <v>0x1000C4C4</v>
      </c>
      <c r="F261" s="9" t="str">
        <f>IF(Table132[[#This Row],[template]]="","",VLOOKUP(Table132[[#This Row],[template]],Table29153[],2,FALSE))</f>
        <v>asynParamInt32</v>
      </c>
      <c r="G261" s="18" t="str">
        <f>IF(Table132[[#This Row],[template]]="","","1")</f>
        <v>1</v>
      </c>
      <c r="H261" s="10"/>
      <c r="I261" s="13" t="str">
        <f>IF(Table132[[#This Row],[template]]="","","0x"&amp;Table132[[#This Row],[D_Index]]&amp;"000")</f>
        <v>0x01000000</v>
      </c>
      <c r="J261" s="18" t="s">
        <v>341</v>
      </c>
      <c r="K261" s="10">
        <v>0</v>
      </c>
      <c r="L261" s="11"/>
      <c r="M261" s="9" t="str">
        <f>IF(Table132[[#This Row],[template]]="","",Table132[[#This Row],[IP_NAME]]&amp;"_"&amp;Table132[[#This Row],[PARAM_NAME]]&amp;IF(Table132[[#This Row],[PARAM_SUB]]="","","_"&amp;Table132[[#This Row],[PARAM_SUB]]))</f>
        <v>ev_pdpWidth_17</v>
      </c>
      <c r="N261" s="1" t="s">
        <v>262</v>
      </c>
      <c r="O261" s="1" t="s">
        <v>418</v>
      </c>
      <c r="P261" s="6" t="s">
        <v>280</v>
      </c>
      <c r="Q261" s="20" t="s">
        <v>435</v>
      </c>
      <c r="R261" s="6" t="s">
        <v>363</v>
      </c>
      <c r="S261" s="1" t="s">
        <v>254</v>
      </c>
      <c r="T261" s="16">
        <v>0</v>
      </c>
      <c r="U261" s="6" t="s">
        <v>363</v>
      </c>
      <c r="X261" s="11">
        <f>IF(Table132[[#This Row],[template]]="","",VLOOKUP(Table132[[#This Row],[IP_NAME]],Table511175[],2,FALSE))</f>
        <v>1</v>
      </c>
      <c r="Y261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>01000</v>
      </c>
      <c r="Z261" s="14">
        <f>IF(Table132[[#This Row],[template]]="","",HEX2DEC(Table132[[#This Row],[Addr_Hex]]))</f>
        <v>12593</v>
      </c>
    </row>
    <row r="262" spans="2:26" x14ac:dyDescent="0.3">
      <c r="B262" s="4" t="s">
        <v>464</v>
      </c>
      <c r="C262" s="4" t="s">
        <v>233</v>
      </c>
      <c r="D262" s="9" t="str">
        <f>UPPER(Table132[[#This Row],[SIGNAL]])</f>
        <v>EV_PDPWIDTH_18</v>
      </c>
      <c r="E262" s="9" t="str">
        <f>IF(Table132[[#This Row],[template]]="","","0x"&amp;Table132[[#This Row],[IP_Index]]&amp;DEC2HEX(Table132[[#This Row],[Addr_Dec]]*4,7))</f>
        <v>0x1000C4C8</v>
      </c>
      <c r="F262" s="9" t="str">
        <f>IF(Table132[[#This Row],[template]]="","",VLOOKUP(Table132[[#This Row],[template]],Table29153[],2,FALSE))</f>
        <v>asynParamInt32</v>
      </c>
      <c r="G262" s="18" t="str">
        <f>IF(Table132[[#This Row],[template]]="","","1")</f>
        <v>1</v>
      </c>
      <c r="H262" s="10"/>
      <c r="I262" s="13" t="str">
        <f>IF(Table132[[#This Row],[template]]="","","0x"&amp;Table132[[#This Row],[D_Index]]&amp;"000")</f>
        <v>0x01000000</v>
      </c>
      <c r="J262" s="18" t="s">
        <v>341</v>
      </c>
      <c r="K262" s="10">
        <v>0</v>
      </c>
      <c r="L262" s="11"/>
      <c r="M262" s="9" t="str">
        <f>IF(Table132[[#This Row],[template]]="","",Table132[[#This Row],[IP_NAME]]&amp;"_"&amp;Table132[[#This Row],[PARAM_NAME]]&amp;IF(Table132[[#This Row],[PARAM_SUB]]="","","_"&amp;Table132[[#This Row],[PARAM_SUB]]))</f>
        <v>ev_pdpWidth_18</v>
      </c>
      <c r="N262" s="1" t="s">
        <v>262</v>
      </c>
      <c r="O262" s="1" t="s">
        <v>418</v>
      </c>
      <c r="P262" s="6" t="s">
        <v>281</v>
      </c>
      <c r="Q262" s="20" t="s">
        <v>436</v>
      </c>
      <c r="R262" s="6" t="s">
        <v>363</v>
      </c>
      <c r="S262" s="1" t="s">
        <v>254</v>
      </c>
      <c r="T262" s="16">
        <v>0</v>
      </c>
      <c r="U262" s="6" t="s">
        <v>363</v>
      </c>
      <c r="X262" s="11">
        <f>IF(Table132[[#This Row],[template]]="","",VLOOKUP(Table132[[#This Row],[IP_NAME]],Table511175[],2,FALSE))</f>
        <v>1</v>
      </c>
      <c r="Y262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>01000</v>
      </c>
      <c r="Z262" s="14">
        <f>IF(Table132[[#This Row],[template]]="","",HEX2DEC(Table132[[#This Row],[Addr_Hex]]))</f>
        <v>12594</v>
      </c>
    </row>
    <row r="263" spans="2:26" x14ac:dyDescent="0.3">
      <c r="B263" s="4" t="s">
        <v>464</v>
      </c>
      <c r="C263" s="4" t="s">
        <v>233</v>
      </c>
      <c r="D263" s="9" t="str">
        <f>UPPER(Table132[[#This Row],[SIGNAL]])</f>
        <v>EV_PDPWIDTH_19</v>
      </c>
      <c r="E263" s="9" t="str">
        <f>IF(Table132[[#This Row],[template]]="","","0x"&amp;Table132[[#This Row],[IP_Index]]&amp;DEC2HEX(Table132[[#This Row],[Addr_Dec]]*4,7))</f>
        <v>0x1000C4CC</v>
      </c>
      <c r="F263" s="9" t="str">
        <f>IF(Table132[[#This Row],[template]]="","",VLOOKUP(Table132[[#This Row],[template]],Table29153[],2,FALSE))</f>
        <v>asynParamInt32</v>
      </c>
      <c r="G263" s="18" t="str">
        <f>IF(Table132[[#This Row],[template]]="","","1")</f>
        <v>1</v>
      </c>
      <c r="H263" s="10"/>
      <c r="I263" s="13" t="str">
        <f>IF(Table132[[#This Row],[template]]="","","0x"&amp;Table132[[#This Row],[D_Index]]&amp;"000")</f>
        <v>0x01000000</v>
      </c>
      <c r="J263" s="18" t="s">
        <v>341</v>
      </c>
      <c r="K263" s="10">
        <v>0</v>
      </c>
      <c r="L263" s="11"/>
      <c r="M263" s="9" t="str">
        <f>IF(Table132[[#This Row],[template]]="","",Table132[[#This Row],[IP_NAME]]&amp;"_"&amp;Table132[[#This Row],[PARAM_NAME]]&amp;IF(Table132[[#This Row],[PARAM_SUB]]="","","_"&amp;Table132[[#This Row],[PARAM_SUB]]))</f>
        <v>ev_pdpWidth_19</v>
      </c>
      <c r="N263" s="1" t="s">
        <v>262</v>
      </c>
      <c r="O263" s="1" t="s">
        <v>418</v>
      </c>
      <c r="P263" s="6" t="s">
        <v>282</v>
      </c>
      <c r="Q263" s="20" t="s">
        <v>437</v>
      </c>
      <c r="R263" s="6" t="s">
        <v>363</v>
      </c>
      <c r="S263" s="1" t="s">
        <v>254</v>
      </c>
      <c r="T263" s="16">
        <v>0</v>
      </c>
      <c r="U263" s="6" t="s">
        <v>363</v>
      </c>
      <c r="X263" s="11">
        <f>IF(Table132[[#This Row],[template]]="","",VLOOKUP(Table132[[#This Row],[IP_NAME]],Table511175[],2,FALSE))</f>
        <v>1</v>
      </c>
      <c r="Y263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>01000</v>
      </c>
      <c r="Z263" s="14">
        <f>IF(Table132[[#This Row],[template]]="","",HEX2DEC(Table132[[#This Row],[Addr_Hex]]))</f>
        <v>12595</v>
      </c>
    </row>
    <row r="264" spans="2:26" x14ac:dyDescent="0.3">
      <c r="B264" s="4" t="s">
        <v>464</v>
      </c>
      <c r="C264" s="4" t="s">
        <v>233</v>
      </c>
      <c r="D264" s="9" t="str">
        <f>UPPER(Table132[[#This Row],[SIGNAL]])</f>
        <v>EV_PDPWIDTH_20</v>
      </c>
      <c r="E264" s="9" t="str">
        <f>IF(Table132[[#This Row],[template]]="","","0x"&amp;Table132[[#This Row],[IP_Index]]&amp;DEC2HEX(Table132[[#This Row],[Addr_Dec]]*4,7))</f>
        <v>0x1000C4D0</v>
      </c>
      <c r="F264" s="9" t="str">
        <f>IF(Table132[[#This Row],[template]]="","",VLOOKUP(Table132[[#This Row],[template]],Table29153[],2,FALSE))</f>
        <v>asynParamInt32</v>
      </c>
      <c r="G264" s="18" t="str">
        <f>IF(Table132[[#This Row],[template]]="","","1")</f>
        <v>1</v>
      </c>
      <c r="H264" s="10"/>
      <c r="I264" s="13" t="str">
        <f>IF(Table132[[#This Row],[template]]="","","0x"&amp;Table132[[#This Row],[D_Index]]&amp;"000")</f>
        <v>0x01000000</v>
      </c>
      <c r="J264" s="18" t="s">
        <v>341</v>
      </c>
      <c r="K264" s="10">
        <v>0</v>
      </c>
      <c r="L264" s="11"/>
      <c r="M264" s="9" t="str">
        <f>IF(Table132[[#This Row],[template]]="","",Table132[[#This Row],[IP_NAME]]&amp;"_"&amp;Table132[[#This Row],[PARAM_NAME]]&amp;IF(Table132[[#This Row],[PARAM_SUB]]="","","_"&amp;Table132[[#This Row],[PARAM_SUB]]))</f>
        <v>ev_pdpWidth_20</v>
      </c>
      <c r="N264" s="1" t="s">
        <v>262</v>
      </c>
      <c r="O264" s="1" t="s">
        <v>418</v>
      </c>
      <c r="P264" s="6" t="s">
        <v>283</v>
      </c>
      <c r="Q264" s="20" t="s">
        <v>438</v>
      </c>
      <c r="R264" s="6" t="s">
        <v>363</v>
      </c>
      <c r="S264" s="1" t="s">
        <v>254</v>
      </c>
      <c r="T264" s="16">
        <v>0</v>
      </c>
      <c r="U264" s="6" t="s">
        <v>363</v>
      </c>
      <c r="X264" s="11">
        <f>IF(Table132[[#This Row],[template]]="","",VLOOKUP(Table132[[#This Row],[IP_NAME]],Table511175[],2,FALSE))</f>
        <v>1</v>
      </c>
      <c r="Y264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>01000</v>
      </c>
      <c r="Z264" s="14">
        <f>IF(Table132[[#This Row],[template]]="","",HEX2DEC(Table132[[#This Row],[Addr_Hex]]))</f>
        <v>12596</v>
      </c>
    </row>
    <row r="265" spans="2:26" x14ac:dyDescent="0.3">
      <c r="B265" s="4" t="s">
        <v>464</v>
      </c>
      <c r="C265" s="4" t="s">
        <v>233</v>
      </c>
      <c r="D265" s="9" t="str">
        <f>UPPER(Table132[[#This Row],[SIGNAL]])</f>
        <v>EV_PDPWIDTH_21</v>
      </c>
      <c r="E265" s="9" t="str">
        <f>IF(Table132[[#This Row],[template]]="","","0x"&amp;Table132[[#This Row],[IP_Index]]&amp;DEC2HEX(Table132[[#This Row],[Addr_Dec]]*4,7))</f>
        <v>0x1000C4D4</v>
      </c>
      <c r="F265" s="9" t="str">
        <f>IF(Table132[[#This Row],[template]]="","",VLOOKUP(Table132[[#This Row],[template]],Table29153[],2,FALSE))</f>
        <v>asynParamInt32</v>
      </c>
      <c r="G265" s="18" t="str">
        <f>IF(Table132[[#This Row],[template]]="","","1")</f>
        <v>1</v>
      </c>
      <c r="H265" s="10"/>
      <c r="I265" s="13" t="str">
        <f>IF(Table132[[#This Row],[template]]="","","0x"&amp;Table132[[#This Row],[D_Index]]&amp;"000")</f>
        <v>0x01000000</v>
      </c>
      <c r="J265" s="18" t="s">
        <v>341</v>
      </c>
      <c r="K265" s="10">
        <v>0</v>
      </c>
      <c r="L265" s="11"/>
      <c r="M265" s="9" t="str">
        <f>IF(Table132[[#This Row],[template]]="","",Table132[[#This Row],[IP_NAME]]&amp;"_"&amp;Table132[[#This Row],[PARAM_NAME]]&amp;IF(Table132[[#This Row],[PARAM_SUB]]="","","_"&amp;Table132[[#This Row],[PARAM_SUB]]))</f>
        <v>ev_pdpWidth_21</v>
      </c>
      <c r="N265" s="1" t="s">
        <v>262</v>
      </c>
      <c r="O265" s="1" t="s">
        <v>418</v>
      </c>
      <c r="P265" s="6" t="s">
        <v>284</v>
      </c>
      <c r="Q265" s="20" t="s">
        <v>439</v>
      </c>
      <c r="R265" s="6" t="s">
        <v>363</v>
      </c>
      <c r="S265" s="1" t="s">
        <v>254</v>
      </c>
      <c r="T265" s="16">
        <v>0</v>
      </c>
      <c r="U265" s="6" t="s">
        <v>363</v>
      </c>
      <c r="X265" s="11">
        <f>IF(Table132[[#This Row],[template]]="","",VLOOKUP(Table132[[#This Row],[IP_NAME]],Table511175[],2,FALSE))</f>
        <v>1</v>
      </c>
      <c r="Y265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>01000</v>
      </c>
      <c r="Z265" s="14">
        <f>IF(Table132[[#This Row],[template]]="","",HEX2DEC(Table132[[#This Row],[Addr_Hex]]))</f>
        <v>12597</v>
      </c>
    </row>
    <row r="266" spans="2:26" x14ac:dyDescent="0.3">
      <c r="B266" s="4" t="s">
        <v>464</v>
      </c>
      <c r="C266" s="4" t="s">
        <v>233</v>
      </c>
      <c r="D266" s="9" t="str">
        <f>UPPER(Table132[[#This Row],[SIGNAL]])</f>
        <v>EV_PDPWIDTH_22</v>
      </c>
      <c r="E266" s="9" t="str">
        <f>IF(Table132[[#This Row],[template]]="","","0x"&amp;Table132[[#This Row],[IP_Index]]&amp;DEC2HEX(Table132[[#This Row],[Addr_Dec]]*4,7))</f>
        <v>0x1000C4D8</v>
      </c>
      <c r="F266" s="9" t="str">
        <f>IF(Table132[[#This Row],[template]]="","",VLOOKUP(Table132[[#This Row],[template]],Table29153[],2,FALSE))</f>
        <v>asynParamInt32</v>
      </c>
      <c r="G266" s="18" t="str">
        <f>IF(Table132[[#This Row],[template]]="","","1")</f>
        <v>1</v>
      </c>
      <c r="H266" s="10"/>
      <c r="I266" s="13" t="str">
        <f>IF(Table132[[#This Row],[template]]="","","0x"&amp;Table132[[#This Row],[D_Index]]&amp;"000")</f>
        <v>0x01000000</v>
      </c>
      <c r="J266" s="18" t="s">
        <v>341</v>
      </c>
      <c r="K266" s="10">
        <v>0</v>
      </c>
      <c r="L266" s="11"/>
      <c r="M266" s="9" t="str">
        <f>IF(Table132[[#This Row],[template]]="","",Table132[[#This Row],[IP_NAME]]&amp;"_"&amp;Table132[[#This Row],[PARAM_NAME]]&amp;IF(Table132[[#This Row],[PARAM_SUB]]="","","_"&amp;Table132[[#This Row],[PARAM_SUB]]))</f>
        <v>ev_pdpWidth_22</v>
      </c>
      <c r="N266" s="1" t="s">
        <v>262</v>
      </c>
      <c r="O266" s="1" t="s">
        <v>418</v>
      </c>
      <c r="P266" s="6" t="s">
        <v>285</v>
      </c>
      <c r="Q266" s="20" t="s">
        <v>440</v>
      </c>
      <c r="R266" s="6" t="s">
        <v>363</v>
      </c>
      <c r="S266" s="1" t="s">
        <v>254</v>
      </c>
      <c r="T266" s="16">
        <v>0</v>
      </c>
      <c r="U266" s="6" t="s">
        <v>363</v>
      </c>
      <c r="X266" s="11">
        <f>IF(Table132[[#This Row],[template]]="","",VLOOKUP(Table132[[#This Row],[IP_NAME]],Table511175[],2,FALSE))</f>
        <v>1</v>
      </c>
      <c r="Y266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>01000</v>
      </c>
      <c r="Z266" s="14">
        <f>IF(Table132[[#This Row],[template]]="","",HEX2DEC(Table132[[#This Row],[Addr_Hex]]))</f>
        <v>12598</v>
      </c>
    </row>
    <row r="267" spans="2:26" x14ac:dyDescent="0.3">
      <c r="B267" s="4" t="s">
        <v>464</v>
      </c>
      <c r="C267" s="4" t="s">
        <v>233</v>
      </c>
      <c r="D267" s="9" t="str">
        <f>UPPER(Table132[[#This Row],[SIGNAL]])</f>
        <v>EV_PDPWIDTH_23</v>
      </c>
      <c r="E267" s="9" t="str">
        <f>IF(Table132[[#This Row],[template]]="","","0x"&amp;Table132[[#This Row],[IP_Index]]&amp;DEC2HEX(Table132[[#This Row],[Addr_Dec]]*4,7))</f>
        <v>0x1000C4DC</v>
      </c>
      <c r="F267" s="9" t="str">
        <f>IF(Table132[[#This Row],[template]]="","",VLOOKUP(Table132[[#This Row],[template]],Table29153[],2,FALSE))</f>
        <v>asynParamInt32</v>
      </c>
      <c r="G267" s="18" t="str">
        <f>IF(Table132[[#This Row],[template]]="","","1")</f>
        <v>1</v>
      </c>
      <c r="H267" s="10"/>
      <c r="I267" s="13" t="str">
        <f>IF(Table132[[#This Row],[template]]="","","0x"&amp;Table132[[#This Row],[D_Index]]&amp;"000")</f>
        <v>0x01000000</v>
      </c>
      <c r="J267" s="18" t="s">
        <v>341</v>
      </c>
      <c r="K267" s="10">
        <v>0</v>
      </c>
      <c r="L267" s="11"/>
      <c r="M267" s="9" t="str">
        <f>IF(Table132[[#This Row],[template]]="","",Table132[[#This Row],[IP_NAME]]&amp;"_"&amp;Table132[[#This Row],[PARAM_NAME]]&amp;IF(Table132[[#This Row],[PARAM_SUB]]="","","_"&amp;Table132[[#This Row],[PARAM_SUB]]))</f>
        <v>ev_pdpWidth_23</v>
      </c>
      <c r="N267" s="1" t="s">
        <v>262</v>
      </c>
      <c r="O267" s="1" t="s">
        <v>418</v>
      </c>
      <c r="P267" s="6" t="s">
        <v>286</v>
      </c>
      <c r="Q267" s="20" t="s">
        <v>441</v>
      </c>
      <c r="R267" s="6" t="s">
        <v>363</v>
      </c>
      <c r="S267" s="1" t="s">
        <v>254</v>
      </c>
      <c r="T267" s="16">
        <v>0</v>
      </c>
      <c r="U267" s="6" t="s">
        <v>363</v>
      </c>
      <c r="X267" s="11">
        <f>IF(Table132[[#This Row],[template]]="","",VLOOKUP(Table132[[#This Row],[IP_NAME]],Table511175[],2,FALSE))</f>
        <v>1</v>
      </c>
      <c r="Y267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>01000</v>
      </c>
      <c r="Z267" s="14">
        <f>IF(Table132[[#This Row],[template]]="","",HEX2DEC(Table132[[#This Row],[Addr_Hex]]))</f>
        <v>12599</v>
      </c>
    </row>
    <row r="268" spans="2:26" x14ac:dyDescent="0.3">
      <c r="B268" s="4" t="s">
        <v>464</v>
      </c>
      <c r="C268" s="4" t="s">
        <v>233</v>
      </c>
      <c r="D268" s="9" t="str">
        <f>UPPER(Table132[[#This Row],[SIGNAL]])</f>
        <v>EV_PDPWIDTH_24</v>
      </c>
      <c r="E268" s="9" t="str">
        <f>IF(Table132[[#This Row],[template]]="","","0x"&amp;Table132[[#This Row],[IP_Index]]&amp;DEC2HEX(Table132[[#This Row],[Addr_Dec]]*4,7))</f>
        <v>0x1000C4E0</v>
      </c>
      <c r="F268" s="9" t="str">
        <f>IF(Table132[[#This Row],[template]]="","",VLOOKUP(Table132[[#This Row],[template]],Table29153[],2,FALSE))</f>
        <v>asynParamInt32</v>
      </c>
      <c r="G268" s="18" t="str">
        <f>IF(Table132[[#This Row],[template]]="","","1")</f>
        <v>1</v>
      </c>
      <c r="H268" s="10"/>
      <c r="I268" s="13" t="str">
        <f>IF(Table132[[#This Row],[template]]="","","0x"&amp;Table132[[#This Row],[D_Index]]&amp;"000")</f>
        <v>0x01000000</v>
      </c>
      <c r="J268" s="18" t="s">
        <v>341</v>
      </c>
      <c r="K268" s="10">
        <v>0</v>
      </c>
      <c r="L268" s="11"/>
      <c r="M268" s="9" t="str">
        <f>IF(Table132[[#This Row],[template]]="","",Table132[[#This Row],[IP_NAME]]&amp;"_"&amp;Table132[[#This Row],[PARAM_NAME]]&amp;IF(Table132[[#This Row],[PARAM_SUB]]="","","_"&amp;Table132[[#This Row],[PARAM_SUB]]))</f>
        <v>ev_pdpWidth_24</v>
      </c>
      <c r="N268" s="1" t="s">
        <v>262</v>
      </c>
      <c r="O268" s="1" t="s">
        <v>418</v>
      </c>
      <c r="P268" s="6" t="s">
        <v>287</v>
      </c>
      <c r="Q268" s="20" t="s">
        <v>442</v>
      </c>
      <c r="R268" s="6" t="s">
        <v>363</v>
      </c>
      <c r="S268" s="1" t="s">
        <v>254</v>
      </c>
      <c r="T268" s="16">
        <v>0</v>
      </c>
      <c r="U268" s="6" t="s">
        <v>363</v>
      </c>
      <c r="X268" s="11">
        <f>IF(Table132[[#This Row],[template]]="","",VLOOKUP(Table132[[#This Row],[IP_NAME]],Table511175[],2,FALSE))</f>
        <v>1</v>
      </c>
      <c r="Y268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>01000</v>
      </c>
      <c r="Z268" s="14">
        <f>IF(Table132[[#This Row],[template]]="","",HEX2DEC(Table132[[#This Row],[Addr_Hex]]))</f>
        <v>12600</v>
      </c>
    </row>
    <row r="269" spans="2:26" x14ac:dyDescent="0.3">
      <c r="B269" s="4" t="s">
        <v>464</v>
      </c>
      <c r="C269" s="4" t="s">
        <v>233</v>
      </c>
      <c r="D269" s="9" t="str">
        <f>UPPER(Table132[[#This Row],[SIGNAL]])</f>
        <v>EV_PDPWIDTH_25</v>
      </c>
      <c r="E269" s="9" t="str">
        <f>IF(Table132[[#This Row],[template]]="","","0x"&amp;Table132[[#This Row],[IP_Index]]&amp;DEC2HEX(Table132[[#This Row],[Addr_Dec]]*4,7))</f>
        <v>0x1000C4E4</v>
      </c>
      <c r="F269" s="9" t="str">
        <f>IF(Table132[[#This Row],[template]]="","",VLOOKUP(Table132[[#This Row],[template]],Table29153[],2,FALSE))</f>
        <v>asynParamInt32</v>
      </c>
      <c r="G269" s="18" t="str">
        <f>IF(Table132[[#This Row],[template]]="","","1")</f>
        <v>1</v>
      </c>
      <c r="H269" s="10"/>
      <c r="I269" s="13" t="str">
        <f>IF(Table132[[#This Row],[template]]="","","0x"&amp;Table132[[#This Row],[D_Index]]&amp;"000")</f>
        <v>0x01000000</v>
      </c>
      <c r="J269" s="18" t="s">
        <v>341</v>
      </c>
      <c r="K269" s="10">
        <v>0</v>
      </c>
      <c r="L269" s="11"/>
      <c r="M269" s="9" t="str">
        <f>IF(Table132[[#This Row],[template]]="","",Table132[[#This Row],[IP_NAME]]&amp;"_"&amp;Table132[[#This Row],[PARAM_NAME]]&amp;IF(Table132[[#This Row],[PARAM_SUB]]="","","_"&amp;Table132[[#This Row],[PARAM_SUB]]))</f>
        <v>ev_pdpWidth_25</v>
      </c>
      <c r="N269" s="1" t="s">
        <v>262</v>
      </c>
      <c r="O269" s="1" t="s">
        <v>418</v>
      </c>
      <c r="P269" s="6" t="s">
        <v>288</v>
      </c>
      <c r="Q269" s="20" t="s">
        <v>443</v>
      </c>
      <c r="R269" s="6" t="s">
        <v>363</v>
      </c>
      <c r="S269" s="1" t="s">
        <v>254</v>
      </c>
      <c r="T269" s="16">
        <v>0</v>
      </c>
      <c r="U269" s="6" t="s">
        <v>363</v>
      </c>
      <c r="X269" s="11">
        <f>IF(Table132[[#This Row],[template]]="","",VLOOKUP(Table132[[#This Row],[IP_NAME]],Table511175[],2,FALSE))</f>
        <v>1</v>
      </c>
      <c r="Y269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>01000</v>
      </c>
      <c r="Z269" s="14">
        <f>IF(Table132[[#This Row],[template]]="","",HEX2DEC(Table132[[#This Row],[Addr_Hex]]))</f>
        <v>12601</v>
      </c>
    </row>
    <row r="270" spans="2:26" x14ac:dyDescent="0.3">
      <c r="B270" s="4" t="s">
        <v>464</v>
      </c>
      <c r="C270" s="4" t="s">
        <v>233</v>
      </c>
      <c r="D270" s="9" t="str">
        <f>UPPER(Table132[[#This Row],[SIGNAL]])</f>
        <v>EV_PDPWIDTH_26</v>
      </c>
      <c r="E270" s="9" t="str">
        <f>IF(Table132[[#This Row],[template]]="","","0x"&amp;Table132[[#This Row],[IP_Index]]&amp;DEC2HEX(Table132[[#This Row],[Addr_Dec]]*4,7))</f>
        <v>0x1000C4E8</v>
      </c>
      <c r="F270" s="9" t="str">
        <f>IF(Table132[[#This Row],[template]]="","",VLOOKUP(Table132[[#This Row],[template]],Table29153[],2,FALSE))</f>
        <v>asynParamInt32</v>
      </c>
      <c r="G270" s="18" t="str">
        <f>IF(Table132[[#This Row],[template]]="","","1")</f>
        <v>1</v>
      </c>
      <c r="H270" s="10"/>
      <c r="I270" s="13" t="str">
        <f>IF(Table132[[#This Row],[template]]="","","0x"&amp;Table132[[#This Row],[D_Index]]&amp;"000")</f>
        <v>0x01000000</v>
      </c>
      <c r="J270" s="18" t="s">
        <v>341</v>
      </c>
      <c r="K270" s="10">
        <v>0</v>
      </c>
      <c r="L270" s="11"/>
      <c r="M270" s="9" t="str">
        <f>IF(Table132[[#This Row],[template]]="","",Table132[[#This Row],[IP_NAME]]&amp;"_"&amp;Table132[[#This Row],[PARAM_NAME]]&amp;IF(Table132[[#This Row],[PARAM_SUB]]="","","_"&amp;Table132[[#This Row],[PARAM_SUB]]))</f>
        <v>ev_pdpWidth_26</v>
      </c>
      <c r="N270" s="1" t="s">
        <v>262</v>
      </c>
      <c r="O270" s="1" t="s">
        <v>418</v>
      </c>
      <c r="P270" s="6" t="s">
        <v>289</v>
      </c>
      <c r="Q270" s="20" t="s">
        <v>444</v>
      </c>
      <c r="R270" s="6" t="s">
        <v>363</v>
      </c>
      <c r="S270" s="1" t="s">
        <v>254</v>
      </c>
      <c r="T270" s="16">
        <v>0</v>
      </c>
      <c r="U270" s="6" t="s">
        <v>363</v>
      </c>
      <c r="X270" s="11">
        <f>IF(Table132[[#This Row],[template]]="","",VLOOKUP(Table132[[#This Row],[IP_NAME]],Table511175[],2,FALSE))</f>
        <v>1</v>
      </c>
      <c r="Y270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>01000</v>
      </c>
      <c r="Z270" s="14">
        <f>IF(Table132[[#This Row],[template]]="","",HEX2DEC(Table132[[#This Row],[Addr_Hex]]))</f>
        <v>12602</v>
      </c>
    </row>
    <row r="271" spans="2:26" x14ac:dyDescent="0.3">
      <c r="B271" s="4" t="s">
        <v>464</v>
      </c>
      <c r="C271" s="4" t="s">
        <v>233</v>
      </c>
      <c r="D271" s="9" t="str">
        <f>UPPER(Table132[[#This Row],[SIGNAL]])</f>
        <v>EV_PDPWIDTH_27</v>
      </c>
      <c r="E271" s="9" t="str">
        <f>IF(Table132[[#This Row],[template]]="","","0x"&amp;Table132[[#This Row],[IP_Index]]&amp;DEC2HEX(Table132[[#This Row],[Addr_Dec]]*4,7))</f>
        <v>0x1000C4EC</v>
      </c>
      <c r="F271" s="9" t="str">
        <f>IF(Table132[[#This Row],[template]]="","",VLOOKUP(Table132[[#This Row],[template]],Table29153[],2,FALSE))</f>
        <v>asynParamInt32</v>
      </c>
      <c r="G271" s="18" t="str">
        <f>IF(Table132[[#This Row],[template]]="","","1")</f>
        <v>1</v>
      </c>
      <c r="H271" s="10"/>
      <c r="I271" s="13" t="str">
        <f>IF(Table132[[#This Row],[template]]="","","0x"&amp;Table132[[#This Row],[D_Index]]&amp;"000")</f>
        <v>0x01000000</v>
      </c>
      <c r="J271" s="18" t="s">
        <v>341</v>
      </c>
      <c r="K271" s="10">
        <v>0</v>
      </c>
      <c r="L271" s="11"/>
      <c r="M271" s="9" t="str">
        <f>IF(Table132[[#This Row],[template]]="","",Table132[[#This Row],[IP_NAME]]&amp;"_"&amp;Table132[[#This Row],[PARAM_NAME]]&amp;IF(Table132[[#This Row],[PARAM_SUB]]="","","_"&amp;Table132[[#This Row],[PARAM_SUB]]))</f>
        <v>ev_pdpWidth_27</v>
      </c>
      <c r="N271" s="1" t="s">
        <v>262</v>
      </c>
      <c r="O271" s="1" t="s">
        <v>418</v>
      </c>
      <c r="P271" s="6" t="s">
        <v>290</v>
      </c>
      <c r="Q271" s="20" t="s">
        <v>445</v>
      </c>
      <c r="R271" s="6" t="s">
        <v>363</v>
      </c>
      <c r="S271" s="1" t="s">
        <v>254</v>
      </c>
      <c r="T271" s="16">
        <v>0</v>
      </c>
      <c r="U271" s="6" t="s">
        <v>363</v>
      </c>
      <c r="X271" s="11">
        <f>IF(Table132[[#This Row],[template]]="","",VLOOKUP(Table132[[#This Row],[IP_NAME]],Table511175[],2,FALSE))</f>
        <v>1</v>
      </c>
      <c r="Y271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>01000</v>
      </c>
      <c r="Z271" s="14">
        <f>IF(Table132[[#This Row],[template]]="","",HEX2DEC(Table132[[#This Row],[Addr_Hex]]))</f>
        <v>12603</v>
      </c>
    </row>
    <row r="272" spans="2:26" x14ac:dyDescent="0.3">
      <c r="B272" s="4" t="s">
        <v>464</v>
      </c>
      <c r="C272" s="4" t="s">
        <v>233</v>
      </c>
      <c r="D272" s="9" t="str">
        <f>UPPER(Table132[[#This Row],[SIGNAL]])</f>
        <v>EV_PDPWIDTH_28</v>
      </c>
      <c r="E272" s="9" t="str">
        <f>IF(Table132[[#This Row],[template]]="","","0x"&amp;Table132[[#This Row],[IP_Index]]&amp;DEC2HEX(Table132[[#This Row],[Addr_Dec]]*4,7))</f>
        <v>0x1000C4F0</v>
      </c>
      <c r="F272" s="9" t="str">
        <f>IF(Table132[[#This Row],[template]]="","",VLOOKUP(Table132[[#This Row],[template]],Table29153[],2,FALSE))</f>
        <v>asynParamInt32</v>
      </c>
      <c r="G272" s="18" t="str">
        <f>IF(Table132[[#This Row],[template]]="","","1")</f>
        <v>1</v>
      </c>
      <c r="H272" s="10"/>
      <c r="I272" s="13" t="str">
        <f>IF(Table132[[#This Row],[template]]="","","0x"&amp;Table132[[#This Row],[D_Index]]&amp;"000")</f>
        <v>0x01000000</v>
      </c>
      <c r="J272" s="18" t="s">
        <v>341</v>
      </c>
      <c r="K272" s="10">
        <v>0</v>
      </c>
      <c r="L272" s="11"/>
      <c r="M272" s="9" t="str">
        <f>IF(Table132[[#This Row],[template]]="","",Table132[[#This Row],[IP_NAME]]&amp;"_"&amp;Table132[[#This Row],[PARAM_NAME]]&amp;IF(Table132[[#This Row],[PARAM_SUB]]="","","_"&amp;Table132[[#This Row],[PARAM_SUB]]))</f>
        <v>ev_pdpWidth_28</v>
      </c>
      <c r="N272" s="1" t="s">
        <v>262</v>
      </c>
      <c r="O272" s="1" t="s">
        <v>418</v>
      </c>
      <c r="P272" s="6" t="s">
        <v>291</v>
      </c>
      <c r="Q272" s="20" t="s">
        <v>446</v>
      </c>
      <c r="R272" s="6" t="s">
        <v>363</v>
      </c>
      <c r="S272" s="1" t="s">
        <v>254</v>
      </c>
      <c r="T272" s="16">
        <v>0</v>
      </c>
      <c r="U272" s="6" t="s">
        <v>363</v>
      </c>
      <c r="X272" s="11">
        <f>IF(Table132[[#This Row],[template]]="","",VLOOKUP(Table132[[#This Row],[IP_NAME]],Table511175[],2,FALSE))</f>
        <v>1</v>
      </c>
      <c r="Y272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>01000</v>
      </c>
      <c r="Z272" s="14">
        <f>IF(Table132[[#This Row],[template]]="","",HEX2DEC(Table132[[#This Row],[Addr_Hex]]))</f>
        <v>12604</v>
      </c>
    </row>
    <row r="273" spans="2:26" x14ac:dyDescent="0.3">
      <c r="B273" s="4" t="s">
        <v>464</v>
      </c>
      <c r="C273" s="4" t="s">
        <v>233</v>
      </c>
      <c r="D273" s="9" t="str">
        <f>UPPER(Table132[[#This Row],[SIGNAL]])</f>
        <v>EV_PDPWIDTH_29</v>
      </c>
      <c r="E273" s="9" t="str">
        <f>IF(Table132[[#This Row],[template]]="","","0x"&amp;Table132[[#This Row],[IP_Index]]&amp;DEC2HEX(Table132[[#This Row],[Addr_Dec]]*4,7))</f>
        <v>0x1000C4F4</v>
      </c>
      <c r="F273" s="9" t="str">
        <f>IF(Table132[[#This Row],[template]]="","",VLOOKUP(Table132[[#This Row],[template]],Table29153[],2,FALSE))</f>
        <v>asynParamInt32</v>
      </c>
      <c r="G273" s="18" t="str">
        <f>IF(Table132[[#This Row],[template]]="","","1")</f>
        <v>1</v>
      </c>
      <c r="H273" s="10"/>
      <c r="I273" s="13" t="str">
        <f>IF(Table132[[#This Row],[template]]="","","0x"&amp;Table132[[#This Row],[D_Index]]&amp;"000")</f>
        <v>0x01000000</v>
      </c>
      <c r="J273" s="18" t="s">
        <v>341</v>
      </c>
      <c r="K273" s="10">
        <v>0</v>
      </c>
      <c r="L273" s="11"/>
      <c r="M273" s="9" t="str">
        <f>IF(Table132[[#This Row],[template]]="","",Table132[[#This Row],[IP_NAME]]&amp;"_"&amp;Table132[[#This Row],[PARAM_NAME]]&amp;IF(Table132[[#This Row],[PARAM_SUB]]="","","_"&amp;Table132[[#This Row],[PARAM_SUB]]))</f>
        <v>ev_pdpWidth_29</v>
      </c>
      <c r="N273" s="1" t="s">
        <v>262</v>
      </c>
      <c r="O273" s="1" t="s">
        <v>418</v>
      </c>
      <c r="P273" s="6" t="s">
        <v>292</v>
      </c>
      <c r="Q273" s="20" t="s">
        <v>447</v>
      </c>
      <c r="R273" s="6" t="s">
        <v>363</v>
      </c>
      <c r="S273" s="1" t="s">
        <v>254</v>
      </c>
      <c r="T273" s="16">
        <v>0</v>
      </c>
      <c r="U273" s="6" t="s">
        <v>363</v>
      </c>
      <c r="X273" s="11">
        <f>IF(Table132[[#This Row],[template]]="","",VLOOKUP(Table132[[#This Row],[IP_NAME]],Table511175[],2,FALSE))</f>
        <v>1</v>
      </c>
      <c r="Y273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>01000</v>
      </c>
      <c r="Z273" s="14">
        <f>IF(Table132[[#This Row],[template]]="","",HEX2DEC(Table132[[#This Row],[Addr_Hex]]))</f>
        <v>12605</v>
      </c>
    </row>
    <row r="274" spans="2:26" x14ac:dyDescent="0.3">
      <c r="B274" s="4" t="s">
        <v>464</v>
      </c>
      <c r="C274" s="4" t="s">
        <v>233</v>
      </c>
      <c r="D274" s="9" t="str">
        <f>UPPER(Table132[[#This Row],[SIGNAL]])</f>
        <v>EV_PDPWIDTH_30</v>
      </c>
      <c r="E274" s="9" t="str">
        <f>IF(Table132[[#This Row],[template]]="","","0x"&amp;Table132[[#This Row],[IP_Index]]&amp;DEC2HEX(Table132[[#This Row],[Addr_Dec]]*4,7))</f>
        <v>0x1000C4F8</v>
      </c>
      <c r="F274" s="9" t="str">
        <f>IF(Table132[[#This Row],[template]]="","",VLOOKUP(Table132[[#This Row],[template]],Table29153[],2,FALSE))</f>
        <v>asynParamInt32</v>
      </c>
      <c r="G274" s="18" t="str">
        <f>IF(Table132[[#This Row],[template]]="","","1")</f>
        <v>1</v>
      </c>
      <c r="H274" s="10"/>
      <c r="I274" s="13" t="str">
        <f>IF(Table132[[#This Row],[template]]="","","0x"&amp;Table132[[#This Row],[D_Index]]&amp;"000")</f>
        <v>0x01000000</v>
      </c>
      <c r="J274" s="18" t="s">
        <v>341</v>
      </c>
      <c r="K274" s="10">
        <v>0</v>
      </c>
      <c r="L274" s="11"/>
      <c r="M274" s="9" t="str">
        <f>IF(Table132[[#This Row],[template]]="","",Table132[[#This Row],[IP_NAME]]&amp;"_"&amp;Table132[[#This Row],[PARAM_NAME]]&amp;IF(Table132[[#This Row],[PARAM_SUB]]="","","_"&amp;Table132[[#This Row],[PARAM_SUB]]))</f>
        <v>ev_pdpWidth_30</v>
      </c>
      <c r="N274" s="1" t="s">
        <v>262</v>
      </c>
      <c r="O274" s="1" t="s">
        <v>418</v>
      </c>
      <c r="P274" s="6" t="s">
        <v>293</v>
      </c>
      <c r="Q274" s="20" t="s">
        <v>448</v>
      </c>
      <c r="R274" s="6" t="s">
        <v>363</v>
      </c>
      <c r="S274" s="1" t="s">
        <v>254</v>
      </c>
      <c r="T274" s="16">
        <v>0</v>
      </c>
      <c r="U274" s="6" t="s">
        <v>363</v>
      </c>
      <c r="X274" s="11">
        <f>IF(Table132[[#This Row],[template]]="","",VLOOKUP(Table132[[#This Row],[IP_NAME]],Table511175[],2,FALSE))</f>
        <v>1</v>
      </c>
      <c r="Y274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>01000</v>
      </c>
      <c r="Z274" s="14">
        <f>IF(Table132[[#This Row],[template]]="","",HEX2DEC(Table132[[#This Row],[Addr_Hex]]))</f>
        <v>12606</v>
      </c>
    </row>
    <row r="275" spans="2:26" x14ac:dyDescent="0.3">
      <c r="B275" s="4" t="s">
        <v>464</v>
      </c>
      <c r="C275" s="4" t="s">
        <v>233</v>
      </c>
      <c r="D275" s="9" t="str">
        <f>UPPER(Table132[[#This Row],[SIGNAL]])</f>
        <v>EV_PDPWIDTH_31</v>
      </c>
      <c r="E275" s="9" t="str">
        <f>IF(Table132[[#This Row],[template]]="","","0x"&amp;Table132[[#This Row],[IP_Index]]&amp;DEC2HEX(Table132[[#This Row],[Addr_Dec]]*4,7))</f>
        <v>0x1000C4FC</v>
      </c>
      <c r="F275" s="9" t="str">
        <f>IF(Table132[[#This Row],[template]]="","",VLOOKUP(Table132[[#This Row],[template]],Table29153[],2,FALSE))</f>
        <v>asynParamInt32</v>
      </c>
      <c r="G275" s="18" t="str">
        <f>IF(Table132[[#This Row],[template]]="","","1")</f>
        <v>1</v>
      </c>
      <c r="H275" s="10"/>
      <c r="I275" s="13" t="str">
        <f>IF(Table132[[#This Row],[template]]="","","0x"&amp;Table132[[#This Row],[D_Index]]&amp;"000")</f>
        <v>0x01000000</v>
      </c>
      <c r="J275" s="18" t="s">
        <v>341</v>
      </c>
      <c r="K275" s="10">
        <v>0</v>
      </c>
      <c r="L275" s="11"/>
      <c r="M275" s="9" t="str">
        <f>IF(Table132[[#This Row],[template]]="","",Table132[[#This Row],[IP_NAME]]&amp;"_"&amp;Table132[[#This Row],[PARAM_NAME]]&amp;IF(Table132[[#This Row],[PARAM_SUB]]="","","_"&amp;Table132[[#This Row],[PARAM_SUB]]))</f>
        <v>ev_pdpWidth_31</v>
      </c>
      <c r="N275" s="1" t="s">
        <v>262</v>
      </c>
      <c r="O275" s="1" t="s">
        <v>418</v>
      </c>
      <c r="P275" s="6" t="s">
        <v>294</v>
      </c>
      <c r="Q275" s="20" t="s">
        <v>449</v>
      </c>
      <c r="R275" s="6" t="s">
        <v>363</v>
      </c>
      <c r="S275" s="1" t="s">
        <v>254</v>
      </c>
      <c r="T275" s="16">
        <v>0</v>
      </c>
      <c r="U275" s="6" t="s">
        <v>363</v>
      </c>
      <c r="X275" s="11">
        <f>IF(Table132[[#This Row],[template]]="","",VLOOKUP(Table132[[#This Row],[IP_NAME]],Table511175[],2,FALSE))</f>
        <v>1</v>
      </c>
      <c r="Y275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>01000</v>
      </c>
      <c r="Z275" s="14">
        <f>IF(Table132[[#This Row],[template]]="","",HEX2DEC(Table132[[#This Row],[Addr_Hex]]))</f>
        <v>12607</v>
      </c>
    </row>
    <row r="276" spans="2:26" x14ac:dyDescent="0.3">
      <c r="B276" s="4"/>
      <c r="C276" s="4"/>
      <c r="D276" s="9" t="str">
        <f>UPPER(Table132[[#This Row],[SIGNAL]])</f>
        <v/>
      </c>
      <c r="E276" s="9" t="str">
        <f>IF(Table132[[#This Row],[template]]="","","0x"&amp;Table132[[#This Row],[IP_Index]]&amp;DEC2HEX(Table132[[#This Row],[Addr_Dec]]*4,7))</f>
        <v/>
      </c>
      <c r="F276" s="9" t="str">
        <f>IF(Table132[[#This Row],[template]]="","",VLOOKUP(Table132[[#This Row],[template]],Table29153[],2,FALSE))</f>
        <v/>
      </c>
      <c r="G276" s="18" t="str">
        <f>IF(Table132[[#This Row],[template]]="","","1")</f>
        <v/>
      </c>
      <c r="H276" s="10"/>
      <c r="I276" s="13" t="str">
        <f>IF(Table132[[#This Row],[template]]="","","0x"&amp;Table132[[#This Row],[D_Index]]&amp;"000")</f>
        <v/>
      </c>
      <c r="J276" s="18"/>
      <c r="K276" s="10"/>
      <c r="L276" s="11"/>
      <c r="M276" s="9" t="str">
        <f>IF(Table132[[#This Row],[template]]="","",Table132[[#This Row],[IP_NAME]]&amp;"_"&amp;Table132[[#This Row],[PARAM_NAME]]&amp;IF(Table132[[#This Row],[PARAM_SUB]]="","","_"&amp;Table132[[#This Row],[PARAM_SUB]]))</f>
        <v/>
      </c>
      <c r="P276" s="6"/>
      <c r="Q276" s="4"/>
      <c r="R276" s="6"/>
      <c r="T276" s="16"/>
      <c r="U276" s="6"/>
      <c r="X276" s="11" t="str">
        <f>IF(Table132[[#This Row],[template]]="","",VLOOKUP(Table132[[#This Row],[IP_NAME]],Table511175[],2,FALSE))</f>
        <v/>
      </c>
      <c r="Y276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/>
      </c>
      <c r="Z276" s="14" t="str">
        <f>IF(Table132[[#This Row],[template]]="","",HEX2DEC(Table132[[#This Row],[Addr_Hex]]))</f>
        <v/>
      </c>
    </row>
    <row r="277" spans="2:26" x14ac:dyDescent="0.3">
      <c r="B277" s="4">
        <v>646</v>
      </c>
      <c r="C277" s="4" t="s">
        <v>234</v>
      </c>
      <c r="D277" s="9" t="str">
        <f>UPPER(Table132[[#This Row],[SIGNAL]])</f>
        <v>EV_STRTEST</v>
      </c>
      <c r="E277" s="9" t="str">
        <f>IF(Table132[[#This Row],[template]]="","","0x"&amp;Table132[[#This Row],[IP_Index]]&amp;DEC2HEX(Table132[[#This Row],[Addr_Dec]]*4,7))</f>
        <v>0x10000000</v>
      </c>
      <c r="F277" s="9" t="str">
        <f>IF(Table132[[#This Row],[template]]="","",VLOOKUP(Table132[[#This Row],[template]],Table29153[],2,FALSE))</f>
        <v>asynParamOctet</v>
      </c>
      <c r="G277" s="18" t="str">
        <f>IF(Table132[[#This Row],[template]]="","","1")</f>
        <v>1</v>
      </c>
      <c r="H277" s="10"/>
      <c r="I277" s="13" t="str">
        <f>IF(Table132[[#This Row],[template]]="","","0x"&amp;Table132[[#This Row],[D_Index]]&amp;"000")</f>
        <v>0x01000000</v>
      </c>
      <c r="J277" s="18" t="s">
        <v>341</v>
      </c>
      <c r="K277" s="10">
        <v>0</v>
      </c>
      <c r="L277" s="11"/>
      <c r="M277" s="9" t="str">
        <f>IF(Table132[[#This Row],[template]]="","",Table132[[#This Row],[IP_NAME]]&amp;"_"&amp;Table132[[#This Row],[PARAM_NAME]]&amp;IF(Table132[[#This Row],[PARAM_SUB]]="","","_"&amp;Table132[[#This Row],[PARAM_SUB]]))</f>
        <v>ev_strTest</v>
      </c>
      <c r="N277" s="1" t="s">
        <v>262</v>
      </c>
      <c r="O277" s="1" t="s">
        <v>462</v>
      </c>
      <c r="P277" s="6"/>
      <c r="Q277" s="4">
        <v>0</v>
      </c>
      <c r="R277" s="6" t="s">
        <v>363</v>
      </c>
      <c r="S277" s="1" t="s">
        <v>254</v>
      </c>
      <c r="T277" s="16">
        <v>0</v>
      </c>
      <c r="U277" s="6" t="s">
        <v>363</v>
      </c>
      <c r="X277" s="11">
        <f>IF(Table132[[#This Row],[template]]="","",VLOOKUP(Table132[[#This Row],[IP_NAME]],Table511175[],2,FALSE))</f>
        <v>1</v>
      </c>
      <c r="Y277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>01000</v>
      </c>
      <c r="Z277" s="14">
        <f>IF(Table132[[#This Row],[template]]="","",HEX2DEC(Table132[[#This Row],[Addr_Hex]]))</f>
        <v>0</v>
      </c>
    </row>
    <row r="278" spans="2:26" x14ac:dyDescent="0.3">
      <c r="B278" s="4"/>
      <c r="C278" s="4"/>
      <c r="D278" s="9" t="str">
        <f>UPPER(Table132[[#This Row],[SIGNAL]])</f>
        <v/>
      </c>
      <c r="E278" s="9" t="str">
        <f>IF(Table132[[#This Row],[template]]="","","0x"&amp;Table132[[#This Row],[IP_Index]]&amp;DEC2HEX(Table132[[#This Row],[Addr_Dec]]*4,7))</f>
        <v/>
      </c>
      <c r="F278" s="9" t="str">
        <f>IF(Table132[[#This Row],[template]]="","",VLOOKUP(Table132[[#This Row],[template]],Table29153[],2,FALSE))</f>
        <v/>
      </c>
      <c r="G278" s="18" t="str">
        <f>IF(Table132[[#This Row],[template]]="","","1")</f>
        <v/>
      </c>
      <c r="H278" s="10"/>
      <c r="I278" s="13" t="str">
        <f>IF(Table132[[#This Row],[template]]="","","0x"&amp;Table132[[#This Row],[D_Index]]&amp;"000")</f>
        <v/>
      </c>
      <c r="J278" s="18"/>
      <c r="K278" s="10"/>
      <c r="L278" s="11"/>
      <c r="M278" s="9" t="str">
        <f>IF(Table132[[#This Row],[template]]="","",Table132[[#This Row],[IP_NAME]]&amp;"_"&amp;Table132[[#This Row],[PARAM_NAME]]&amp;IF(Table132[[#This Row],[PARAM_SUB]]="","","_"&amp;Table132[[#This Row],[PARAM_SUB]]))</f>
        <v/>
      </c>
      <c r="P278" s="6"/>
      <c r="Q278" s="4"/>
      <c r="R278" s="6"/>
      <c r="T278" s="16"/>
      <c r="U278" s="6"/>
      <c r="X278" s="11" t="str">
        <f>IF(Table132[[#This Row],[template]]="","",VLOOKUP(Table132[[#This Row],[IP_NAME]],Table511175[],2,FALSE))</f>
        <v/>
      </c>
      <c r="Y278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/>
      </c>
      <c r="Z278" s="14" t="str">
        <f>IF(Table132[[#This Row],[template]]="","",HEX2DEC(Table132[[#This Row],[Addr_Hex]]))</f>
        <v/>
      </c>
    </row>
    <row r="279" spans="2:26" x14ac:dyDescent="0.3">
      <c r="B279" s="4"/>
      <c r="C279" s="4"/>
      <c r="D279" s="9" t="str">
        <f>UPPER(Table132[[#This Row],[SIGNAL]])</f>
        <v/>
      </c>
      <c r="E279" s="9" t="str">
        <f>IF(Table132[[#This Row],[template]]="","","0x"&amp;Table132[[#This Row],[IP_Index]]&amp;DEC2HEX(Table132[[#This Row],[Addr_Dec]]*4,7))</f>
        <v/>
      </c>
      <c r="F279" s="9" t="str">
        <f>IF(Table132[[#This Row],[template]]="","",VLOOKUP(Table132[[#This Row],[template]],Table29153[],2,FALSE))</f>
        <v/>
      </c>
      <c r="G279" s="18" t="str">
        <f>IF(Table132[[#This Row],[template]]="","","1")</f>
        <v/>
      </c>
      <c r="H279" s="10"/>
      <c r="I279" s="13" t="str">
        <f>IF(Table132[[#This Row],[template]]="","","0x"&amp;Table132[[#This Row],[D_Index]]&amp;"000")</f>
        <v/>
      </c>
      <c r="J279" s="18"/>
      <c r="K279" s="10"/>
      <c r="L279" s="11"/>
      <c r="M279" s="9" t="str">
        <f>IF(Table132[[#This Row],[template]]="","",Table132[[#This Row],[IP_NAME]]&amp;"_"&amp;Table132[[#This Row],[PARAM_NAME]]&amp;IF(Table132[[#This Row],[PARAM_SUB]]="","","_"&amp;Table132[[#This Row],[PARAM_SUB]]))</f>
        <v/>
      </c>
      <c r="P279" s="6"/>
      <c r="Q279" s="4"/>
      <c r="R279" s="6"/>
      <c r="T279" s="16"/>
      <c r="U279" s="6"/>
      <c r="X279" s="11" t="str">
        <f>IF(Table132[[#This Row],[template]]="","",VLOOKUP(Table132[[#This Row],[IP_NAME]],Table511175[],2,FALSE))</f>
        <v/>
      </c>
      <c r="Y279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/>
      </c>
      <c r="Z279" s="14" t="str">
        <f>IF(Table132[[#This Row],[template]]="","",HEX2DEC(Table132[[#This Row],[Addr_Hex]]))</f>
        <v/>
      </c>
    </row>
    <row r="280" spans="2:26" x14ac:dyDescent="0.3">
      <c r="B280" s="4"/>
      <c r="C280" s="4" t="s">
        <v>457</v>
      </c>
      <c r="D280" s="9" t="str">
        <f>UPPER(Table132[[#This Row],[SIGNAL]])</f>
        <v>_</v>
      </c>
      <c r="E280" s="9" t="e">
        <f>IF(Table132[[#This Row],[template]]="","","0x"&amp;Table132[[#This Row],[IP_Index]]&amp;DEC2HEX(Table132[[#This Row],[Addr_Dec]]*4,7))</f>
        <v>#N/A</v>
      </c>
      <c r="F280" s="9">
        <f>IF(Table132[[#This Row],[template]]="","",VLOOKUP(Table132[[#This Row],[template]],Table29153[],2,FALSE))</f>
        <v>0</v>
      </c>
      <c r="G280" s="18" t="str">
        <f>IF(Table132[[#This Row],[template]]="","","1")</f>
        <v>1</v>
      </c>
      <c r="H280" s="10"/>
      <c r="I280" s="13" t="e">
        <f>IF(Table132[[#This Row],[template]]="","","0x"&amp;Table132[[#This Row],[D_Index]]&amp;"000")</f>
        <v>#N/A</v>
      </c>
      <c r="J280" s="18"/>
      <c r="K280" s="10"/>
      <c r="L280" s="11"/>
      <c r="M280" s="9" t="str">
        <f>IF(Table132[[#This Row],[template]]="","",Table132[[#This Row],[IP_NAME]]&amp;"_"&amp;Table132[[#This Row],[PARAM_NAME]]&amp;IF(Table132[[#This Row],[PARAM_SUB]]="","","_"&amp;Table132[[#This Row],[PARAM_SUB]]))</f>
        <v>_</v>
      </c>
      <c r="P280" s="6"/>
      <c r="Q280" s="4"/>
      <c r="R280" s="6"/>
      <c r="T280" s="16"/>
      <c r="U280" s="6"/>
      <c r="X280" s="11" t="e">
        <f>IF(Table132[[#This Row],[template]]="","",VLOOKUP(Table132[[#This Row],[IP_NAME]],Table511175[],2,FALSE))</f>
        <v>#N/A</v>
      </c>
      <c r="Y280" s="13" t="e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>#N/A</v>
      </c>
      <c r="Z280" s="14">
        <f>IF(Table132[[#This Row],[template]]="","",HEX2DEC(Table132[[#This Row],[Addr_Hex]]))</f>
        <v>0</v>
      </c>
    </row>
    <row r="281" spans="2:26" x14ac:dyDescent="0.3">
      <c r="B281" s="4"/>
      <c r="C281" s="4"/>
      <c r="D281" s="9" t="str">
        <f>UPPER(Table132[[#This Row],[SIGNAL]])</f>
        <v/>
      </c>
      <c r="E281" s="9" t="str">
        <f>IF(Table132[[#This Row],[template]]="","","0x"&amp;Table132[[#This Row],[IP_Index]]&amp;DEC2HEX(Table132[[#This Row],[Addr_Dec]]*4,7))</f>
        <v/>
      </c>
      <c r="F281" s="9" t="str">
        <f>IF(Table132[[#This Row],[template]]="","",VLOOKUP(Table132[[#This Row],[template]],Table29153[],2,FALSE))</f>
        <v/>
      </c>
      <c r="G281" s="18" t="str">
        <f>IF(Table132[[#This Row],[template]]="","","1")</f>
        <v/>
      </c>
      <c r="H281" s="10"/>
      <c r="I281" s="13" t="str">
        <f>IF(Table132[[#This Row],[template]]="","","0x"&amp;Table132[[#This Row],[D_Index]]&amp;"000")</f>
        <v/>
      </c>
      <c r="J281" s="18"/>
      <c r="K281" s="10"/>
      <c r="L281" s="11"/>
      <c r="M281" s="9" t="str">
        <f>IF(Table132[[#This Row],[template]]="","",Table132[[#This Row],[IP_NAME]]&amp;"_"&amp;Table132[[#This Row],[PARAM_NAME]]&amp;IF(Table132[[#This Row],[PARAM_SUB]]="","","_"&amp;Table132[[#This Row],[PARAM_SUB]]))</f>
        <v/>
      </c>
      <c r="P281" s="6"/>
      <c r="Q281" s="4"/>
      <c r="R281" s="6"/>
      <c r="T281" s="16"/>
      <c r="U281" s="6"/>
      <c r="X281" s="11" t="str">
        <f>IF(Table132[[#This Row],[template]]="","",VLOOKUP(Table132[[#This Row],[IP_NAME]],Table511175[],2,FALSE))</f>
        <v/>
      </c>
      <c r="Y281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/>
      </c>
      <c r="Z281" s="14" t="str">
        <f>IF(Table132[[#This Row],[template]]="","",HEX2DEC(Table132[[#This Row],[Addr_Hex]]))</f>
        <v/>
      </c>
    </row>
    <row r="282" spans="2:26" x14ac:dyDescent="0.3">
      <c r="B282" s="4"/>
      <c r="C282" s="4"/>
      <c r="D282" s="9" t="str">
        <f>UPPER(Table132[[#This Row],[SIGNAL]])</f>
        <v/>
      </c>
      <c r="E282" s="9" t="str">
        <f>IF(Table132[[#This Row],[template]]="","","0x"&amp;Table132[[#This Row],[IP_Index]]&amp;DEC2HEX(Table132[[#This Row],[Addr_Dec]]*4,7))</f>
        <v/>
      </c>
      <c r="F282" s="9" t="str">
        <f>IF(Table132[[#This Row],[template]]="","",VLOOKUP(Table132[[#This Row],[template]],Table29153[],2,FALSE))</f>
        <v/>
      </c>
      <c r="G282" s="18" t="str">
        <f>IF(Table132[[#This Row],[template]]="","","1")</f>
        <v/>
      </c>
      <c r="H282" s="10"/>
      <c r="I282" s="13" t="str">
        <f>IF(Table132[[#This Row],[template]]="","","0x"&amp;Table132[[#This Row],[D_Index]]&amp;"000")</f>
        <v/>
      </c>
      <c r="J282" s="18"/>
      <c r="K282" s="10"/>
      <c r="L282" s="11"/>
      <c r="M282" s="9" t="str">
        <f>IF(Table132[[#This Row],[template]]="","",Table132[[#This Row],[IP_NAME]]&amp;"_"&amp;Table132[[#This Row],[PARAM_NAME]]&amp;IF(Table132[[#This Row],[PARAM_SUB]]="","","_"&amp;Table132[[#This Row],[PARAM_SUB]]))</f>
        <v/>
      </c>
      <c r="P282" s="6"/>
      <c r="Q282" s="4"/>
      <c r="R282" s="6"/>
      <c r="T282" s="16"/>
      <c r="U282" s="6"/>
      <c r="X282" s="11" t="str">
        <f>IF(Table132[[#This Row],[template]]="","",VLOOKUP(Table132[[#This Row],[IP_NAME]],Table511175[],2,FALSE))</f>
        <v/>
      </c>
      <c r="Y282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/>
      </c>
      <c r="Z282" s="14" t="str">
        <f>IF(Table132[[#This Row],[template]]="","",HEX2DEC(Table132[[#This Row],[Addr_Hex]]))</f>
        <v/>
      </c>
    </row>
    <row r="283" spans="2:26" x14ac:dyDescent="0.3">
      <c r="B283" s="4" t="s">
        <v>465</v>
      </c>
      <c r="C283" s="4" t="s">
        <v>456</v>
      </c>
      <c r="D283" s="9" t="str">
        <f>UPPER(Table132[[#This Row],[SIGNAL]])</f>
        <v>EV_PDPRUNCNTR_0</v>
      </c>
      <c r="E283" s="9" t="str">
        <f>IF(Table132[[#This Row],[template]]="","","0x"&amp;Table132[[#This Row],[IP_Index]]&amp;DEC2HEX(Table132[[#This Row],[Addr_Dec]]*4,7))</f>
        <v>0x1000C500</v>
      </c>
      <c r="F283" s="9" t="str">
        <f>IF(Table132[[#This Row],[template]]="","",VLOOKUP(Table132[[#This Row],[template]],Table29153[],2,FALSE))</f>
        <v>asynParamInt32</v>
      </c>
      <c r="G283" s="18" t="str">
        <f>IF(Table132[[#This Row],[template]]="","","1")</f>
        <v>1</v>
      </c>
      <c r="H283" s="10" t="s">
        <v>454</v>
      </c>
      <c r="I283" s="13" t="str">
        <f>IF(Table132[[#This Row],[template]]="","","0x"&amp;Table132[[#This Row],[D_Index]]&amp;"000")</f>
        <v>0x02100000</v>
      </c>
      <c r="J283" s="18" t="s">
        <v>341</v>
      </c>
      <c r="K283" s="10">
        <v>0</v>
      </c>
      <c r="L283" s="11"/>
      <c r="M283" s="9" t="str">
        <f>IF(Table132[[#This Row],[template]]="","",Table132[[#This Row],[IP_NAME]]&amp;"_"&amp;Table132[[#This Row],[PARAM_NAME]]&amp;IF(Table132[[#This Row],[PARAM_SUB]]="","","_"&amp;Table132[[#This Row],[PARAM_SUB]]))</f>
        <v>ev_pdpRunCntr_0</v>
      </c>
      <c r="N283" s="1" t="s">
        <v>262</v>
      </c>
      <c r="O283" s="1" t="s">
        <v>450</v>
      </c>
      <c r="P283" s="6" t="s">
        <v>367</v>
      </c>
      <c r="Q283" s="20" t="str">
        <f>DEC2HEX(HEX2DEC(Table132[[#This Row],[Index]])/4+Table132[[#This Row],[PARAM_SUB]],4)</f>
        <v>3140</v>
      </c>
      <c r="R283" s="6" t="s">
        <v>363</v>
      </c>
      <c r="S283" s="1" t="s">
        <v>311</v>
      </c>
      <c r="T283" s="16">
        <v>16</v>
      </c>
      <c r="U283" s="6" t="s">
        <v>363</v>
      </c>
      <c r="X283" s="11">
        <f>IF(Table132[[#This Row],[template]]="","",VLOOKUP(Table132[[#This Row],[IP_NAME]],Table511175[],2,FALSE))</f>
        <v>1</v>
      </c>
      <c r="Y283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>02100</v>
      </c>
      <c r="Z283" s="14">
        <f>IF(Table132[[#This Row],[template]]="","",HEX2DEC(Table132[[#This Row],[Addr_Hex]]))</f>
        <v>12608</v>
      </c>
    </row>
    <row r="284" spans="2:26" x14ac:dyDescent="0.3">
      <c r="B284" s="4" t="s">
        <v>465</v>
      </c>
      <c r="C284" s="4" t="s">
        <v>456</v>
      </c>
      <c r="D284" s="9" t="str">
        <f>UPPER(Table132[[#This Row],[SIGNAL]])</f>
        <v>EV_PDPRUNCNTR_1</v>
      </c>
      <c r="E284" s="9" t="str">
        <f>IF(Table132[[#This Row],[template]]="","","0x"&amp;Table132[[#This Row],[IP_Index]]&amp;DEC2HEX(Table132[[#This Row],[Addr_Dec]]*4,7))</f>
        <v>0x1000C504</v>
      </c>
      <c r="F284" s="9" t="str">
        <f>IF(Table132[[#This Row],[template]]="","",VLOOKUP(Table132[[#This Row],[template]],Table29153[],2,FALSE))</f>
        <v>asynParamInt32</v>
      </c>
      <c r="G284" s="18" t="str">
        <f>IF(Table132[[#This Row],[template]]="","","1")</f>
        <v>1</v>
      </c>
      <c r="H284" s="10" t="s">
        <v>454</v>
      </c>
      <c r="I284" s="13" t="str">
        <f>IF(Table132[[#This Row],[template]]="","","0x"&amp;Table132[[#This Row],[D_Index]]&amp;"000")</f>
        <v>0x02100000</v>
      </c>
      <c r="J284" s="18" t="s">
        <v>341</v>
      </c>
      <c r="K284" s="10">
        <v>0</v>
      </c>
      <c r="L284" s="11"/>
      <c r="M284" s="9" t="str">
        <f>IF(Table132[[#This Row],[template]]="","",Table132[[#This Row],[IP_NAME]]&amp;"_"&amp;Table132[[#This Row],[PARAM_NAME]]&amp;IF(Table132[[#This Row],[PARAM_SUB]]="","","_"&amp;Table132[[#This Row],[PARAM_SUB]]))</f>
        <v>ev_pdpRunCntr_1</v>
      </c>
      <c r="N284" s="1" t="s">
        <v>262</v>
      </c>
      <c r="O284" s="1" t="s">
        <v>450</v>
      </c>
      <c r="P284" s="6" t="s">
        <v>271</v>
      </c>
      <c r="Q284" s="20" t="str">
        <f>DEC2HEX(HEX2DEC(Table132[[#This Row],[Index]])/4+Table132[[#This Row],[PARAM_SUB]],4)</f>
        <v>3141</v>
      </c>
      <c r="R284" s="6" t="s">
        <v>363</v>
      </c>
      <c r="S284" s="1" t="s">
        <v>311</v>
      </c>
      <c r="T284" s="16">
        <v>16</v>
      </c>
      <c r="U284" s="6" t="s">
        <v>363</v>
      </c>
      <c r="X284" s="11">
        <f>IF(Table132[[#This Row],[template]]="","",VLOOKUP(Table132[[#This Row],[IP_NAME]],Table511175[],2,FALSE))</f>
        <v>1</v>
      </c>
      <c r="Y284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>02100</v>
      </c>
      <c r="Z284" s="14">
        <f>IF(Table132[[#This Row],[template]]="","",HEX2DEC(Table132[[#This Row],[Addr_Hex]]))</f>
        <v>12609</v>
      </c>
    </row>
    <row r="285" spans="2:26" x14ac:dyDescent="0.3">
      <c r="B285" s="4" t="s">
        <v>465</v>
      </c>
      <c r="C285" s="4" t="s">
        <v>456</v>
      </c>
      <c r="D285" s="9" t="str">
        <f>UPPER(Table132[[#This Row],[SIGNAL]])</f>
        <v>EV_PDPRUNCNTR_2</v>
      </c>
      <c r="E285" s="9" t="str">
        <f>IF(Table132[[#This Row],[template]]="","","0x"&amp;Table132[[#This Row],[IP_Index]]&amp;DEC2HEX(Table132[[#This Row],[Addr_Dec]]*4,7))</f>
        <v>0x1000C508</v>
      </c>
      <c r="F285" s="9" t="str">
        <f>IF(Table132[[#This Row],[template]]="","",VLOOKUP(Table132[[#This Row],[template]],Table29153[],2,FALSE))</f>
        <v>asynParamInt32</v>
      </c>
      <c r="G285" s="18" t="str">
        <f>IF(Table132[[#This Row],[template]]="","","1")</f>
        <v>1</v>
      </c>
      <c r="H285" s="10" t="s">
        <v>454</v>
      </c>
      <c r="I285" s="13" t="str">
        <f>IF(Table132[[#This Row],[template]]="","","0x"&amp;Table132[[#This Row],[D_Index]]&amp;"000")</f>
        <v>0x02100000</v>
      </c>
      <c r="J285" s="18" t="s">
        <v>341</v>
      </c>
      <c r="K285" s="10">
        <v>0</v>
      </c>
      <c r="L285" s="11"/>
      <c r="M285" s="9" t="str">
        <f>IF(Table132[[#This Row],[template]]="","",Table132[[#This Row],[IP_NAME]]&amp;"_"&amp;Table132[[#This Row],[PARAM_NAME]]&amp;IF(Table132[[#This Row],[PARAM_SUB]]="","","_"&amp;Table132[[#This Row],[PARAM_SUB]]))</f>
        <v>ev_pdpRunCntr_2</v>
      </c>
      <c r="N285" s="1" t="s">
        <v>262</v>
      </c>
      <c r="O285" s="1" t="s">
        <v>450</v>
      </c>
      <c r="P285" s="6" t="s">
        <v>243</v>
      </c>
      <c r="Q285" s="20" t="str">
        <f>DEC2HEX(HEX2DEC(Table132[[#This Row],[Index]])/4+Table132[[#This Row],[PARAM_SUB]],4)</f>
        <v>3142</v>
      </c>
      <c r="R285" s="6" t="s">
        <v>363</v>
      </c>
      <c r="S285" s="1" t="s">
        <v>311</v>
      </c>
      <c r="T285" s="16">
        <v>16</v>
      </c>
      <c r="U285" s="6" t="s">
        <v>363</v>
      </c>
      <c r="X285" s="11">
        <f>IF(Table132[[#This Row],[template]]="","",VLOOKUP(Table132[[#This Row],[IP_NAME]],Table511175[],2,FALSE))</f>
        <v>1</v>
      </c>
      <c r="Y285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>02100</v>
      </c>
      <c r="Z285" s="14">
        <f>IF(Table132[[#This Row],[template]]="","",HEX2DEC(Table132[[#This Row],[Addr_Hex]]))</f>
        <v>12610</v>
      </c>
    </row>
    <row r="286" spans="2:26" x14ac:dyDescent="0.3">
      <c r="B286" s="4" t="s">
        <v>465</v>
      </c>
      <c r="C286" s="4" t="s">
        <v>456</v>
      </c>
      <c r="D286" s="9" t="str">
        <f>UPPER(Table132[[#This Row],[SIGNAL]])</f>
        <v>EV_PDPRUNCNTR_3</v>
      </c>
      <c r="E286" s="9" t="str">
        <f>IF(Table132[[#This Row],[template]]="","","0x"&amp;Table132[[#This Row],[IP_Index]]&amp;DEC2HEX(Table132[[#This Row],[Addr_Dec]]*4,7))</f>
        <v>0x1000C50C</v>
      </c>
      <c r="F286" s="9" t="str">
        <f>IF(Table132[[#This Row],[template]]="","",VLOOKUP(Table132[[#This Row],[template]],Table29153[],2,FALSE))</f>
        <v>asynParamInt32</v>
      </c>
      <c r="G286" s="18" t="str">
        <f>IF(Table132[[#This Row],[template]]="","","1")</f>
        <v>1</v>
      </c>
      <c r="H286" s="10" t="s">
        <v>454</v>
      </c>
      <c r="I286" s="13" t="str">
        <f>IF(Table132[[#This Row],[template]]="","","0x"&amp;Table132[[#This Row],[D_Index]]&amp;"000")</f>
        <v>0x02100000</v>
      </c>
      <c r="J286" s="18" t="s">
        <v>341</v>
      </c>
      <c r="K286" s="10">
        <v>0</v>
      </c>
      <c r="L286" s="11"/>
      <c r="M286" s="9" t="str">
        <f>IF(Table132[[#This Row],[template]]="","",Table132[[#This Row],[IP_NAME]]&amp;"_"&amp;Table132[[#This Row],[PARAM_NAME]]&amp;IF(Table132[[#This Row],[PARAM_SUB]]="","","_"&amp;Table132[[#This Row],[PARAM_SUB]]))</f>
        <v>ev_pdpRunCntr_3</v>
      </c>
      <c r="N286" s="1" t="s">
        <v>262</v>
      </c>
      <c r="O286" s="1" t="s">
        <v>450</v>
      </c>
      <c r="P286" s="6" t="s">
        <v>244</v>
      </c>
      <c r="Q286" s="20" t="str">
        <f>DEC2HEX(HEX2DEC(Table132[[#This Row],[Index]])/4+Table132[[#This Row],[PARAM_SUB]],4)</f>
        <v>3143</v>
      </c>
      <c r="R286" s="6" t="s">
        <v>363</v>
      </c>
      <c r="S286" s="1" t="s">
        <v>311</v>
      </c>
      <c r="T286" s="16">
        <v>16</v>
      </c>
      <c r="U286" s="6" t="s">
        <v>363</v>
      </c>
      <c r="X286" s="11">
        <f>IF(Table132[[#This Row],[template]]="","",VLOOKUP(Table132[[#This Row],[IP_NAME]],Table511175[],2,FALSE))</f>
        <v>1</v>
      </c>
      <c r="Y286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>02100</v>
      </c>
      <c r="Z286" s="14">
        <f>IF(Table132[[#This Row],[template]]="","",HEX2DEC(Table132[[#This Row],[Addr_Hex]]))</f>
        <v>12611</v>
      </c>
    </row>
    <row r="287" spans="2:26" x14ac:dyDescent="0.3">
      <c r="B287" s="4" t="s">
        <v>465</v>
      </c>
      <c r="C287" s="4" t="s">
        <v>456</v>
      </c>
      <c r="D287" s="9" t="str">
        <f>UPPER(Table132[[#This Row],[SIGNAL]])</f>
        <v>EV_PDPRUNCNTR_4</v>
      </c>
      <c r="E287" s="9" t="str">
        <f>IF(Table132[[#This Row],[template]]="","","0x"&amp;Table132[[#This Row],[IP_Index]]&amp;DEC2HEX(Table132[[#This Row],[Addr_Dec]]*4,7))</f>
        <v>0x1000C510</v>
      </c>
      <c r="F287" s="9" t="str">
        <f>IF(Table132[[#This Row],[template]]="","",VLOOKUP(Table132[[#This Row],[template]],Table29153[],2,FALSE))</f>
        <v>asynParamInt32</v>
      </c>
      <c r="G287" s="18" t="str">
        <f>IF(Table132[[#This Row],[template]]="","","1")</f>
        <v>1</v>
      </c>
      <c r="H287" s="10" t="s">
        <v>454</v>
      </c>
      <c r="I287" s="13" t="str">
        <f>IF(Table132[[#This Row],[template]]="","","0x"&amp;Table132[[#This Row],[D_Index]]&amp;"000")</f>
        <v>0x02100000</v>
      </c>
      <c r="J287" s="18" t="s">
        <v>341</v>
      </c>
      <c r="K287" s="10">
        <v>0</v>
      </c>
      <c r="L287" s="11"/>
      <c r="M287" s="9" t="str">
        <f>IF(Table132[[#This Row],[template]]="","",Table132[[#This Row],[IP_NAME]]&amp;"_"&amp;Table132[[#This Row],[PARAM_NAME]]&amp;IF(Table132[[#This Row],[PARAM_SUB]]="","","_"&amp;Table132[[#This Row],[PARAM_SUB]]))</f>
        <v>ev_pdpRunCntr_4</v>
      </c>
      <c r="N287" s="1" t="s">
        <v>262</v>
      </c>
      <c r="O287" s="1" t="s">
        <v>450</v>
      </c>
      <c r="P287" s="6" t="s">
        <v>245</v>
      </c>
      <c r="Q287" s="20" t="str">
        <f>DEC2HEX(HEX2DEC(Table132[[#This Row],[Index]])/4+Table132[[#This Row],[PARAM_SUB]],4)</f>
        <v>3144</v>
      </c>
      <c r="R287" s="6" t="s">
        <v>363</v>
      </c>
      <c r="S287" s="1" t="s">
        <v>311</v>
      </c>
      <c r="T287" s="16">
        <v>16</v>
      </c>
      <c r="U287" s="6" t="s">
        <v>363</v>
      </c>
      <c r="X287" s="11">
        <f>IF(Table132[[#This Row],[template]]="","",VLOOKUP(Table132[[#This Row],[IP_NAME]],Table511175[],2,FALSE))</f>
        <v>1</v>
      </c>
      <c r="Y287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>02100</v>
      </c>
      <c r="Z287" s="14">
        <f>IF(Table132[[#This Row],[template]]="","",HEX2DEC(Table132[[#This Row],[Addr_Hex]]))</f>
        <v>12612</v>
      </c>
    </row>
    <row r="288" spans="2:26" x14ac:dyDescent="0.3">
      <c r="B288" s="4" t="s">
        <v>465</v>
      </c>
      <c r="C288" s="4" t="s">
        <v>456</v>
      </c>
      <c r="D288" s="9" t="str">
        <f>UPPER(Table132[[#This Row],[SIGNAL]])</f>
        <v>EV_PDPRUNCNTR_5</v>
      </c>
      <c r="E288" s="9" t="str">
        <f>IF(Table132[[#This Row],[template]]="","","0x"&amp;Table132[[#This Row],[IP_Index]]&amp;DEC2HEX(Table132[[#This Row],[Addr_Dec]]*4,7))</f>
        <v>0x1000C514</v>
      </c>
      <c r="F288" s="9" t="str">
        <f>IF(Table132[[#This Row],[template]]="","",VLOOKUP(Table132[[#This Row],[template]],Table29153[],2,FALSE))</f>
        <v>asynParamInt32</v>
      </c>
      <c r="G288" s="18" t="str">
        <f>IF(Table132[[#This Row],[template]]="","","1")</f>
        <v>1</v>
      </c>
      <c r="H288" s="10" t="s">
        <v>454</v>
      </c>
      <c r="I288" s="13" t="str">
        <f>IF(Table132[[#This Row],[template]]="","","0x"&amp;Table132[[#This Row],[D_Index]]&amp;"000")</f>
        <v>0x02100000</v>
      </c>
      <c r="J288" s="18" t="s">
        <v>341</v>
      </c>
      <c r="K288" s="10">
        <v>0</v>
      </c>
      <c r="L288" s="11"/>
      <c r="M288" s="9" t="str">
        <f>IF(Table132[[#This Row],[template]]="","",Table132[[#This Row],[IP_NAME]]&amp;"_"&amp;Table132[[#This Row],[PARAM_NAME]]&amp;IF(Table132[[#This Row],[PARAM_SUB]]="","","_"&amp;Table132[[#This Row],[PARAM_SUB]]))</f>
        <v>ev_pdpRunCntr_5</v>
      </c>
      <c r="N288" s="1" t="s">
        <v>262</v>
      </c>
      <c r="O288" s="1" t="s">
        <v>450</v>
      </c>
      <c r="P288" s="6" t="s">
        <v>246</v>
      </c>
      <c r="Q288" s="20" t="str">
        <f>DEC2HEX(HEX2DEC(Table132[[#This Row],[Index]])/4+Table132[[#This Row],[PARAM_SUB]],4)</f>
        <v>3145</v>
      </c>
      <c r="R288" s="6" t="s">
        <v>363</v>
      </c>
      <c r="S288" s="1" t="s">
        <v>311</v>
      </c>
      <c r="T288" s="16">
        <v>16</v>
      </c>
      <c r="U288" s="6" t="s">
        <v>363</v>
      </c>
      <c r="X288" s="11">
        <f>IF(Table132[[#This Row],[template]]="","",VLOOKUP(Table132[[#This Row],[IP_NAME]],Table511175[],2,FALSE))</f>
        <v>1</v>
      </c>
      <c r="Y288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>02100</v>
      </c>
      <c r="Z288" s="14">
        <f>IF(Table132[[#This Row],[template]]="","",HEX2DEC(Table132[[#This Row],[Addr_Hex]]))</f>
        <v>12613</v>
      </c>
    </row>
    <row r="289" spans="2:26" x14ac:dyDescent="0.3">
      <c r="B289" s="4" t="s">
        <v>465</v>
      </c>
      <c r="C289" s="4" t="s">
        <v>456</v>
      </c>
      <c r="D289" s="9" t="str">
        <f>UPPER(Table132[[#This Row],[SIGNAL]])</f>
        <v>EV_PDPRUNCNTR_6</v>
      </c>
      <c r="E289" s="9" t="str">
        <f>IF(Table132[[#This Row],[template]]="","","0x"&amp;Table132[[#This Row],[IP_Index]]&amp;DEC2HEX(Table132[[#This Row],[Addr_Dec]]*4,7))</f>
        <v>0x1000C518</v>
      </c>
      <c r="F289" s="9" t="str">
        <f>IF(Table132[[#This Row],[template]]="","",VLOOKUP(Table132[[#This Row],[template]],Table29153[],2,FALSE))</f>
        <v>asynParamInt32</v>
      </c>
      <c r="G289" s="18" t="str">
        <f>IF(Table132[[#This Row],[template]]="","","1")</f>
        <v>1</v>
      </c>
      <c r="H289" s="10" t="s">
        <v>454</v>
      </c>
      <c r="I289" s="13" t="str">
        <f>IF(Table132[[#This Row],[template]]="","","0x"&amp;Table132[[#This Row],[D_Index]]&amp;"000")</f>
        <v>0x02100000</v>
      </c>
      <c r="J289" s="18" t="s">
        <v>341</v>
      </c>
      <c r="K289" s="10">
        <v>0</v>
      </c>
      <c r="L289" s="11"/>
      <c r="M289" s="9" t="str">
        <f>IF(Table132[[#This Row],[template]]="","",Table132[[#This Row],[IP_NAME]]&amp;"_"&amp;Table132[[#This Row],[PARAM_NAME]]&amp;IF(Table132[[#This Row],[PARAM_SUB]]="","","_"&amp;Table132[[#This Row],[PARAM_SUB]]))</f>
        <v>ev_pdpRunCntr_6</v>
      </c>
      <c r="N289" s="1" t="s">
        <v>262</v>
      </c>
      <c r="O289" s="1" t="s">
        <v>450</v>
      </c>
      <c r="P289" s="6" t="s">
        <v>247</v>
      </c>
      <c r="Q289" s="20" t="str">
        <f>DEC2HEX(HEX2DEC(Table132[[#This Row],[Index]])/4+Table132[[#This Row],[PARAM_SUB]],4)</f>
        <v>3146</v>
      </c>
      <c r="R289" s="6" t="s">
        <v>363</v>
      </c>
      <c r="S289" s="1" t="s">
        <v>311</v>
      </c>
      <c r="T289" s="16">
        <v>16</v>
      </c>
      <c r="U289" s="6" t="s">
        <v>363</v>
      </c>
      <c r="X289" s="11">
        <f>IF(Table132[[#This Row],[template]]="","",VLOOKUP(Table132[[#This Row],[IP_NAME]],Table511175[],2,FALSE))</f>
        <v>1</v>
      </c>
      <c r="Y289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>02100</v>
      </c>
      <c r="Z289" s="14">
        <f>IF(Table132[[#This Row],[template]]="","",HEX2DEC(Table132[[#This Row],[Addr_Hex]]))</f>
        <v>12614</v>
      </c>
    </row>
    <row r="290" spans="2:26" x14ac:dyDescent="0.3">
      <c r="B290" s="4" t="s">
        <v>465</v>
      </c>
      <c r="C290" s="4" t="s">
        <v>456</v>
      </c>
      <c r="D290" s="9" t="str">
        <f>UPPER(Table132[[#This Row],[SIGNAL]])</f>
        <v>EV_PDPRUNCNTR_7</v>
      </c>
      <c r="E290" s="9" t="str">
        <f>IF(Table132[[#This Row],[template]]="","","0x"&amp;Table132[[#This Row],[IP_Index]]&amp;DEC2HEX(Table132[[#This Row],[Addr_Dec]]*4,7))</f>
        <v>0x1000C51C</v>
      </c>
      <c r="F290" s="9" t="str">
        <f>IF(Table132[[#This Row],[template]]="","",VLOOKUP(Table132[[#This Row],[template]],Table29153[],2,FALSE))</f>
        <v>asynParamInt32</v>
      </c>
      <c r="G290" s="18" t="str">
        <f>IF(Table132[[#This Row],[template]]="","","1")</f>
        <v>1</v>
      </c>
      <c r="H290" s="10" t="s">
        <v>454</v>
      </c>
      <c r="I290" s="13" t="str">
        <f>IF(Table132[[#This Row],[template]]="","","0x"&amp;Table132[[#This Row],[D_Index]]&amp;"000")</f>
        <v>0x02100000</v>
      </c>
      <c r="J290" s="18" t="s">
        <v>341</v>
      </c>
      <c r="K290" s="10">
        <v>0</v>
      </c>
      <c r="L290" s="11"/>
      <c r="M290" s="9" t="str">
        <f>IF(Table132[[#This Row],[template]]="","",Table132[[#This Row],[IP_NAME]]&amp;"_"&amp;Table132[[#This Row],[PARAM_NAME]]&amp;IF(Table132[[#This Row],[PARAM_SUB]]="","","_"&amp;Table132[[#This Row],[PARAM_SUB]]))</f>
        <v>ev_pdpRunCntr_7</v>
      </c>
      <c r="N290" s="1" t="s">
        <v>262</v>
      </c>
      <c r="O290" s="1" t="s">
        <v>450</v>
      </c>
      <c r="P290" s="6" t="s">
        <v>248</v>
      </c>
      <c r="Q290" s="20" t="str">
        <f>DEC2HEX(HEX2DEC(Table132[[#This Row],[Index]])/4+Table132[[#This Row],[PARAM_SUB]],4)</f>
        <v>3147</v>
      </c>
      <c r="R290" s="6" t="s">
        <v>363</v>
      </c>
      <c r="S290" s="1" t="s">
        <v>311</v>
      </c>
      <c r="T290" s="16">
        <v>16</v>
      </c>
      <c r="U290" s="6" t="s">
        <v>363</v>
      </c>
      <c r="X290" s="11">
        <f>IF(Table132[[#This Row],[template]]="","",VLOOKUP(Table132[[#This Row],[IP_NAME]],Table511175[],2,FALSE))</f>
        <v>1</v>
      </c>
      <c r="Y290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>02100</v>
      </c>
      <c r="Z290" s="14">
        <f>IF(Table132[[#This Row],[template]]="","",HEX2DEC(Table132[[#This Row],[Addr_Hex]]))</f>
        <v>12615</v>
      </c>
    </row>
    <row r="291" spans="2:26" x14ac:dyDescent="0.3">
      <c r="B291" s="4" t="s">
        <v>465</v>
      </c>
      <c r="C291" s="4" t="s">
        <v>456</v>
      </c>
      <c r="D291" s="9" t="str">
        <f>UPPER(Table132[[#This Row],[SIGNAL]])</f>
        <v>EV_PDPRUNCNTR_8</v>
      </c>
      <c r="E291" s="9" t="str">
        <f>IF(Table132[[#This Row],[template]]="","","0x"&amp;Table132[[#This Row],[IP_Index]]&amp;DEC2HEX(Table132[[#This Row],[Addr_Dec]]*4,7))</f>
        <v>0x1000C520</v>
      </c>
      <c r="F291" s="9" t="str">
        <f>IF(Table132[[#This Row],[template]]="","",VLOOKUP(Table132[[#This Row],[template]],Table29153[],2,FALSE))</f>
        <v>asynParamInt32</v>
      </c>
      <c r="G291" s="18" t="str">
        <f>IF(Table132[[#This Row],[template]]="","","1")</f>
        <v>1</v>
      </c>
      <c r="H291" s="10" t="s">
        <v>454</v>
      </c>
      <c r="I291" s="13" t="str">
        <f>IF(Table132[[#This Row],[template]]="","","0x"&amp;Table132[[#This Row],[D_Index]]&amp;"000")</f>
        <v>0x02100000</v>
      </c>
      <c r="J291" s="18" t="s">
        <v>341</v>
      </c>
      <c r="K291" s="10">
        <v>0</v>
      </c>
      <c r="L291" s="11"/>
      <c r="M291" s="9" t="str">
        <f>IF(Table132[[#This Row],[template]]="","",Table132[[#This Row],[IP_NAME]]&amp;"_"&amp;Table132[[#This Row],[PARAM_NAME]]&amp;IF(Table132[[#This Row],[PARAM_SUB]]="","","_"&amp;Table132[[#This Row],[PARAM_SUB]]))</f>
        <v>ev_pdpRunCntr_8</v>
      </c>
      <c r="N291" s="1" t="s">
        <v>262</v>
      </c>
      <c r="O291" s="1" t="s">
        <v>450</v>
      </c>
      <c r="P291" s="6" t="s">
        <v>249</v>
      </c>
      <c r="Q291" s="20" t="str">
        <f>DEC2HEX(HEX2DEC(Table132[[#This Row],[Index]])/4+Table132[[#This Row],[PARAM_SUB]],4)</f>
        <v>3148</v>
      </c>
      <c r="R291" s="6" t="s">
        <v>363</v>
      </c>
      <c r="S291" s="1" t="s">
        <v>311</v>
      </c>
      <c r="T291" s="16">
        <v>16</v>
      </c>
      <c r="U291" s="6" t="s">
        <v>363</v>
      </c>
      <c r="X291" s="11">
        <f>IF(Table132[[#This Row],[template]]="","",VLOOKUP(Table132[[#This Row],[IP_NAME]],Table511175[],2,FALSE))</f>
        <v>1</v>
      </c>
      <c r="Y291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>02100</v>
      </c>
      <c r="Z291" s="14">
        <f>IF(Table132[[#This Row],[template]]="","",HEX2DEC(Table132[[#This Row],[Addr_Hex]]))</f>
        <v>12616</v>
      </c>
    </row>
    <row r="292" spans="2:26" x14ac:dyDescent="0.3">
      <c r="B292" s="4" t="s">
        <v>465</v>
      </c>
      <c r="C292" s="4" t="s">
        <v>456</v>
      </c>
      <c r="D292" s="9" t="str">
        <f>UPPER(Table132[[#This Row],[SIGNAL]])</f>
        <v>EV_PDPRUNCNTR_9</v>
      </c>
      <c r="E292" s="9" t="str">
        <f>IF(Table132[[#This Row],[template]]="","","0x"&amp;Table132[[#This Row],[IP_Index]]&amp;DEC2HEX(Table132[[#This Row],[Addr_Dec]]*4,7))</f>
        <v>0x1000C524</v>
      </c>
      <c r="F292" s="9" t="str">
        <f>IF(Table132[[#This Row],[template]]="","",VLOOKUP(Table132[[#This Row],[template]],Table29153[],2,FALSE))</f>
        <v>asynParamInt32</v>
      </c>
      <c r="G292" s="18" t="str">
        <f>IF(Table132[[#This Row],[template]]="","","1")</f>
        <v>1</v>
      </c>
      <c r="H292" s="10" t="s">
        <v>454</v>
      </c>
      <c r="I292" s="13" t="str">
        <f>IF(Table132[[#This Row],[template]]="","","0x"&amp;Table132[[#This Row],[D_Index]]&amp;"000")</f>
        <v>0x02100000</v>
      </c>
      <c r="J292" s="18" t="s">
        <v>341</v>
      </c>
      <c r="K292" s="10">
        <v>0</v>
      </c>
      <c r="L292" s="11"/>
      <c r="M292" s="9" t="str">
        <f>IF(Table132[[#This Row],[template]]="","",Table132[[#This Row],[IP_NAME]]&amp;"_"&amp;Table132[[#This Row],[PARAM_NAME]]&amp;IF(Table132[[#This Row],[PARAM_SUB]]="","","_"&amp;Table132[[#This Row],[PARAM_SUB]]))</f>
        <v>ev_pdpRunCntr_9</v>
      </c>
      <c r="N292" s="1" t="s">
        <v>262</v>
      </c>
      <c r="O292" s="1" t="s">
        <v>450</v>
      </c>
      <c r="P292" s="6" t="s">
        <v>250</v>
      </c>
      <c r="Q292" s="20" t="str">
        <f>DEC2HEX(HEX2DEC(Table132[[#This Row],[Index]])/4+Table132[[#This Row],[PARAM_SUB]],4)</f>
        <v>3149</v>
      </c>
      <c r="R292" s="6" t="s">
        <v>363</v>
      </c>
      <c r="S292" s="1" t="s">
        <v>311</v>
      </c>
      <c r="T292" s="16">
        <v>16</v>
      </c>
      <c r="U292" s="6" t="s">
        <v>363</v>
      </c>
      <c r="X292" s="11">
        <f>IF(Table132[[#This Row],[template]]="","",VLOOKUP(Table132[[#This Row],[IP_NAME]],Table511175[],2,FALSE))</f>
        <v>1</v>
      </c>
      <c r="Y292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>02100</v>
      </c>
      <c r="Z292" s="14">
        <f>IF(Table132[[#This Row],[template]]="","",HEX2DEC(Table132[[#This Row],[Addr_Hex]]))</f>
        <v>12617</v>
      </c>
    </row>
    <row r="293" spans="2:26" x14ac:dyDescent="0.3">
      <c r="B293" s="4" t="s">
        <v>465</v>
      </c>
      <c r="C293" s="4" t="s">
        <v>456</v>
      </c>
      <c r="D293" s="9" t="str">
        <f>UPPER(Table132[[#This Row],[SIGNAL]])</f>
        <v>EV_PDPRUNCNTR_10</v>
      </c>
      <c r="E293" s="9" t="str">
        <f>IF(Table132[[#This Row],[template]]="","","0x"&amp;Table132[[#This Row],[IP_Index]]&amp;DEC2HEX(Table132[[#This Row],[Addr_Dec]]*4,7))</f>
        <v>0x1000C528</v>
      </c>
      <c r="F293" s="9" t="str">
        <f>IF(Table132[[#This Row],[template]]="","",VLOOKUP(Table132[[#This Row],[template]],Table29153[],2,FALSE))</f>
        <v>asynParamInt32</v>
      </c>
      <c r="G293" s="18" t="str">
        <f>IF(Table132[[#This Row],[template]]="","","1")</f>
        <v>1</v>
      </c>
      <c r="H293" s="10" t="s">
        <v>454</v>
      </c>
      <c r="I293" s="13" t="str">
        <f>IF(Table132[[#This Row],[template]]="","","0x"&amp;Table132[[#This Row],[D_Index]]&amp;"000")</f>
        <v>0x02100000</v>
      </c>
      <c r="J293" s="18" t="s">
        <v>341</v>
      </c>
      <c r="K293" s="10">
        <v>0</v>
      </c>
      <c r="L293" s="11"/>
      <c r="M293" s="9" t="str">
        <f>IF(Table132[[#This Row],[template]]="","",Table132[[#This Row],[IP_NAME]]&amp;"_"&amp;Table132[[#This Row],[PARAM_NAME]]&amp;IF(Table132[[#This Row],[PARAM_SUB]]="","","_"&amp;Table132[[#This Row],[PARAM_SUB]]))</f>
        <v>ev_pdpRunCntr_10</v>
      </c>
      <c r="N293" s="1" t="s">
        <v>262</v>
      </c>
      <c r="O293" s="1" t="s">
        <v>450</v>
      </c>
      <c r="P293" s="6" t="s">
        <v>273</v>
      </c>
      <c r="Q293" s="20" t="str">
        <f>DEC2HEX(HEX2DEC(Table132[[#This Row],[Index]])/4+Table132[[#This Row],[PARAM_SUB]],4)</f>
        <v>314A</v>
      </c>
      <c r="R293" s="6" t="s">
        <v>363</v>
      </c>
      <c r="S293" s="1" t="s">
        <v>311</v>
      </c>
      <c r="T293" s="16">
        <v>16</v>
      </c>
      <c r="U293" s="6" t="s">
        <v>363</v>
      </c>
      <c r="X293" s="11">
        <f>IF(Table132[[#This Row],[template]]="","",VLOOKUP(Table132[[#This Row],[IP_NAME]],Table511175[],2,FALSE))</f>
        <v>1</v>
      </c>
      <c r="Y293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>02100</v>
      </c>
      <c r="Z293" s="14">
        <f>IF(Table132[[#This Row],[template]]="","",HEX2DEC(Table132[[#This Row],[Addr_Hex]]))</f>
        <v>12618</v>
      </c>
    </row>
    <row r="294" spans="2:26" x14ac:dyDescent="0.3">
      <c r="B294" s="4" t="s">
        <v>465</v>
      </c>
      <c r="C294" s="4" t="s">
        <v>456</v>
      </c>
      <c r="D294" s="9" t="str">
        <f>UPPER(Table132[[#This Row],[SIGNAL]])</f>
        <v>EV_PDPRUNCNTR_11</v>
      </c>
      <c r="E294" s="9" t="str">
        <f>IF(Table132[[#This Row],[template]]="","","0x"&amp;Table132[[#This Row],[IP_Index]]&amp;DEC2HEX(Table132[[#This Row],[Addr_Dec]]*4,7))</f>
        <v>0x1000C52C</v>
      </c>
      <c r="F294" s="9" t="str">
        <f>IF(Table132[[#This Row],[template]]="","",VLOOKUP(Table132[[#This Row],[template]],Table29153[],2,FALSE))</f>
        <v>asynParamInt32</v>
      </c>
      <c r="G294" s="18" t="str">
        <f>IF(Table132[[#This Row],[template]]="","","1")</f>
        <v>1</v>
      </c>
      <c r="H294" s="10" t="s">
        <v>454</v>
      </c>
      <c r="I294" s="13" t="str">
        <f>IF(Table132[[#This Row],[template]]="","","0x"&amp;Table132[[#This Row],[D_Index]]&amp;"000")</f>
        <v>0x02100000</v>
      </c>
      <c r="J294" s="18" t="s">
        <v>341</v>
      </c>
      <c r="K294" s="10">
        <v>0</v>
      </c>
      <c r="L294" s="11"/>
      <c r="M294" s="9" t="str">
        <f>IF(Table132[[#This Row],[template]]="","",Table132[[#This Row],[IP_NAME]]&amp;"_"&amp;Table132[[#This Row],[PARAM_NAME]]&amp;IF(Table132[[#This Row],[PARAM_SUB]]="","","_"&amp;Table132[[#This Row],[PARAM_SUB]]))</f>
        <v>ev_pdpRunCntr_11</v>
      </c>
      <c r="N294" s="1" t="s">
        <v>262</v>
      </c>
      <c r="O294" s="1" t="s">
        <v>450</v>
      </c>
      <c r="P294" s="6" t="s">
        <v>274</v>
      </c>
      <c r="Q294" s="20" t="str">
        <f>DEC2HEX(HEX2DEC(Table132[[#This Row],[Index]])/4+Table132[[#This Row],[PARAM_SUB]],4)</f>
        <v>314B</v>
      </c>
      <c r="R294" s="6" t="s">
        <v>363</v>
      </c>
      <c r="S294" s="1" t="s">
        <v>311</v>
      </c>
      <c r="T294" s="16">
        <v>16</v>
      </c>
      <c r="U294" s="6" t="s">
        <v>363</v>
      </c>
      <c r="X294" s="11">
        <f>IF(Table132[[#This Row],[template]]="","",VLOOKUP(Table132[[#This Row],[IP_NAME]],Table511175[],2,FALSE))</f>
        <v>1</v>
      </c>
      <c r="Y294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>02100</v>
      </c>
      <c r="Z294" s="14">
        <f>IF(Table132[[#This Row],[template]]="","",HEX2DEC(Table132[[#This Row],[Addr_Hex]]))</f>
        <v>12619</v>
      </c>
    </row>
    <row r="295" spans="2:26" x14ac:dyDescent="0.3">
      <c r="B295" s="4" t="s">
        <v>465</v>
      </c>
      <c r="C295" s="4" t="s">
        <v>456</v>
      </c>
      <c r="D295" s="9" t="str">
        <f>UPPER(Table132[[#This Row],[SIGNAL]])</f>
        <v>EV_PDPRUNCNTR_12</v>
      </c>
      <c r="E295" s="9" t="str">
        <f>IF(Table132[[#This Row],[template]]="","","0x"&amp;Table132[[#This Row],[IP_Index]]&amp;DEC2HEX(Table132[[#This Row],[Addr_Dec]]*4,7))</f>
        <v>0x1000C530</v>
      </c>
      <c r="F295" s="9" t="str">
        <f>IF(Table132[[#This Row],[template]]="","",VLOOKUP(Table132[[#This Row],[template]],Table29153[],2,FALSE))</f>
        <v>asynParamInt32</v>
      </c>
      <c r="G295" s="18" t="str">
        <f>IF(Table132[[#This Row],[template]]="","","1")</f>
        <v>1</v>
      </c>
      <c r="H295" s="10" t="s">
        <v>454</v>
      </c>
      <c r="I295" s="13" t="str">
        <f>IF(Table132[[#This Row],[template]]="","","0x"&amp;Table132[[#This Row],[D_Index]]&amp;"000")</f>
        <v>0x02100000</v>
      </c>
      <c r="J295" s="18" t="s">
        <v>341</v>
      </c>
      <c r="K295" s="10">
        <v>0</v>
      </c>
      <c r="L295" s="11"/>
      <c r="M295" s="9" t="str">
        <f>IF(Table132[[#This Row],[template]]="","",Table132[[#This Row],[IP_NAME]]&amp;"_"&amp;Table132[[#This Row],[PARAM_NAME]]&amp;IF(Table132[[#This Row],[PARAM_SUB]]="","","_"&amp;Table132[[#This Row],[PARAM_SUB]]))</f>
        <v>ev_pdpRunCntr_12</v>
      </c>
      <c r="N295" s="1" t="s">
        <v>262</v>
      </c>
      <c r="O295" s="1" t="s">
        <v>450</v>
      </c>
      <c r="P295" s="6" t="s">
        <v>275</v>
      </c>
      <c r="Q295" s="20" t="str">
        <f>DEC2HEX(HEX2DEC(Table132[[#This Row],[Index]])/4+Table132[[#This Row],[PARAM_SUB]],4)</f>
        <v>314C</v>
      </c>
      <c r="R295" s="6" t="s">
        <v>363</v>
      </c>
      <c r="S295" s="1" t="s">
        <v>311</v>
      </c>
      <c r="T295" s="16">
        <v>16</v>
      </c>
      <c r="U295" s="6" t="s">
        <v>363</v>
      </c>
      <c r="X295" s="11">
        <f>IF(Table132[[#This Row],[template]]="","",VLOOKUP(Table132[[#This Row],[IP_NAME]],Table511175[],2,FALSE))</f>
        <v>1</v>
      </c>
      <c r="Y295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>02100</v>
      </c>
      <c r="Z295" s="14">
        <f>IF(Table132[[#This Row],[template]]="","",HEX2DEC(Table132[[#This Row],[Addr_Hex]]))</f>
        <v>12620</v>
      </c>
    </row>
    <row r="296" spans="2:26" x14ac:dyDescent="0.3">
      <c r="B296" s="4" t="s">
        <v>465</v>
      </c>
      <c r="C296" s="4" t="s">
        <v>456</v>
      </c>
      <c r="D296" s="9" t="str">
        <f>UPPER(Table132[[#This Row],[SIGNAL]])</f>
        <v>EV_PDPRUNCNTR_13</v>
      </c>
      <c r="E296" s="9" t="str">
        <f>IF(Table132[[#This Row],[template]]="","","0x"&amp;Table132[[#This Row],[IP_Index]]&amp;DEC2HEX(Table132[[#This Row],[Addr_Dec]]*4,7))</f>
        <v>0x1000C534</v>
      </c>
      <c r="F296" s="9" t="str">
        <f>IF(Table132[[#This Row],[template]]="","",VLOOKUP(Table132[[#This Row],[template]],Table29153[],2,FALSE))</f>
        <v>asynParamInt32</v>
      </c>
      <c r="G296" s="18" t="str">
        <f>IF(Table132[[#This Row],[template]]="","","1")</f>
        <v>1</v>
      </c>
      <c r="H296" s="10" t="s">
        <v>454</v>
      </c>
      <c r="I296" s="13" t="str">
        <f>IF(Table132[[#This Row],[template]]="","","0x"&amp;Table132[[#This Row],[D_Index]]&amp;"000")</f>
        <v>0x02100000</v>
      </c>
      <c r="J296" s="18" t="s">
        <v>341</v>
      </c>
      <c r="K296" s="10">
        <v>0</v>
      </c>
      <c r="L296" s="11"/>
      <c r="M296" s="9" t="str">
        <f>IF(Table132[[#This Row],[template]]="","",Table132[[#This Row],[IP_NAME]]&amp;"_"&amp;Table132[[#This Row],[PARAM_NAME]]&amp;IF(Table132[[#This Row],[PARAM_SUB]]="","","_"&amp;Table132[[#This Row],[PARAM_SUB]]))</f>
        <v>ev_pdpRunCntr_13</v>
      </c>
      <c r="N296" s="1" t="s">
        <v>262</v>
      </c>
      <c r="O296" s="1" t="s">
        <v>450</v>
      </c>
      <c r="P296" s="6" t="s">
        <v>276</v>
      </c>
      <c r="Q296" s="20" t="str">
        <f>DEC2HEX(HEX2DEC(Table132[[#This Row],[Index]])/4+Table132[[#This Row],[PARAM_SUB]],4)</f>
        <v>314D</v>
      </c>
      <c r="R296" s="6" t="s">
        <v>363</v>
      </c>
      <c r="S296" s="1" t="s">
        <v>311</v>
      </c>
      <c r="T296" s="16">
        <v>16</v>
      </c>
      <c r="U296" s="6" t="s">
        <v>363</v>
      </c>
      <c r="X296" s="11">
        <f>IF(Table132[[#This Row],[template]]="","",VLOOKUP(Table132[[#This Row],[IP_NAME]],Table511175[],2,FALSE))</f>
        <v>1</v>
      </c>
      <c r="Y296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>02100</v>
      </c>
      <c r="Z296" s="14">
        <f>IF(Table132[[#This Row],[template]]="","",HEX2DEC(Table132[[#This Row],[Addr_Hex]]))</f>
        <v>12621</v>
      </c>
    </row>
    <row r="297" spans="2:26" x14ac:dyDescent="0.3">
      <c r="B297" s="4" t="s">
        <v>465</v>
      </c>
      <c r="C297" s="4" t="s">
        <v>456</v>
      </c>
      <c r="D297" s="9" t="str">
        <f>UPPER(Table132[[#This Row],[SIGNAL]])</f>
        <v>EV_PDPRUNCNTR_14</v>
      </c>
      <c r="E297" s="9" t="str">
        <f>IF(Table132[[#This Row],[template]]="","","0x"&amp;Table132[[#This Row],[IP_Index]]&amp;DEC2HEX(Table132[[#This Row],[Addr_Dec]]*4,7))</f>
        <v>0x1000C538</v>
      </c>
      <c r="F297" s="9" t="str">
        <f>IF(Table132[[#This Row],[template]]="","",VLOOKUP(Table132[[#This Row],[template]],Table29153[],2,FALSE))</f>
        <v>asynParamInt32</v>
      </c>
      <c r="G297" s="18" t="str">
        <f>IF(Table132[[#This Row],[template]]="","","1")</f>
        <v>1</v>
      </c>
      <c r="H297" s="10" t="s">
        <v>454</v>
      </c>
      <c r="I297" s="13" t="str">
        <f>IF(Table132[[#This Row],[template]]="","","0x"&amp;Table132[[#This Row],[D_Index]]&amp;"000")</f>
        <v>0x02100000</v>
      </c>
      <c r="J297" s="18" t="s">
        <v>341</v>
      </c>
      <c r="K297" s="10">
        <v>0</v>
      </c>
      <c r="L297" s="11"/>
      <c r="M297" s="9" t="str">
        <f>IF(Table132[[#This Row],[template]]="","",Table132[[#This Row],[IP_NAME]]&amp;"_"&amp;Table132[[#This Row],[PARAM_NAME]]&amp;IF(Table132[[#This Row],[PARAM_SUB]]="","","_"&amp;Table132[[#This Row],[PARAM_SUB]]))</f>
        <v>ev_pdpRunCntr_14</v>
      </c>
      <c r="N297" s="1" t="s">
        <v>262</v>
      </c>
      <c r="O297" s="1" t="s">
        <v>450</v>
      </c>
      <c r="P297" s="6" t="s">
        <v>277</v>
      </c>
      <c r="Q297" s="20" t="str">
        <f>DEC2HEX(HEX2DEC(Table132[[#This Row],[Index]])/4+Table132[[#This Row],[PARAM_SUB]],4)</f>
        <v>314E</v>
      </c>
      <c r="R297" s="6" t="s">
        <v>363</v>
      </c>
      <c r="S297" s="1" t="s">
        <v>311</v>
      </c>
      <c r="T297" s="16">
        <v>16</v>
      </c>
      <c r="U297" s="6" t="s">
        <v>363</v>
      </c>
      <c r="X297" s="11">
        <f>IF(Table132[[#This Row],[template]]="","",VLOOKUP(Table132[[#This Row],[IP_NAME]],Table511175[],2,FALSE))</f>
        <v>1</v>
      </c>
      <c r="Y297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>02100</v>
      </c>
      <c r="Z297" s="14">
        <f>IF(Table132[[#This Row],[template]]="","",HEX2DEC(Table132[[#This Row],[Addr_Hex]]))</f>
        <v>12622</v>
      </c>
    </row>
    <row r="298" spans="2:26" x14ac:dyDescent="0.3">
      <c r="B298" s="4" t="s">
        <v>465</v>
      </c>
      <c r="C298" s="4" t="s">
        <v>456</v>
      </c>
      <c r="D298" s="9" t="str">
        <f>UPPER(Table132[[#This Row],[SIGNAL]])</f>
        <v>EV_PDPRUNCNTR_15</v>
      </c>
      <c r="E298" s="9" t="str">
        <f>IF(Table132[[#This Row],[template]]="","","0x"&amp;Table132[[#This Row],[IP_Index]]&amp;DEC2HEX(Table132[[#This Row],[Addr_Dec]]*4,7))</f>
        <v>0x1000C53C</v>
      </c>
      <c r="F298" s="9" t="str">
        <f>IF(Table132[[#This Row],[template]]="","",VLOOKUP(Table132[[#This Row],[template]],Table29153[],2,FALSE))</f>
        <v>asynParamInt32</v>
      </c>
      <c r="G298" s="18" t="str">
        <f>IF(Table132[[#This Row],[template]]="","","1")</f>
        <v>1</v>
      </c>
      <c r="H298" s="10" t="s">
        <v>454</v>
      </c>
      <c r="I298" s="13" t="str">
        <f>IF(Table132[[#This Row],[template]]="","","0x"&amp;Table132[[#This Row],[D_Index]]&amp;"000")</f>
        <v>0x02100000</v>
      </c>
      <c r="J298" s="18" t="s">
        <v>341</v>
      </c>
      <c r="K298" s="10">
        <v>0</v>
      </c>
      <c r="L298" s="11"/>
      <c r="M298" s="9" t="str">
        <f>IF(Table132[[#This Row],[template]]="","",Table132[[#This Row],[IP_NAME]]&amp;"_"&amp;Table132[[#This Row],[PARAM_NAME]]&amp;IF(Table132[[#This Row],[PARAM_SUB]]="","","_"&amp;Table132[[#This Row],[PARAM_SUB]]))</f>
        <v>ev_pdpRunCntr_15</v>
      </c>
      <c r="N298" s="1" t="s">
        <v>262</v>
      </c>
      <c r="O298" s="1" t="s">
        <v>450</v>
      </c>
      <c r="P298" s="6" t="s">
        <v>278</v>
      </c>
      <c r="Q298" s="20" t="str">
        <f>DEC2HEX(HEX2DEC(Table132[[#This Row],[Index]])/4+Table132[[#This Row],[PARAM_SUB]],4)</f>
        <v>314F</v>
      </c>
      <c r="R298" s="6" t="s">
        <v>363</v>
      </c>
      <c r="S298" s="1" t="s">
        <v>311</v>
      </c>
      <c r="T298" s="16">
        <v>16</v>
      </c>
      <c r="U298" s="6" t="s">
        <v>363</v>
      </c>
      <c r="X298" s="11">
        <f>IF(Table132[[#This Row],[template]]="","",VLOOKUP(Table132[[#This Row],[IP_NAME]],Table511175[],2,FALSE))</f>
        <v>1</v>
      </c>
      <c r="Y298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>02100</v>
      </c>
      <c r="Z298" s="14">
        <f>IF(Table132[[#This Row],[template]]="","",HEX2DEC(Table132[[#This Row],[Addr_Hex]]))</f>
        <v>12623</v>
      </c>
    </row>
    <row r="299" spans="2:26" x14ac:dyDescent="0.3">
      <c r="B299" s="4" t="s">
        <v>465</v>
      </c>
      <c r="C299" s="4" t="s">
        <v>456</v>
      </c>
      <c r="D299" s="9" t="str">
        <f>UPPER(Table132[[#This Row],[SIGNAL]])</f>
        <v>EV_PDPRUNCNTR_16</v>
      </c>
      <c r="E299" s="9" t="str">
        <f>IF(Table132[[#This Row],[template]]="","","0x"&amp;Table132[[#This Row],[IP_Index]]&amp;DEC2HEX(Table132[[#This Row],[Addr_Dec]]*4,7))</f>
        <v>0x1000C540</v>
      </c>
      <c r="F299" s="9" t="str">
        <f>IF(Table132[[#This Row],[template]]="","",VLOOKUP(Table132[[#This Row],[template]],Table29153[],2,FALSE))</f>
        <v>asynParamInt32</v>
      </c>
      <c r="G299" s="18" t="str">
        <f>IF(Table132[[#This Row],[template]]="","","1")</f>
        <v>1</v>
      </c>
      <c r="H299" s="10" t="s">
        <v>454</v>
      </c>
      <c r="I299" s="13" t="str">
        <f>IF(Table132[[#This Row],[template]]="","","0x"&amp;Table132[[#This Row],[D_Index]]&amp;"000")</f>
        <v>0x02100000</v>
      </c>
      <c r="J299" s="18" t="s">
        <v>341</v>
      </c>
      <c r="K299" s="10">
        <v>0</v>
      </c>
      <c r="L299" s="11"/>
      <c r="M299" s="9" t="str">
        <f>IF(Table132[[#This Row],[template]]="","",Table132[[#This Row],[IP_NAME]]&amp;"_"&amp;Table132[[#This Row],[PARAM_NAME]]&amp;IF(Table132[[#This Row],[PARAM_SUB]]="","","_"&amp;Table132[[#This Row],[PARAM_SUB]]))</f>
        <v>ev_pdpRunCntr_16</v>
      </c>
      <c r="N299" s="1" t="s">
        <v>262</v>
      </c>
      <c r="O299" s="1" t="s">
        <v>450</v>
      </c>
      <c r="P299" s="6" t="s">
        <v>279</v>
      </c>
      <c r="Q299" s="20" t="str">
        <f>DEC2HEX(HEX2DEC(Table132[[#This Row],[Index]])/4+Table132[[#This Row],[PARAM_SUB]],4)</f>
        <v>3150</v>
      </c>
      <c r="R299" s="6" t="s">
        <v>363</v>
      </c>
      <c r="S299" s="1" t="s">
        <v>311</v>
      </c>
      <c r="T299" s="16">
        <v>16</v>
      </c>
      <c r="U299" s="6" t="s">
        <v>363</v>
      </c>
      <c r="X299" s="11">
        <f>IF(Table132[[#This Row],[template]]="","",VLOOKUP(Table132[[#This Row],[IP_NAME]],Table511175[],2,FALSE))</f>
        <v>1</v>
      </c>
      <c r="Y299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>02100</v>
      </c>
      <c r="Z299" s="14">
        <f>IF(Table132[[#This Row],[template]]="","",HEX2DEC(Table132[[#This Row],[Addr_Hex]]))</f>
        <v>12624</v>
      </c>
    </row>
    <row r="300" spans="2:26" x14ac:dyDescent="0.3">
      <c r="B300" s="4" t="s">
        <v>465</v>
      </c>
      <c r="C300" s="4" t="s">
        <v>456</v>
      </c>
      <c r="D300" s="9" t="str">
        <f>UPPER(Table132[[#This Row],[SIGNAL]])</f>
        <v>EV_PDPRUNCNTR_17</v>
      </c>
      <c r="E300" s="9" t="str">
        <f>IF(Table132[[#This Row],[template]]="","","0x"&amp;Table132[[#This Row],[IP_Index]]&amp;DEC2HEX(Table132[[#This Row],[Addr_Dec]]*4,7))</f>
        <v>0x1000C544</v>
      </c>
      <c r="F300" s="9" t="str">
        <f>IF(Table132[[#This Row],[template]]="","",VLOOKUP(Table132[[#This Row],[template]],Table29153[],2,FALSE))</f>
        <v>asynParamInt32</v>
      </c>
      <c r="G300" s="18" t="str">
        <f>IF(Table132[[#This Row],[template]]="","","1")</f>
        <v>1</v>
      </c>
      <c r="H300" s="10" t="s">
        <v>454</v>
      </c>
      <c r="I300" s="13" t="str">
        <f>IF(Table132[[#This Row],[template]]="","","0x"&amp;Table132[[#This Row],[D_Index]]&amp;"000")</f>
        <v>0x02100000</v>
      </c>
      <c r="J300" s="18" t="s">
        <v>341</v>
      </c>
      <c r="K300" s="10">
        <v>0</v>
      </c>
      <c r="L300" s="11"/>
      <c r="M300" s="9" t="str">
        <f>IF(Table132[[#This Row],[template]]="","",Table132[[#This Row],[IP_NAME]]&amp;"_"&amp;Table132[[#This Row],[PARAM_NAME]]&amp;IF(Table132[[#This Row],[PARAM_SUB]]="","","_"&amp;Table132[[#This Row],[PARAM_SUB]]))</f>
        <v>ev_pdpRunCntr_17</v>
      </c>
      <c r="N300" s="1" t="s">
        <v>262</v>
      </c>
      <c r="O300" s="1" t="s">
        <v>450</v>
      </c>
      <c r="P300" s="6" t="s">
        <v>280</v>
      </c>
      <c r="Q300" s="20" t="str">
        <f>DEC2HEX(HEX2DEC(Table132[[#This Row],[Index]])/4+Table132[[#This Row],[PARAM_SUB]],4)</f>
        <v>3151</v>
      </c>
      <c r="R300" s="6" t="s">
        <v>363</v>
      </c>
      <c r="S300" s="1" t="s">
        <v>311</v>
      </c>
      <c r="T300" s="16">
        <v>16</v>
      </c>
      <c r="U300" s="6" t="s">
        <v>363</v>
      </c>
      <c r="X300" s="11">
        <f>IF(Table132[[#This Row],[template]]="","",VLOOKUP(Table132[[#This Row],[IP_NAME]],Table511175[],2,FALSE))</f>
        <v>1</v>
      </c>
      <c r="Y300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>02100</v>
      </c>
      <c r="Z300" s="14">
        <f>IF(Table132[[#This Row],[template]]="","",HEX2DEC(Table132[[#This Row],[Addr_Hex]]))</f>
        <v>12625</v>
      </c>
    </row>
    <row r="301" spans="2:26" x14ac:dyDescent="0.3">
      <c r="B301" s="4" t="s">
        <v>465</v>
      </c>
      <c r="C301" s="4" t="s">
        <v>456</v>
      </c>
      <c r="D301" s="9" t="str">
        <f>UPPER(Table132[[#This Row],[SIGNAL]])</f>
        <v>EV_PDPRUNCNTR_18</v>
      </c>
      <c r="E301" s="9" t="str">
        <f>IF(Table132[[#This Row],[template]]="","","0x"&amp;Table132[[#This Row],[IP_Index]]&amp;DEC2HEX(Table132[[#This Row],[Addr_Dec]]*4,7))</f>
        <v>0x1000C548</v>
      </c>
      <c r="F301" s="9" t="str">
        <f>IF(Table132[[#This Row],[template]]="","",VLOOKUP(Table132[[#This Row],[template]],Table29153[],2,FALSE))</f>
        <v>asynParamInt32</v>
      </c>
      <c r="G301" s="18" t="str">
        <f>IF(Table132[[#This Row],[template]]="","","1")</f>
        <v>1</v>
      </c>
      <c r="H301" s="10" t="s">
        <v>454</v>
      </c>
      <c r="I301" s="13" t="str">
        <f>IF(Table132[[#This Row],[template]]="","","0x"&amp;Table132[[#This Row],[D_Index]]&amp;"000")</f>
        <v>0x02100000</v>
      </c>
      <c r="J301" s="18" t="s">
        <v>341</v>
      </c>
      <c r="K301" s="10">
        <v>0</v>
      </c>
      <c r="L301" s="11"/>
      <c r="M301" s="9" t="str">
        <f>IF(Table132[[#This Row],[template]]="","",Table132[[#This Row],[IP_NAME]]&amp;"_"&amp;Table132[[#This Row],[PARAM_NAME]]&amp;IF(Table132[[#This Row],[PARAM_SUB]]="","","_"&amp;Table132[[#This Row],[PARAM_SUB]]))</f>
        <v>ev_pdpRunCntr_18</v>
      </c>
      <c r="N301" s="1" t="s">
        <v>262</v>
      </c>
      <c r="O301" s="1" t="s">
        <v>450</v>
      </c>
      <c r="P301" s="6" t="s">
        <v>281</v>
      </c>
      <c r="Q301" s="20" t="str">
        <f>DEC2HEX(HEX2DEC(Table132[[#This Row],[Index]])/4+Table132[[#This Row],[PARAM_SUB]],4)</f>
        <v>3152</v>
      </c>
      <c r="R301" s="6" t="s">
        <v>363</v>
      </c>
      <c r="S301" s="1" t="s">
        <v>311</v>
      </c>
      <c r="T301" s="16">
        <v>16</v>
      </c>
      <c r="U301" s="6" t="s">
        <v>363</v>
      </c>
      <c r="X301" s="11">
        <f>IF(Table132[[#This Row],[template]]="","",VLOOKUP(Table132[[#This Row],[IP_NAME]],Table511175[],2,FALSE))</f>
        <v>1</v>
      </c>
      <c r="Y301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>02100</v>
      </c>
      <c r="Z301" s="14">
        <f>IF(Table132[[#This Row],[template]]="","",HEX2DEC(Table132[[#This Row],[Addr_Hex]]))</f>
        <v>12626</v>
      </c>
    </row>
    <row r="302" spans="2:26" x14ac:dyDescent="0.3">
      <c r="B302" s="4" t="s">
        <v>465</v>
      </c>
      <c r="C302" s="4" t="s">
        <v>456</v>
      </c>
      <c r="D302" s="9" t="str">
        <f>UPPER(Table132[[#This Row],[SIGNAL]])</f>
        <v>EV_PDPRUNCNTR_19</v>
      </c>
      <c r="E302" s="9" t="str">
        <f>IF(Table132[[#This Row],[template]]="","","0x"&amp;Table132[[#This Row],[IP_Index]]&amp;DEC2HEX(Table132[[#This Row],[Addr_Dec]]*4,7))</f>
        <v>0x1000C54C</v>
      </c>
      <c r="F302" s="9" t="str">
        <f>IF(Table132[[#This Row],[template]]="","",VLOOKUP(Table132[[#This Row],[template]],Table29153[],2,FALSE))</f>
        <v>asynParamInt32</v>
      </c>
      <c r="G302" s="18" t="str">
        <f>IF(Table132[[#This Row],[template]]="","","1")</f>
        <v>1</v>
      </c>
      <c r="H302" s="10" t="s">
        <v>454</v>
      </c>
      <c r="I302" s="13" t="str">
        <f>IF(Table132[[#This Row],[template]]="","","0x"&amp;Table132[[#This Row],[D_Index]]&amp;"000")</f>
        <v>0x02100000</v>
      </c>
      <c r="J302" s="18" t="s">
        <v>341</v>
      </c>
      <c r="K302" s="10">
        <v>0</v>
      </c>
      <c r="L302" s="11"/>
      <c r="M302" s="9" t="str">
        <f>IF(Table132[[#This Row],[template]]="","",Table132[[#This Row],[IP_NAME]]&amp;"_"&amp;Table132[[#This Row],[PARAM_NAME]]&amp;IF(Table132[[#This Row],[PARAM_SUB]]="","","_"&amp;Table132[[#This Row],[PARAM_SUB]]))</f>
        <v>ev_pdpRunCntr_19</v>
      </c>
      <c r="N302" s="1" t="s">
        <v>262</v>
      </c>
      <c r="O302" s="1" t="s">
        <v>450</v>
      </c>
      <c r="P302" s="6" t="s">
        <v>282</v>
      </c>
      <c r="Q302" s="20" t="str">
        <f>DEC2HEX(HEX2DEC(Table132[[#This Row],[Index]])/4+Table132[[#This Row],[PARAM_SUB]],4)</f>
        <v>3153</v>
      </c>
      <c r="R302" s="6" t="s">
        <v>363</v>
      </c>
      <c r="S302" s="1" t="s">
        <v>311</v>
      </c>
      <c r="T302" s="16">
        <v>16</v>
      </c>
      <c r="U302" s="6" t="s">
        <v>363</v>
      </c>
      <c r="X302" s="11">
        <f>IF(Table132[[#This Row],[template]]="","",VLOOKUP(Table132[[#This Row],[IP_NAME]],Table511175[],2,FALSE))</f>
        <v>1</v>
      </c>
      <c r="Y302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>02100</v>
      </c>
      <c r="Z302" s="14">
        <f>IF(Table132[[#This Row],[template]]="","",HEX2DEC(Table132[[#This Row],[Addr_Hex]]))</f>
        <v>12627</v>
      </c>
    </row>
    <row r="303" spans="2:26" x14ac:dyDescent="0.3">
      <c r="B303" s="4" t="s">
        <v>465</v>
      </c>
      <c r="C303" s="4" t="s">
        <v>456</v>
      </c>
      <c r="D303" s="9" t="str">
        <f>UPPER(Table132[[#This Row],[SIGNAL]])</f>
        <v>EV_PDPRUNCNTR_20</v>
      </c>
      <c r="E303" s="9" t="str">
        <f>IF(Table132[[#This Row],[template]]="","","0x"&amp;Table132[[#This Row],[IP_Index]]&amp;DEC2HEX(Table132[[#This Row],[Addr_Dec]]*4,7))</f>
        <v>0x1000C550</v>
      </c>
      <c r="F303" s="9" t="str">
        <f>IF(Table132[[#This Row],[template]]="","",VLOOKUP(Table132[[#This Row],[template]],Table29153[],2,FALSE))</f>
        <v>asynParamInt32</v>
      </c>
      <c r="G303" s="18" t="str">
        <f>IF(Table132[[#This Row],[template]]="","","1")</f>
        <v>1</v>
      </c>
      <c r="H303" s="10" t="s">
        <v>454</v>
      </c>
      <c r="I303" s="13" t="str">
        <f>IF(Table132[[#This Row],[template]]="","","0x"&amp;Table132[[#This Row],[D_Index]]&amp;"000")</f>
        <v>0x02100000</v>
      </c>
      <c r="J303" s="18" t="s">
        <v>341</v>
      </c>
      <c r="K303" s="10">
        <v>0</v>
      </c>
      <c r="L303" s="11"/>
      <c r="M303" s="9" t="str">
        <f>IF(Table132[[#This Row],[template]]="","",Table132[[#This Row],[IP_NAME]]&amp;"_"&amp;Table132[[#This Row],[PARAM_NAME]]&amp;IF(Table132[[#This Row],[PARAM_SUB]]="","","_"&amp;Table132[[#This Row],[PARAM_SUB]]))</f>
        <v>ev_pdpRunCntr_20</v>
      </c>
      <c r="N303" s="1" t="s">
        <v>262</v>
      </c>
      <c r="O303" s="1" t="s">
        <v>450</v>
      </c>
      <c r="P303" s="6" t="s">
        <v>283</v>
      </c>
      <c r="Q303" s="20" t="str">
        <f>DEC2HEX(HEX2DEC(Table132[[#This Row],[Index]])/4+Table132[[#This Row],[PARAM_SUB]],4)</f>
        <v>3154</v>
      </c>
      <c r="R303" s="6" t="s">
        <v>363</v>
      </c>
      <c r="S303" s="1" t="s">
        <v>311</v>
      </c>
      <c r="T303" s="16">
        <v>16</v>
      </c>
      <c r="U303" s="6" t="s">
        <v>363</v>
      </c>
      <c r="X303" s="11">
        <f>IF(Table132[[#This Row],[template]]="","",VLOOKUP(Table132[[#This Row],[IP_NAME]],Table511175[],2,FALSE))</f>
        <v>1</v>
      </c>
      <c r="Y303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>02100</v>
      </c>
      <c r="Z303" s="14">
        <f>IF(Table132[[#This Row],[template]]="","",HEX2DEC(Table132[[#This Row],[Addr_Hex]]))</f>
        <v>12628</v>
      </c>
    </row>
    <row r="304" spans="2:26" x14ac:dyDescent="0.3">
      <c r="B304" s="4" t="s">
        <v>465</v>
      </c>
      <c r="C304" s="4" t="s">
        <v>456</v>
      </c>
      <c r="D304" s="9" t="str">
        <f>UPPER(Table132[[#This Row],[SIGNAL]])</f>
        <v>EV_PDPRUNCNTR_21</v>
      </c>
      <c r="E304" s="9" t="str">
        <f>IF(Table132[[#This Row],[template]]="","","0x"&amp;Table132[[#This Row],[IP_Index]]&amp;DEC2HEX(Table132[[#This Row],[Addr_Dec]]*4,7))</f>
        <v>0x1000C554</v>
      </c>
      <c r="F304" s="9" t="str">
        <f>IF(Table132[[#This Row],[template]]="","",VLOOKUP(Table132[[#This Row],[template]],Table29153[],2,FALSE))</f>
        <v>asynParamInt32</v>
      </c>
      <c r="G304" s="18" t="str">
        <f>IF(Table132[[#This Row],[template]]="","","1")</f>
        <v>1</v>
      </c>
      <c r="H304" s="10" t="s">
        <v>454</v>
      </c>
      <c r="I304" s="13" t="str">
        <f>IF(Table132[[#This Row],[template]]="","","0x"&amp;Table132[[#This Row],[D_Index]]&amp;"000")</f>
        <v>0x02100000</v>
      </c>
      <c r="J304" s="18" t="s">
        <v>341</v>
      </c>
      <c r="K304" s="10">
        <v>0</v>
      </c>
      <c r="L304" s="11"/>
      <c r="M304" s="9" t="str">
        <f>IF(Table132[[#This Row],[template]]="","",Table132[[#This Row],[IP_NAME]]&amp;"_"&amp;Table132[[#This Row],[PARAM_NAME]]&amp;IF(Table132[[#This Row],[PARAM_SUB]]="","","_"&amp;Table132[[#This Row],[PARAM_SUB]]))</f>
        <v>ev_pdpRunCntr_21</v>
      </c>
      <c r="N304" s="1" t="s">
        <v>262</v>
      </c>
      <c r="O304" s="1" t="s">
        <v>450</v>
      </c>
      <c r="P304" s="6" t="s">
        <v>284</v>
      </c>
      <c r="Q304" s="20" t="str">
        <f>DEC2HEX(HEX2DEC(Table132[[#This Row],[Index]])/4+Table132[[#This Row],[PARAM_SUB]],4)</f>
        <v>3155</v>
      </c>
      <c r="R304" s="6" t="s">
        <v>363</v>
      </c>
      <c r="S304" s="1" t="s">
        <v>311</v>
      </c>
      <c r="T304" s="16">
        <v>16</v>
      </c>
      <c r="U304" s="6" t="s">
        <v>363</v>
      </c>
      <c r="X304" s="11">
        <f>IF(Table132[[#This Row],[template]]="","",VLOOKUP(Table132[[#This Row],[IP_NAME]],Table511175[],2,FALSE))</f>
        <v>1</v>
      </c>
      <c r="Y304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>02100</v>
      </c>
      <c r="Z304" s="14">
        <f>IF(Table132[[#This Row],[template]]="","",HEX2DEC(Table132[[#This Row],[Addr_Hex]]))</f>
        <v>12629</v>
      </c>
    </row>
    <row r="305" spans="2:26" x14ac:dyDescent="0.3">
      <c r="B305" s="4" t="s">
        <v>465</v>
      </c>
      <c r="C305" s="4" t="s">
        <v>456</v>
      </c>
      <c r="D305" s="9" t="str">
        <f>UPPER(Table132[[#This Row],[SIGNAL]])</f>
        <v>EV_PDPRUNCNTR_22</v>
      </c>
      <c r="E305" s="9" t="str">
        <f>IF(Table132[[#This Row],[template]]="","","0x"&amp;Table132[[#This Row],[IP_Index]]&amp;DEC2HEX(Table132[[#This Row],[Addr_Dec]]*4,7))</f>
        <v>0x1000C558</v>
      </c>
      <c r="F305" s="9" t="str">
        <f>IF(Table132[[#This Row],[template]]="","",VLOOKUP(Table132[[#This Row],[template]],Table29153[],2,FALSE))</f>
        <v>asynParamInt32</v>
      </c>
      <c r="G305" s="18" t="str">
        <f>IF(Table132[[#This Row],[template]]="","","1")</f>
        <v>1</v>
      </c>
      <c r="H305" s="10" t="s">
        <v>454</v>
      </c>
      <c r="I305" s="13" t="str">
        <f>IF(Table132[[#This Row],[template]]="","","0x"&amp;Table132[[#This Row],[D_Index]]&amp;"000")</f>
        <v>0x02100000</v>
      </c>
      <c r="J305" s="18" t="s">
        <v>341</v>
      </c>
      <c r="K305" s="10">
        <v>0</v>
      </c>
      <c r="L305" s="11"/>
      <c r="M305" s="9" t="str">
        <f>IF(Table132[[#This Row],[template]]="","",Table132[[#This Row],[IP_NAME]]&amp;"_"&amp;Table132[[#This Row],[PARAM_NAME]]&amp;IF(Table132[[#This Row],[PARAM_SUB]]="","","_"&amp;Table132[[#This Row],[PARAM_SUB]]))</f>
        <v>ev_pdpRunCntr_22</v>
      </c>
      <c r="N305" s="1" t="s">
        <v>262</v>
      </c>
      <c r="O305" s="1" t="s">
        <v>450</v>
      </c>
      <c r="P305" s="6" t="s">
        <v>285</v>
      </c>
      <c r="Q305" s="20" t="str">
        <f>DEC2HEX(HEX2DEC(Table132[[#This Row],[Index]])/4+Table132[[#This Row],[PARAM_SUB]],4)</f>
        <v>3156</v>
      </c>
      <c r="R305" s="6" t="s">
        <v>363</v>
      </c>
      <c r="S305" s="1" t="s">
        <v>311</v>
      </c>
      <c r="T305" s="16">
        <v>16</v>
      </c>
      <c r="U305" s="6" t="s">
        <v>363</v>
      </c>
      <c r="X305" s="11">
        <f>IF(Table132[[#This Row],[template]]="","",VLOOKUP(Table132[[#This Row],[IP_NAME]],Table511175[],2,FALSE))</f>
        <v>1</v>
      </c>
      <c r="Y305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>02100</v>
      </c>
      <c r="Z305" s="14">
        <f>IF(Table132[[#This Row],[template]]="","",HEX2DEC(Table132[[#This Row],[Addr_Hex]]))</f>
        <v>12630</v>
      </c>
    </row>
    <row r="306" spans="2:26" x14ac:dyDescent="0.3">
      <c r="B306" s="4" t="s">
        <v>465</v>
      </c>
      <c r="C306" s="4" t="s">
        <v>456</v>
      </c>
      <c r="D306" s="9" t="str">
        <f>UPPER(Table132[[#This Row],[SIGNAL]])</f>
        <v>EV_PDPRUNCNTR_23</v>
      </c>
      <c r="E306" s="9" t="str">
        <f>IF(Table132[[#This Row],[template]]="","","0x"&amp;Table132[[#This Row],[IP_Index]]&amp;DEC2HEX(Table132[[#This Row],[Addr_Dec]]*4,7))</f>
        <v>0x1000C55C</v>
      </c>
      <c r="F306" s="9" t="str">
        <f>IF(Table132[[#This Row],[template]]="","",VLOOKUP(Table132[[#This Row],[template]],Table29153[],2,FALSE))</f>
        <v>asynParamInt32</v>
      </c>
      <c r="G306" s="18" t="str">
        <f>IF(Table132[[#This Row],[template]]="","","1")</f>
        <v>1</v>
      </c>
      <c r="H306" s="10" t="s">
        <v>454</v>
      </c>
      <c r="I306" s="13" t="str">
        <f>IF(Table132[[#This Row],[template]]="","","0x"&amp;Table132[[#This Row],[D_Index]]&amp;"000")</f>
        <v>0x02100000</v>
      </c>
      <c r="J306" s="18" t="s">
        <v>341</v>
      </c>
      <c r="K306" s="10">
        <v>0</v>
      </c>
      <c r="L306" s="11"/>
      <c r="M306" s="9" t="str">
        <f>IF(Table132[[#This Row],[template]]="","",Table132[[#This Row],[IP_NAME]]&amp;"_"&amp;Table132[[#This Row],[PARAM_NAME]]&amp;IF(Table132[[#This Row],[PARAM_SUB]]="","","_"&amp;Table132[[#This Row],[PARAM_SUB]]))</f>
        <v>ev_pdpRunCntr_23</v>
      </c>
      <c r="N306" s="1" t="s">
        <v>262</v>
      </c>
      <c r="O306" s="1" t="s">
        <v>450</v>
      </c>
      <c r="P306" s="6" t="s">
        <v>286</v>
      </c>
      <c r="Q306" s="20" t="str">
        <f>DEC2HEX(HEX2DEC(Table132[[#This Row],[Index]])/4+Table132[[#This Row],[PARAM_SUB]],4)</f>
        <v>3157</v>
      </c>
      <c r="R306" s="6" t="s">
        <v>363</v>
      </c>
      <c r="S306" s="1" t="s">
        <v>311</v>
      </c>
      <c r="T306" s="16">
        <v>16</v>
      </c>
      <c r="U306" s="6" t="s">
        <v>363</v>
      </c>
      <c r="X306" s="11">
        <f>IF(Table132[[#This Row],[template]]="","",VLOOKUP(Table132[[#This Row],[IP_NAME]],Table511175[],2,FALSE))</f>
        <v>1</v>
      </c>
      <c r="Y306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>02100</v>
      </c>
      <c r="Z306" s="14">
        <f>IF(Table132[[#This Row],[template]]="","",HEX2DEC(Table132[[#This Row],[Addr_Hex]]))</f>
        <v>12631</v>
      </c>
    </row>
    <row r="307" spans="2:26" x14ac:dyDescent="0.3">
      <c r="B307" s="4" t="s">
        <v>465</v>
      </c>
      <c r="C307" s="4" t="s">
        <v>456</v>
      </c>
      <c r="D307" s="9" t="str">
        <f>UPPER(Table132[[#This Row],[SIGNAL]])</f>
        <v>EV_PDPRUNCNTR_24</v>
      </c>
      <c r="E307" s="9" t="str">
        <f>IF(Table132[[#This Row],[template]]="","","0x"&amp;Table132[[#This Row],[IP_Index]]&amp;DEC2HEX(Table132[[#This Row],[Addr_Dec]]*4,7))</f>
        <v>0x1000C560</v>
      </c>
      <c r="F307" s="9" t="str">
        <f>IF(Table132[[#This Row],[template]]="","",VLOOKUP(Table132[[#This Row],[template]],Table29153[],2,FALSE))</f>
        <v>asynParamInt32</v>
      </c>
      <c r="G307" s="18" t="str">
        <f>IF(Table132[[#This Row],[template]]="","","1")</f>
        <v>1</v>
      </c>
      <c r="H307" s="10" t="s">
        <v>454</v>
      </c>
      <c r="I307" s="13" t="str">
        <f>IF(Table132[[#This Row],[template]]="","","0x"&amp;Table132[[#This Row],[D_Index]]&amp;"000")</f>
        <v>0x02100000</v>
      </c>
      <c r="J307" s="18" t="s">
        <v>341</v>
      </c>
      <c r="K307" s="10">
        <v>0</v>
      </c>
      <c r="L307" s="11"/>
      <c r="M307" s="9" t="str">
        <f>IF(Table132[[#This Row],[template]]="","",Table132[[#This Row],[IP_NAME]]&amp;"_"&amp;Table132[[#This Row],[PARAM_NAME]]&amp;IF(Table132[[#This Row],[PARAM_SUB]]="","","_"&amp;Table132[[#This Row],[PARAM_SUB]]))</f>
        <v>ev_pdpRunCntr_24</v>
      </c>
      <c r="N307" s="1" t="s">
        <v>262</v>
      </c>
      <c r="O307" s="1" t="s">
        <v>450</v>
      </c>
      <c r="P307" s="6" t="s">
        <v>287</v>
      </c>
      <c r="Q307" s="20" t="str">
        <f>DEC2HEX(HEX2DEC(Table132[[#This Row],[Index]])/4+Table132[[#This Row],[PARAM_SUB]],4)</f>
        <v>3158</v>
      </c>
      <c r="R307" s="6" t="s">
        <v>363</v>
      </c>
      <c r="S307" s="1" t="s">
        <v>311</v>
      </c>
      <c r="T307" s="16">
        <v>16</v>
      </c>
      <c r="U307" s="6" t="s">
        <v>363</v>
      </c>
      <c r="X307" s="11">
        <f>IF(Table132[[#This Row],[template]]="","",VLOOKUP(Table132[[#This Row],[IP_NAME]],Table511175[],2,FALSE))</f>
        <v>1</v>
      </c>
      <c r="Y307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>02100</v>
      </c>
      <c r="Z307" s="14">
        <f>IF(Table132[[#This Row],[template]]="","",HEX2DEC(Table132[[#This Row],[Addr_Hex]]))</f>
        <v>12632</v>
      </c>
    </row>
    <row r="308" spans="2:26" x14ac:dyDescent="0.3">
      <c r="B308" s="4" t="s">
        <v>465</v>
      </c>
      <c r="C308" s="4" t="s">
        <v>456</v>
      </c>
      <c r="D308" s="9" t="str">
        <f>UPPER(Table132[[#This Row],[SIGNAL]])</f>
        <v>EV_PDPRUNCNTR_25</v>
      </c>
      <c r="E308" s="9" t="str">
        <f>IF(Table132[[#This Row],[template]]="","","0x"&amp;Table132[[#This Row],[IP_Index]]&amp;DEC2HEX(Table132[[#This Row],[Addr_Dec]]*4,7))</f>
        <v>0x1000C564</v>
      </c>
      <c r="F308" s="9" t="str">
        <f>IF(Table132[[#This Row],[template]]="","",VLOOKUP(Table132[[#This Row],[template]],Table29153[],2,FALSE))</f>
        <v>asynParamInt32</v>
      </c>
      <c r="G308" s="18" t="str">
        <f>IF(Table132[[#This Row],[template]]="","","1")</f>
        <v>1</v>
      </c>
      <c r="H308" s="10" t="s">
        <v>454</v>
      </c>
      <c r="I308" s="13" t="str">
        <f>IF(Table132[[#This Row],[template]]="","","0x"&amp;Table132[[#This Row],[D_Index]]&amp;"000")</f>
        <v>0x02100000</v>
      </c>
      <c r="J308" s="18" t="s">
        <v>341</v>
      </c>
      <c r="K308" s="10">
        <v>0</v>
      </c>
      <c r="L308" s="11"/>
      <c r="M308" s="9" t="str">
        <f>IF(Table132[[#This Row],[template]]="","",Table132[[#This Row],[IP_NAME]]&amp;"_"&amp;Table132[[#This Row],[PARAM_NAME]]&amp;IF(Table132[[#This Row],[PARAM_SUB]]="","","_"&amp;Table132[[#This Row],[PARAM_SUB]]))</f>
        <v>ev_pdpRunCntr_25</v>
      </c>
      <c r="N308" s="1" t="s">
        <v>262</v>
      </c>
      <c r="O308" s="1" t="s">
        <v>450</v>
      </c>
      <c r="P308" s="6" t="s">
        <v>288</v>
      </c>
      <c r="Q308" s="20" t="str">
        <f>DEC2HEX(HEX2DEC(Table132[[#This Row],[Index]])/4+Table132[[#This Row],[PARAM_SUB]],4)</f>
        <v>3159</v>
      </c>
      <c r="R308" s="6" t="s">
        <v>363</v>
      </c>
      <c r="S308" s="1" t="s">
        <v>311</v>
      </c>
      <c r="T308" s="16">
        <v>16</v>
      </c>
      <c r="U308" s="6" t="s">
        <v>363</v>
      </c>
      <c r="X308" s="11">
        <f>IF(Table132[[#This Row],[template]]="","",VLOOKUP(Table132[[#This Row],[IP_NAME]],Table511175[],2,FALSE))</f>
        <v>1</v>
      </c>
      <c r="Y308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>02100</v>
      </c>
      <c r="Z308" s="14">
        <f>IF(Table132[[#This Row],[template]]="","",HEX2DEC(Table132[[#This Row],[Addr_Hex]]))</f>
        <v>12633</v>
      </c>
    </row>
    <row r="309" spans="2:26" x14ac:dyDescent="0.3">
      <c r="B309" s="4" t="s">
        <v>465</v>
      </c>
      <c r="C309" s="4" t="s">
        <v>456</v>
      </c>
      <c r="D309" s="9" t="str">
        <f>UPPER(Table132[[#This Row],[SIGNAL]])</f>
        <v>EV_PDPRUNCNTR_26</v>
      </c>
      <c r="E309" s="9" t="str">
        <f>IF(Table132[[#This Row],[template]]="","","0x"&amp;Table132[[#This Row],[IP_Index]]&amp;DEC2HEX(Table132[[#This Row],[Addr_Dec]]*4,7))</f>
        <v>0x1000C568</v>
      </c>
      <c r="F309" s="9" t="str">
        <f>IF(Table132[[#This Row],[template]]="","",VLOOKUP(Table132[[#This Row],[template]],Table29153[],2,FALSE))</f>
        <v>asynParamInt32</v>
      </c>
      <c r="G309" s="18" t="str">
        <f>IF(Table132[[#This Row],[template]]="","","1")</f>
        <v>1</v>
      </c>
      <c r="H309" s="10" t="s">
        <v>454</v>
      </c>
      <c r="I309" s="13" t="str">
        <f>IF(Table132[[#This Row],[template]]="","","0x"&amp;Table132[[#This Row],[D_Index]]&amp;"000")</f>
        <v>0x02100000</v>
      </c>
      <c r="J309" s="18" t="s">
        <v>341</v>
      </c>
      <c r="K309" s="10">
        <v>0</v>
      </c>
      <c r="L309" s="11"/>
      <c r="M309" s="9" t="str">
        <f>IF(Table132[[#This Row],[template]]="","",Table132[[#This Row],[IP_NAME]]&amp;"_"&amp;Table132[[#This Row],[PARAM_NAME]]&amp;IF(Table132[[#This Row],[PARAM_SUB]]="","","_"&amp;Table132[[#This Row],[PARAM_SUB]]))</f>
        <v>ev_pdpRunCntr_26</v>
      </c>
      <c r="N309" s="1" t="s">
        <v>262</v>
      </c>
      <c r="O309" s="1" t="s">
        <v>450</v>
      </c>
      <c r="P309" s="6" t="s">
        <v>289</v>
      </c>
      <c r="Q309" s="20" t="str">
        <f>DEC2HEX(HEX2DEC(Table132[[#This Row],[Index]])/4+Table132[[#This Row],[PARAM_SUB]],4)</f>
        <v>315A</v>
      </c>
      <c r="R309" s="6" t="s">
        <v>363</v>
      </c>
      <c r="S309" s="1" t="s">
        <v>311</v>
      </c>
      <c r="T309" s="16">
        <v>16</v>
      </c>
      <c r="U309" s="6" t="s">
        <v>363</v>
      </c>
      <c r="X309" s="11">
        <f>IF(Table132[[#This Row],[template]]="","",VLOOKUP(Table132[[#This Row],[IP_NAME]],Table511175[],2,FALSE))</f>
        <v>1</v>
      </c>
      <c r="Y309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>02100</v>
      </c>
      <c r="Z309" s="14">
        <f>IF(Table132[[#This Row],[template]]="","",HEX2DEC(Table132[[#This Row],[Addr_Hex]]))</f>
        <v>12634</v>
      </c>
    </row>
    <row r="310" spans="2:26" x14ac:dyDescent="0.3">
      <c r="B310" s="4" t="s">
        <v>465</v>
      </c>
      <c r="C310" s="4" t="s">
        <v>456</v>
      </c>
      <c r="D310" s="9" t="str">
        <f>UPPER(Table132[[#This Row],[SIGNAL]])</f>
        <v>EV_PDPRUNCNTR_27</v>
      </c>
      <c r="E310" s="9" t="str">
        <f>IF(Table132[[#This Row],[template]]="","","0x"&amp;Table132[[#This Row],[IP_Index]]&amp;DEC2HEX(Table132[[#This Row],[Addr_Dec]]*4,7))</f>
        <v>0x1000C56C</v>
      </c>
      <c r="F310" s="9" t="str">
        <f>IF(Table132[[#This Row],[template]]="","",VLOOKUP(Table132[[#This Row],[template]],Table29153[],2,FALSE))</f>
        <v>asynParamInt32</v>
      </c>
      <c r="G310" s="18" t="str">
        <f>IF(Table132[[#This Row],[template]]="","","1")</f>
        <v>1</v>
      </c>
      <c r="H310" s="10" t="s">
        <v>454</v>
      </c>
      <c r="I310" s="13" t="str">
        <f>IF(Table132[[#This Row],[template]]="","","0x"&amp;Table132[[#This Row],[D_Index]]&amp;"000")</f>
        <v>0x02100000</v>
      </c>
      <c r="J310" s="18" t="s">
        <v>341</v>
      </c>
      <c r="K310" s="10">
        <v>0</v>
      </c>
      <c r="L310" s="11"/>
      <c r="M310" s="9" t="str">
        <f>IF(Table132[[#This Row],[template]]="","",Table132[[#This Row],[IP_NAME]]&amp;"_"&amp;Table132[[#This Row],[PARAM_NAME]]&amp;IF(Table132[[#This Row],[PARAM_SUB]]="","","_"&amp;Table132[[#This Row],[PARAM_SUB]]))</f>
        <v>ev_pdpRunCntr_27</v>
      </c>
      <c r="N310" s="1" t="s">
        <v>262</v>
      </c>
      <c r="O310" s="1" t="s">
        <v>450</v>
      </c>
      <c r="P310" s="6" t="s">
        <v>290</v>
      </c>
      <c r="Q310" s="20" t="str">
        <f>DEC2HEX(HEX2DEC(Table132[[#This Row],[Index]])/4+Table132[[#This Row],[PARAM_SUB]],4)</f>
        <v>315B</v>
      </c>
      <c r="R310" s="6" t="s">
        <v>363</v>
      </c>
      <c r="S310" s="1" t="s">
        <v>311</v>
      </c>
      <c r="T310" s="16">
        <v>16</v>
      </c>
      <c r="U310" s="6" t="s">
        <v>363</v>
      </c>
      <c r="X310" s="11">
        <f>IF(Table132[[#This Row],[template]]="","",VLOOKUP(Table132[[#This Row],[IP_NAME]],Table511175[],2,FALSE))</f>
        <v>1</v>
      </c>
      <c r="Y310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>02100</v>
      </c>
      <c r="Z310" s="14">
        <f>IF(Table132[[#This Row],[template]]="","",HEX2DEC(Table132[[#This Row],[Addr_Hex]]))</f>
        <v>12635</v>
      </c>
    </row>
    <row r="311" spans="2:26" x14ac:dyDescent="0.3">
      <c r="B311" s="4" t="s">
        <v>465</v>
      </c>
      <c r="C311" s="4" t="s">
        <v>456</v>
      </c>
      <c r="D311" s="9" t="str">
        <f>UPPER(Table132[[#This Row],[SIGNAL]])</f>
        <v>EV_PDPRUNCNTR_28</v>
      </c>
      <c r="E311" s="9" t="str">
        <f>IF(Table132[[#This Row],[template]]="","","0x"&amp;Table132[[#This Row],[IP_Index]]&amp;DEC2HEX(Table132[[#This Row],[Addr_Dec]]*4,7))</f>
        <v>0x1000C570</v>
      </c>
      <c r="F311" s="9" t="str">
        <f>IF(Table132[[#This Row],[template]]="","",VLOOKUP(Table132[[#This Row],[template]],Table29153[],2,FALSE))</f>
        <v>asynParamInt32</v>
      </c>
      <c r="G311" s="18" t="str">
        <f>IF(Table132[[#This Row],[template]]="","","1")</f>
        <v>1</v>
      </c>
      <c r="H311" s="10" t="s">
        <v>454</v>
      </c>
      <c r="I311" s="13" t="str">
        <f>IF(Table132[[#This Row],[template]]="","","0x"&amp;Table132[[#This Row],[D_Index]]&amp;"000")</f>
        <v>0x02100000</v>
      </c>
      <c r="J311" s="18" t="s">
        <v>341</v>
      </c>
      <c r="K311" s="10">
        <v>0</v>
      </c>
      <c r="L311" s="11"/>
      <c r="M311" s="9" t="str">
        <f>IF(Table132[[#This Row],[template]]="","",Table132[[#This Row],[IP_NAME]]&amp;"_"&amp;Table132[[#This Row],[PARAM_NAME]]&amp;IF(Table132[[#This Row],[PARAM_SUB]]="","","_"&amp;Table132[[#This Row],[PARAM_SUB]]))</f>
        <v>ev_pdpRunCntr_28</v>
      </c>
      <c r="N311" s="1" t="s">
        <v>262</v>
      </c>
      <c r="O311" s="1" t="s">
        <v>450</v>
      </c>
      <c r="P311" s="6" t="s">
        <v>291</v>
      </c>
      <c r="Q311" s="20" t="str">
        <f>DEC2HEX(HEX2DEC(Table132[[#This Row],[Index]])/4+Table132[[#This Row],[PARAM_SUB]],4)</f>
        <v>315C</v>
      </c>
      <c r="R311" s="6" t="s">
        <v>363</v>
      </c>
      <c r="S311" s="1" t="s">
        <v>311</v>
      </c>
      <c r="T311" s="16">
        <v>16</v>
      </c>
      <c r="U311" s="6" t="s">
        <v>363</v>
      </c>
      <c r="X311" s="11">
        <f>IF(Table132[[#This Row],[template]]="","",VLOOKUP(Table132[[#This Row],[IP_NAME]],Table511175[],2,FALSE))</f>
        <v>1</v>
      </c>
      <c r="Y311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>02100</v>
      </c>
      <c r="Z311" s="14">
        <f>IF(Table132[[#This Row],[template]]="","",HEX2DEC(Table132[[#This Row],[Addr_Hex]]))</f>
        <v>12636</v>
      </c>
    </row>
    <row r="312" spans="2:26" x14ac:dyDescent="0.3">
      <c r="B312" s="4" t="s">
        <v>465</v>
      </c>
      <c r="C312" s="4" t="s">
        <v>456</v>
      </c>
      <c r="D312" s="9" t="str">
        <f>UPPER(Table132[[#This Row],[SIGNAL]])</f>
        <v>EV_PDPRUNCNTR_29</v>
      </c>
      <c r="E312" s="9" t="str">
        <f>IF(Table132[[#This Row],[template]]="","","0x"&amp;Table132[[#This Row],[IP_Index]]&amp;DEC2HEX(Table132[[#This Row],[Addr_Dec]]*4,7))</f>
        <v>0x1000C574</v>
      </c>
      <c r="F312" s="9" t="str">
        <f>IF(Table132[[#This Row],[template]]="","",VLOOKUP(Table132[[#This Row],[template]],Table29153[],2,FALSE))</f>
        <v>asynParamInt32</v>
      </c>
      <c r="G312" s="18" t="str">
        <f>IF(Table132[[#This Row],[template]]="","","1")</f>
        <v>1</v>
      </c>
      <c r="H312" s="10" t="s">
        <v>454</v>
      </c>
      <c r="I312" s="13" t="str">
        <f>IF(Table132[[#This Row],[template]]="","","0x"&amp;Table132[[#This Row],[D_Index]]&amp;"000")</f>
        <v>0x02100000</v>
      </c>
      <c r="J312" s="18" t="s">
        <v>341</v>
      </c>
      <c r="K312" s="10">
        <v>0</v>
      </c>
      <c r="L312" s="11"/>
      <c r="M312" s="9" t="str">
        <f>IF(Table132[[#This Row],[template]]="","",Table132[[#This Row],[IP_NAME]]&amp;"_"&amp;Table132[[#This Row],[PARAM_NAME]]&amp;IF(Table132[[#This Row],[PARAM_SUB]]="","","_"&amp;Table132[[#This Row],[PARAM_SUB]]))</f>
        <v>ev_pdpRunCntr_29</v>
      </c>
      <c r="N312" s="1" t="s">
        <v>262</v>
      </c>
      <c r="O312" s="1" t="s">
        <v>450</v>
      </c>
      <c r="P312" s="6" t="s">
        <v>292</v>
      </c>
      <c r="Q312" s="20" t="str">
        <f>DEC2HEX(HEX2DEC(Table132[[#This Row],[Index]])/4+Table132[[#This Row],[PARAM_SUB]],4)</f>
        <v>315D</v>
      </c>
      <c r="R312" s="6" t="s">
        <v>363</v>
      </c>
      <c r="S312" s="1" t="s">
        <v>311</v>
      </c>
      <c r="T312" s="16">
        <v>16</v>
      </c>
      <c r="U312" s="6" t="s">
        <v>363</v>
      </c>
      <c r="X312" s="11">
        <f>IF(Table132[[#This Row],[template]]="","",VLOOKUP(Table132[[#This Row],[IP_NAME]],Table511175[],2,FALSE))</f>
        <v>1</v>
      </c>
      <c r="Y312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>02100</v>
      </c>
      <c r="Z312" s="14">
        <f>IF(Table132[[#This Row],[template]]="","",HEX2DEC(Table132[[#This Row],[Addr_Hex]]))</f>
        <v>12637</v>
      </c>
    </row>
    <row r="313" spans="2:26" x14ac:dyDescent="0.3">
      <c r="B313" s="4" t="s">
        <v>465</v>
      </c>
      <c r="C313" s="4" t="s">
        <v>456</v>
      </c>
      <c r="D313" s="9" t="str">
        <f>UPPER(Table132[[#This Row],[SIGNAL]])</f>
        <v>EV_PDPRUNCNTR_30</v>
      </c>
      <c r="E313" s="9" t="str">
        <f>IF(Table132[[#This Row],[template]]="","","0x"&amp;Table132[[#This Row],[IP_Index]]&amp;DEC2HEX(Table132[[#This Row],[Addr_Dec]]*4,7))</f>
        <v>0x1000C578</v>
      </c>
      <c r="F313" s="9" t="str">
        <f>IF(Table132[[#This Row],[template]]="","",VLOOKUP(Table132[[#This Row],[template]],Table29153[],2,FALSE))</f>
        <v>asynParamInt32</v>
      </c>
      <c r="G313" s="18" t="str">
        <f>IF(Table132[[#This Row],[template]]="","","1")</f>
        <v>1</v>
      </c>
      <c r="H313" s="10" t="s">
        <v>454</v>
      </c>
      <c r="I313" s="13" t="str">
        <f>IF(Table132[[#This Row],[template]]="","","0x"&amp;Table132[[#This Row],[D_Index]]&amp;"000")</f>
        <v>0x02100000</v>
      </c>
      <c r="J313" s="18" t="s">
        <v>341</v>
      </c>
      <c r="K313" s="10">
        <v>0</v>
      </c>
      <c r="L313" s="11"/>
      <c r="M313" s="9" t="str">
        <f>IF(Table132[[#This Row],[template]]="","",Table132[[#This Row],[IP_NAME]]&amp;"_"&amp;Table132[[#This Row],[PARAM_NAME]]&amp;IF(Table132[[#This Row],[PARAM_SUB]]="","","_"&amp;Table132[[#This Row],[PARAM_SUB]]))</f>
        <v>ev_pdpRunCntr_30</v>
      </c>
      <c r="N313" s="1" t="s">
        <v>262</v>
      </c>
      <c r="O313" s="1" t="s">
        <v>450</v>
      </c>
      <c r="P313" s="6" t="s">
        <v>293</v>
      </c>
      <c r="Q313" s="20" t="str">
        <f>DEC2HEX(HEX2DEC(Table132[[#This Row],[Index]])/4+Table132[[#This Row],[PARAM_SUB]],4)</f>
        <v>315E</v>
      </c>
      <c r="R313" s="6" t="s">
        <v>363</v>
      </c>
      <c r="S313" s="1" t="s">
        <v>311</v>
      </c>
      <c r="T313" s="16">
        <v>16</v>
      </c>
      <c r="U313" s="6" t="s">
        <v>363</v>
      </c>
      <c r="X313" s="11">
        <f>IF(Table132[[#This Row],[template]]="","",VLOOKUP(Table132[[#This Row],[IP_NAME]],Table511175[],2,FALSE))</f>
        <v>1</v>
      </c>
      <c r="Y313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>02100</v>
      </c>
      <c r="Z313" s="14">
        <f>IF(Table132[[#This Row],[template]]="","",HEX2DEC(Table132[[#This Row],[Addr_Hex]]))</f>
        <v>12638</v>
      </c>
    </row>
    <row r="314" spans="2:26" x14ac:dyDescent="0.3">
      <c r="B314" s="4" t="s">
        <v>465</v>
      </c>
      <c r="C314" s="4" t="s">
        <v>456</v>
      </c>
      <c r="D314" s="9" t="str">
        <f>UPPER(Table132[[#This Row],[SIGNAL]])</f>
        <v>EV_PDPRUNCNTR_31</v>
      </c>
      <c r="E314" s="9" t="str">
        <f>IF(Table132[[#This Row],[template]]="","","0x"&amp;Table132[[#This Row],[IP_Index]]&amp;DEC2HEX(Table132[[#This Row],[Addr_Dec]]*4,7))</f>
        <v>0x1000C57C</v>
      </c>
      <c r="F314" s="9" t="str">
        <f>IF(Table132[[#This Row],[template]]="","",VLOOKUP(Table132[[#This Row],[template]],Table29153[],2,FALSE))</f>
        <v>asynParamInt32</v>
      </c>
      <c r="G314" s="18" t="str">
        <f>IF(Table132[[#This Row],[template]]="","","1")</f>
        <v>1</v>
      </c>
      <c r="H314" s="10" t="s">
        <v>454</v>
      </c>
      <c r="I314" s="13" t="str">
        <f>IF(Table132[[#This Row],[template]]="","","0x"&amp;Table132[[#This Row],[D_Index]]&amp;"000")</f>
        <v>0x02100000</v>
      </c>
      <c r="J314" s="18" t="s">
        <v>341</v>
      </c>
      <c r="K314" s="10">
        <v>0</v>
      </c>
      <c r="L314" s="11"/>
      <c r="M314" s="9" t="str">
        <f>IF(Table132[[#This Row],[template]]="","",Table132[[#This Row],[IP_NAME]]&amp;"_"&amp;Table132[[#This Row],[PARAM_NAME]]&amp;IF(Table132[[#This Row],[PARAM_SUB]]="","","_"&amp;Table132[[#This Row],[PARAM_SUB]]))</f>
        <v>ev_pdpRunCntr_31</v>
      </c>
      <c r="N314" s="1" t="s">
        <v>262</v>
      </c>
      <c r="O314" s="1" t="s">
        <v>450</v>
      </c>
      <c r="P314" s="6" t="s">
        <v>294</v>
      </c>
      <c r="Q314" s="20" t="str">
        <f>DEC2HEX(HEX2DEC(Table132[[#This Row],[Index]])/4+Table132[[#This Row],[PARAM_SUB]],4)</f>
        <v>315F</v>
      </c>
      <c r="R314" s="6" t="s">
        <v>363</v>
      </c>
      <c r="S314" s="1" t="s">
        <v>311</v>
      </c>
      <c r="T314" s="16">
        <v>16</v>
      </c>
      <c r="U314" s="6" t="s">
        <v>363</v>
      </c>
      <c r="X314" s="11">
        <f>IF(Table132[[#This Row],[template]]="","",VLOOKUP(Table132[[#This Row],[IP_NAME]],Table511175[],2,FALSE))</f>
        <v>1</v>
      </c>
      <c r="Y314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>02100</v>
      </c>
      <c r="Z314" s="14">
        <f>IF(Table132[[#This Row],[template]]="","",HEX2DEC(Table132[[#This Row],[Addr_Hex]]))</f>
        <v>12639</v>
      </c>
    </row>
    <row r="315" spans="2:26" x14ac:dyDescent="0.3">
      <c r="B315" s="4"/>
      <c r="C315" s="4"/>
      <c r="D315" s="9" t="str">
        <f>UPPER(Table132[[#This Row],[SIGNAL]])</f>
        <v/>
      </c>
      <c r="E315" s="9" t="str">
        <f>IF(Table132[[#This Row],[template]]="","","0x"&amp;Table132[[#This Row],[IP_Index]]&amp;DEC2HEX(Table132[[#This Row],[Addr_Dec]]*4,7))</f>
        <v/>
      </c>
      <c r="F315" s="9" t="str">
        <f>IF(Table132[[#This Row],[template]]="","",VLOOKUP(Table132[[#This Row],[template]],Table29153[],2,FALSE))</f>
        <v/>
      </c>
      <c r="G315" s="18" t="str">
        <f>IF(Table132[[#This Row],[template]]="","","1")</f>
        <v/>
      </c>
      <c r="H315" s="10"/>
      <c r="I315" s="13" t="str">
        <f>IF(Table132[[#This Row],[template]]="","","0x"&amp;Table132[[#This Row],[D_Index]]&amp;"000")</f>
        <v/>
      </c>
      <c r="J315" s="18"/>
      <c r="K315" s="10"/>
      <c r="L315" s="11"/>
      <c r="M315" s="9" t="str">
        <f>IF(Table132[[#This Row],[template]]="","",Table132[[#This Row],[IP_NAME]]&amp;"_"&amp;Table132[[#This Row],[PARAM_NAME]]&amp;IF(Table132[[#This Row],[PARAM_SUB]]="","","_"&amp;Table132[[#This Row],[PARAM_SUB]]))</f>
        <v/>
      </c>
      <c r="P315" s="6"/>
      <c r="Q315" s="4"/>
      <c r="R315" s="6"/>
      <c r="T315" s="16"/>
      <c r="U315" s="6"/>
      <c r="X315" s="11" t="str">
        <f>IF(Table132[[#This Row],[template]]="","",VLOOKUP(Table132[[#This Row],[IP_NAME]],Table511175[],2,FALSE))</f>
        <v/>
      </c>
      <c r="Y315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/>
      </c>
      <c r="Z315" s="14" t="str">
        <f>IF(Table132[[#This Row],[template]]="","",HEX2DEC(Table132[[#This Row],[Addr_Hex]]))</f>
        <v/>
      </c>
    </row>
    <row r="316" spans="2:26" x14ac:dyDescent="0.3">
      <c r="B316" s="4" t="s">
        <v>465</v>
      </c>
      <c r="C316" s="4" t="s">
        <v>456</v>
      </c>
      <c r="D316" s="9" t="str">
        <f>UPPER(Table132[[#This Row],[SIGNAL]])</f>
        <v>EV_PDPERRCNTR_0</v>
      </c>
      <c r="E316" s="9" t="str">
        <f>IF(Table132[[#This Row],[template]]="","","0x"&amp;Table132[[#This Row],[IP_Index]]&amp;DEC2HEX(Table132[[#This Row],[Addr_Dec]]*4,7))</f>
        <v>0x1000C500</v>
      </c>
      <c r="F316" s="9" t="str">
        <f>IF(Table132[[#This Row],[template]]="","",VLOOKUP(Table132[[#This Row],[template]],Table29153[],2,FALSE))</f>
        <v>asynParamInt32</v>
      </c>
      <c r="G316" s="18" t="str">
        <f>IF(Table132[[#This Row],[template]]="","","1")</f>
        <v>1</v>
      </c>
      <c r="H316" s="10" t="s">
        <v>454</v>
      </c>
      <c r="I316" s="13" t="str">
        <f>IF(Table132[[#This Row],[template]]="","","0x"&amp;Table132[[#This Row],[D_Index]]&amp;"000")</f>
        <v>0x02000000</v>
      </c>
      <c r="J316" s="18" t="s">
        <v>341</v>
      </c>
      <c r="K316" s="10">
        <v>0</v>
      </c>
      <c r="L316" s="11"/>
      <c r="M316" s="9" t="str">
        <f>IF(Table132[[#This Row],[template]]="","",Table132[[#This Row],[IP_NAME]]&amp;"_"&amp;Table132[[#This Row],[PARAM_NAME]]&amp;IF(Table132[[#This Row],[PARAM_SUB]]="","","_"&amp;Table132[[#This Row],[PARAM_SUB]]))</f>
        <v>ev_pdpErrCntr_0</v>
      </c>
      <c r="N316" s="1" t="s">
        <v>262</v>
      </c>
      <c r="O316" s="1" t="s">
        <v>451</v>
      </c>
      <c r="P316" s="6" t="s">
        <v>367</v>
      </c>
      <c r="Q316" s="20" t="str">
        <f>DEC2HEX(HEX2DEC(Table132[[#This Row],[Index]])/4+Table132[[#This Row],[PARAM_SUB]],4)</f>
        <v>3140</v>
      </c>
      <c r="R316" s="6" t="s">
        <v>363</v>
      </c>
      <c r="S316" s="1" t="s">
        <v>311</v>
      </c>
      <c r="T316" s="16">
        <v>0</v>
      </c>
      <c r="U316" s="6" t="s">
        <v>363</v>
      </c>
      <c r="X316" s="11">
        <f>IF(Table132[[#This Row],[template]]="","",VLOOKUP(Table132[[#This Row],[IP_NAME]],Table511175[],2,FALSE))</f>
        <v>1</v>
      </c>
      <c r="Y316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>02000</v>
      </c>
      <c r="Z316" s="14">
        <f>IF(Table132[[#This Row],[template]]="","",HEX2DEC(Table132[[#This Row],[Addr_Hex]]))</f>
        <v>12608</v>
      </c>
    </row>
    <row r="317" spans="2:26" x14ac:dyDescent="0.3">
      <c r="B317" s="4" t="s">
        <v>465</v>
      </c>
      <c r="C317" s="4" t="s">
        <v>456</v>
      </c>
      <c r="D317" s="9" t="str">
        <f>UPPER(Table132[[#This Row],[SIGNAL]])</f>
        <v>EV_PDPERRCNTR_1</v>
      </c>
      <c r="E317" s="9" t="str">
        <f>IF(Table132[[#This Row],[template]]="","","0x"&amp;Table132[[#This Row],[IP_Index]]&amp;DEC2HEX(Table132[[#This Row],[Addr_Dec]]*4,7))</f>
        <v>0x1000C504</v>
      </c>
      <c r="F317" s="9" t="str">
        <f>IF(Table132[[#This Row],[template]]="","",VLOOKUP(Table132[[#This Row],[template]],Table29153[],2,FALSE))</f>
        <v>asynParamInt32</v>
      </c>
      <c r="G317" s="18" t="str">
        <f>IF(Table132[[#This Row],[template]]="","","1")</f>
        <v>1</v>
      </c>
      <c r="H317" s="10" t="s">
        <v>454</v>
      </c>
      <c r="I317" s="13" t="str">
        <f>IF(Table132[[#This Row],[template]]="","","0x"&amp;Table132[[#This Row],[D_Index]]&amp;"000")</f>
        <v>0x02000000</v>
      </c>
      <c r="J317" s="18" t="s">
        <v>341</v>
      </c>
      <c r="K317" s="10">
        <v>0</v>
      </c>
      <c r="L317" s="11"/>
      <c r="M317" s="9" t="str">
        <f>IF(Table132[[#This Row],[template]]="","",Table132[[#This Row],[IP_NAME]]&amp;"_"&amp;Table132[[#This Row],[PARAM_NAME]]&amp;IF(Table132[[#This Row],[PARAM_SUB]]="","","_"&amp;Table132[[#This Row],[PARAM_SUB]]))</f>
        <v>ev_pdpErrCntr_1</v>
      </c>
      <c r="N317" s="1" t="s">
        <v>262</v>
      </c>
      <c r="O317" s="1" t="s">
        <v>451</v>
      </c>
      <c r="P317" s="6" t="s">
        <v>271</v>
      </c>
      <c r="Q317" s="20" t="str">
        <f>DEC2HEX(HEX2DEC(Table132[[#This Row],[Index]])/4+Table132[[#This Row],[PARAM_SUB]],4)</f>
        <v>3141</v>
      </c>
      <c r="R317" s="6" t="s">
        <v>363</v>
      </c>
      <c r="S317" s="1" t="s">
        <v>311</v>
      </c>
      <c r="T317" s="16">
        <v>0</v>
      </c>
      <c r="U317" s="6" t="s">
        <v>363</v>
      </c>
      <c r="X317" s="11">
        <f>IF(Table132[[#This Row],[template]]="","",VLOOKUP(Table132[[#This Row],[IP_NAME]],Table511175[],2,FALSE))</f>
        <v>1</v>
      </c>
      <c r="Y317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>02000</v>
      </c>
      <c r="Z317" s="14">
        <f>IF(Table132[[#This Row],[template]]="","",HEX2DEC(Table132[[#This Row],[Addr_Hex]]))</f>
        <v>12609</v>
      </c>
    </row>
    <row r="318" spans="2:26" x14ac:dyDescent="0.3">
      <c r="B318" s="4" t="s">
        <v>465</v>
      </c>
      <c r="C318" s="4" t="s">
        <v>456</v>
      </c>
      <c r="D318" s="9" t="str">
        <f>UPPER(Table132[[#This Row],[SIGNAL]])</f>
        <v>EV_PDPERRCNTR_2</v>
      </c>
      <c r="E318" s="9" t="str">
        <f>IF(Table132[[#This Row],[template]]="","","0x"&amp;Table132[[#This Row],[IP_Index]]&amp;DEC2HEX(Table132[[#This Row],[Addr_Dec]]*4,7))</f>
        <v>0x1000C508</v>
      </c>
      <c r="F318" s="9" t="str">
        <f>IF(Table132[[#This Row],[template]]="","",VLOOKUP(Table132[[#This Row],[template]],Table29153[],2,FALSE))</f>
        <v>asynParamInt32</v>
      </c>
      <c r="G318" s="18" t="str">
        <f>IF(Table132[[#This Row],[template]]="","","1")</f>
        <v>1</v>
      </c>
      <c r="H318" s="10" t="s">
        <v>454</v>
      </c>
      <c r="I318" s="13" t="str">
        <f>IF(Table132[[#This Row],[template]]="","","0x"&amp;Table132[[#This Row],[D_Index]]&amp;"000")</f>
        <v>0x02000000</v>
      </c>
      <c r="J318" s="18" t="s">
        <v>341</v>
      </c>
      <c r="K318" s="10">
        <v>0</v>
      </c>
      <c r="L318" s="11"/>
      <c r="M318" s="9" t="str">
        <f>IF(Table132[[#This Row],[template]]="","",Table132[[#This Row],[IP_NAME]]&amp;"_"&amp;Table132[[#This Row],[PARAM_NAME]]&amp;IF(Table132[[#This Row],[PARAM_SUB]]="","","_"&amp;Table132[[#This Row],[PARAM_SUB]]))</f>
        <v>ev_pdpErrCntr_2</v>
      </c>
      <c r="N318" s="1" t="s">
        <v>262</v>
      </c>
      <c r="O318" s="1" t="s">
        <v>451</v>
      </c>
      <c r="P318" s="6" t="s">
        <v>243</v>
      </c>
      <c r="Q318" s="20" t="str">
        <f>DEC2HEX(HEX2DEC(Table132[[#This Row],[Index]])/4+Table132[[#This Row],[PARAM_SUB]],4)</f>
        <v>3142</v>
      </c>
      <c r="R318" s="6" t="s">
        <v>363</v>
      </c>
      <c r="S318" s="1" t="s">
        <v>311</v>
      </c>
      <c r="T318" s="16">
        <v>0</v>
      </c>
      <c r="U318" s="6" t="s">
        <v>363</v>
      </c>
      <c r="X318" s="11">
        <f>IF(Table132[[#This Row],[template]]="","",VLOOKUP(Table132[[#This Row],[IP_NAME]],Table511175[],2,FALSE))</f>
        <v>1</v>
      </c>
      <c r="Y318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>02000</v>
      </c>
      <c r="Z318" s="14">
        <f>IF(Table132[[#This Row],[template]]="","",HEX2DEC(Table132[[#This Row],[Addr_Hex]]))</f>
        <v>12610</v>
      </c>
    </row>
    <row r="319" spans="2:26" x14ac:dyDescent="0.3">
      <c r="B319" s="4" t="s">
        <v>465</v>
      </c>
      <c r="C319" s="4" t="s">
        <v>456</v>
      </c>
      <c r="D319" s="9" t="str">
        <f>UPPER(Table132[[#This Row],[SIGNAL]])</f>
        <v>EV_PDPERRCNTR_3</v>
      </c>
      <c r="E319" s="9" t="str">
        <f>IF(Table132[[#This Row],[template]]="","","0x"&amp;Table132[[#This Row],[IP_Index]]&amp;DEC2HEX(Table132[[#This Row],[Addr_Dec]]*4,7))</f>
        <v>0x1000C50C</v>
      </c>
      <c r="F319" s="9" t="str">
        <f>IF(Table132[[#This Row],[template]]="","",VLOOKUP(Table132[[#This Row],[template]],Table29153[],2,FALSE))</f>
        <v>asynParamInt32</v>
      </c>
      <c r="G319" s="18" t="str">
        <f>IF(Table132[[#This Row],[template]]="","","1")</f>
        <v>1</v>
      </c>
      <c r="H319" s="10" t="s">
        <v>454</v>
      </c>
      <c r="I319" s="13" t="str">
        <f>IF(Table132[[#This Row],[template]]="","","0x"&amp;Table132[[#This Row],[D_Index]]&amp;"000")</f>
        <v>0x02000000</v>
      </c>
      <c r="J319" s="18" t="s">
        <v>341</v>
      </c>
      <c r="K319" s="10">
        <v>0</v>
      </c>
      <c r="L319" s="11"/>
      <c r="M319" s="9" t="str">
        <f>IF(Table132[[#This Row],[template]]="","",Table132[[#This Row],[IP_NAME]]&amp;"_"&amp;Table132[[#This Row],[PARAM_NAME]]&amp;IF(Table132[[#This Row],[PARAM_SUB]]="","","_"&amp;Table132[[#This Row],[PARAM_SUB]]))</f>
        <v>ev_pdpErrCntr_3</v>
      </c>
      <c r="N319" s="1" t="s">
        <v>262</v>
      </c>
      <c r="O319" s="1" t="s">
        <v>451</v>
      </c>
      <c r="P319" s="6" t="s">
        <v>244</v>
      </c>
      <c r="Q319" s="20" t="str">
        <f>DEC2HEX(HEX2DEC(Table132[[#This Row],[Index]])/4+Table132[[#This Row],[PARAM_SUB]],4)</f>
        <v>3143</v>
      </c>
      <c r="R319" s="6" t="s">
        <v>363</v>
      </c>
      <c r="S319" s="1" t="s">
        <v>311</v>
      </c>
      <c r="T319" s="16">
        <v>0</v>
      </c>
      <c r="U319" s="6" t="s">
        <v>363</v>
      </c>
      <c r="X319" s="11">
        <f>IF(Table132[[#This Row],[template]]="","",VLOOKUP(Table132[[#This Row],[IP_NAME]],Table511175[],2,FALSE))</f>
        <v>1</v>
      </c>
      <c r="Y319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>02000</v>
      </c>
      <c r="Z319" s="14">
        <f>IF(Table132[[#This Row],[template]]="","",HEX2DEC(Table132[[#This Row],[Addr_Hex]]))</f>
        <v>12611</v>
      </c>
    </row>
    <row r="320" spans="2:26" x14ac:dyDescent="0.3">
      <c r="B320" s="4" t="s">
        <v>465</v>
      </c>
      <c r="C320" s="4" t="s">
        <v>456</v>
      </c>
      <c r="D320" s="9" t="str">
        <f>UPPER(Table132[[#This Row],[SIGNAL]])</f>
        <v>EV_PDPERRCNTR_4</v>
      </c>
      <c r="E320" s="9" t="str">
        <f>IF(Table132[[#This Row],[template]]="","","0x"&amp;Table132[[#This Row],[IP_Index]]&amp;DEC2HEX(Table132[[#This Row],[Addr_Dec]]*4,7))</f>
        <v>0x1000C510</v>
      </c>
      <c r="F320" s="9" t="str">
        <f>IF(Table132[[#This Row],[template]]="","",VLOOKUP(Table132[[#This Row],[template]],Table29153[],2,FALSE))</f>
        <v>asynParamInt32</v>
      </c>
      <c r="G320" s="18" t="str">
        <f>IF(Table132[[#This Row],[template]]="","","1")</f>
        <v>1</v>
      </c>
      <c r="H320" s="10" t="s">
        <v>454</v>
      </c>
      <c r="I320" s="13" t="str">
        <f>IF(Table132[[#This Row],[template]]="","","0x"&amp;Table132[[#This Row],[D_Index]]&amp;"000")</f>
        <v>0x02000000</v>
      </c>
      <c r="J320" s="18" t="s">
        <v>341</v>
      </c>
      <c r="K320" s="10">
        <v>0</v>
      </c>
      <c r="L320" s="11"/>
      <c r="M320" s="9" t="str">
        <f>IF(Table132[[#This Row],[template]]="","",Table132[[#This Row],[IP_NAME]]&amp;"_"&amp;Table132[[#This Row],[PARAM_NAME]]&amp;IF(Table132[[#This Row],[PARAM_SUB]]="","","_"&amp;Table132[[#This Row],[PARAM_SUB]]))</f>
        <v>ev_pdpErrCntr_4</v>
      </c>
      <c r="N320" s="1" t="s">
        <v>262</v>
      </c>
      <c r="O320" s="1" t="s">
        <v>451</v>
      </c>
      <c r="P320" s="6" t="s">
        <v>245</v>
      </c>
      <c r="Q320" s="20" t="str">
        <f>DEC2HEX(HEX2DEC(Table132[[#This Row],[Index]])/4+Table132[[#This Row],[PARAM_SUB]],4)</f>
        <v>3144</v>
      </c>
      <c r="R320" s="6" t="s">
        <v>363</v>
      </c>
      <c r="S320" s="1" t="s">
        <v>311</v>
      </c>
      <c r="T320" s="16">
        <v>0</v>
      </c>
      <c r="U320" s="6" t="s">
        <v>363</v>
      </c>
      <c r="X320" s="11">
        <f>IF(Table132[[#This Row],[template]]="","",VLOOKUP(Table132[[#This Row],[IP_NAME]],Table511175[],2,FALSE))</f>
        <v>1</v>
      </c>
      <c r="Y320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>02000</v>
      </c>
      <c r="Z320" s="14">
        <f>IF(Table132[[#This Row],[template]]="","",HEX2DEC(Table132[[#This Row],[Addr_Hex]]))</f>
        <v>12612</v>
      </c>
    </row>
    <row r="321" spans="2:26" x14ac:dyDescent="0.3">
      <c r="B321" s="4" t="s">
        <v>465</v>
      </c>
      <c r="C321" s="4" t="s">
        <v>456</v>
      </c>
      <c r="D321" s="9" t="str">
        <f>UPPER(Table132[[#This Row],[SIGNAL]])</f>
        <v>EV_PDPERRCNTR_5</v>
      </c>
      <c r="E321" s="9" t="str">
        <f>IF(Table132[[#This Row],[template]]="","","0x"&amp;Table132[[#This Row],[IP_Index]]&amp;DEC2HEX(Table132[[#This Row],[Addr_Dec]]*4,7))</f>
        <v>0x1000C514</v>
      </c>
      <c r="F321" s="9" t="str">
        <f>IF(Table132[[#This Row],[template]]="","",VLOOKUP(Table132[[#This Row],[template]],Table29153[],2,FALSE))</f>
        <v>asynParamInt32</v>
      </c>
      <c r="G321" s="18" t="str">
        <f>IF(Table132[[#This Row],[template]]="","","1")</f>
        <v>1</v>
      </c>
      <c r="H321" s="10" t="s">
        <v>454</v>
      </c>
      <c r="I321" s="13" t="str">
        <f>IF(Table132[[#This Row],[template]]="","","0x"&amp;Table132[[#This Row],[D_Index]]&amp;"000")</f>
        <v>0x02000000</v>
      </c>
      <c r="J321" s="18" t="s">
        <v>341</v>
      </c>
      <c r="K321" s="10">
        <v>0</v>
      </c>
      <c r="L321" s="11"/>
      <c r="M321" s="9" t="str">
        <f>IF(Table132[[#This Row],[template]]="","",Table132[[#This Row],[IP_NAME]]&amp;"_"&amp;Table132[[#This Row],[PARAM_NAME]]&amp;IF(Table132[[#This Row],[PARAM_SUB]]="","","_"&amp;Table132[[#This Row],[PARAM_SUB]]))</f>
        <v>ev_pdpErrCntr_5</v>
      </c>
      <c r="N321" s="1" t="s">
        <v>262</v>
      </c>
      <c r="O321" s="1" t="s">
        <v>451</v>
      </c>
      <c r="P321" s="6" t="s">
        <v>246</v>
      </c>
      <c r="Q321" s="20" t="str">
        <f>DEC2HEX(HEX2DEC(Table132[[#This Row],[Index]])/4+Table132[[#This Row],[PARAM_SUB]],4)</f>
        <v>3145</v>
      </c>
      <c r="R321" s="6" t="s">
        <v>363</v>
      </c>
      <c r="S321" s="1" t="s">
        <v>311</v>
      </c>
      <c r="T321" s="16">
        <v>0</v>
      </c>
      <c r="U321" s="6" t="s">
        <v>363</v>
      </c>
      <c r="X321" s="11">
        <f>IF(Table132[[#This Row],[template]]="","",VLOOKUP(Table132[[#This Row],[IP_NAME]],Table511175[],2,FALSE))</f>
        <v>1</v>
      </c>
      <c r="Y321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>02000</v>
      </c>
      <c r="Z321" s="14">
        <f>IF(Table132[[#This Row],[template]]="","",HEX2DEC(Table132[[#This Row],[Addr_Hex]]))</f>
        <v>12613</v>
      </c>
    </row>
    <row r="322" spans="2:26" x14ac:dyDescent="0.3">
      <c r="B322" s="4" t="s">
        <v>465</v>
      </c>
      <c r="C322" s="4" t="s">
        <v>456</v>
      </c>
      <c r="D322" s="9" t="str">
        <f>UPPER(Table132[[#This Row],[SIGNAL]])</f>
        <v>EV_PDPERRCNTR_6</v>
      </c>
      <c r="E322" s="9" t="str">
        <f>IF(Table132[[#This Row],[template]]="","","0x"&amp;Table132[[#This Row],[IP_Index]]&amp;DEC2HEX(Table132[[#This Row],[Addr_Dec]]*4,7))</f>
        <v>0x1000C518</v>
      </c>
      <c r="F322" s="9" t="str">
        <f>IF(Table132[[#This Row],[template]]="","",VLOOKUP(Table132[[#This Row],[template]],Table29153[],2,FALSE))</f>
        <v>asynParamInt32</v>
      </c>
      <c r="G322" s="18" t="str">
        <f>IF(Table132[[#This Row],[template]]="","","1")</f>
        <v>1</v>
      </c>
      <c r="H322" s="10" t="s">
        <v>454</v>
      </c>
      <c r="I322" s="13" t="str">
        <f>IF(Table132[[#This Row],[template]]="","","0x"&amp;Table132[[#This Row],[D_Index]]&amp;"000")</f>
        <v>0x02000000</v>
      </c>
      <c r="J322" s="18" t="s">
        <v>341</v>
      </c>
      <c r="K322" s="10">
        <v>0</v>
      </c>
      <c r="L322" s="11"/>
      <c r="M322" s="9" t="str">
        <f>IF(Table132[[#This Row],[template]]="","",Table132[[#This Row],[IP_NAME]]&amp;"_"&amp;Table132[[#This Row],[PARAM_NAME]]&amp;IF(Table132[[#This Row],[PARAM_SUB]]="","","_"&amp;Table132[[#This Row],[PARAM_SUB]]))</f>
        <v>ev_pdpErrCntr_6</v>
      </c>
      <c r="N322" s="1" t="s">
        <v>262</v>
      </c>
      <c r="O322" s="1" t="s">
        <v>451</v>
      </c>
      <c r="P322" s="6" t="s">
        <v>247</v>
      </c>
      <c r="Q322" s="20" t="str">
        <f>DEC2HEX(HEX2DEC(Table132[[#This Row],[Index]])/4+Table132[[#This Row],[PARAM_SUB]],4)</f>
        <v>3146</v>
      </c>
      <c r="R322" s="6" t="s">
        <v>363</v>
      </c>
      <c r="S322" s="1" t="s">
        <v>311</v>
      </c>
      <c r="T322" s="16">
        <v>0</v>
      </c>
      <c r="U322" s="6" t="s">
        <v>363</v>
      </c>
      <c r="X322" s="11">
        <f>IF(Table132[[#This Row],[template]]="","",VLOOKUP(Table132[[#This Row],[IP_NAME]],Table511175[],2,FALSE))</f>
        <v>1</v>
      </c>
      <c r="Y322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>02000</v>
      </c>
      <c r="Z322" s="14">
        <f>IF(Table132[[#This Row],[template]]="","",HEX2DEC(Table132[[#This Row],[Addr_Hex]]))</f>
        <v>12614</v>
      </c>
    </row>
    <row r="323" spans="2:26" x14ac:dyDescent="0.3">
      <c r="B323" s="4" t="s">
        <v>465</v>
      </c>
      <c r="C323" s="4" t="s">
        <v>456</v>
      </c>
      <c r="D323" s="9" t="str">
        <f>UPPER(Table132[[#This Row],[SIGNAL]])</f>
        <v>EV_PDPERRCNTR_7</v>
      </c>
      <c r="E323" s="9" t="str">
        <f>IF(Table132[[#This Row],[template]]="","","0x"&amp;Table132[[#This Row],[IP_Index]]&amp;DEC2HEX(Table132[[#This Row],[Addr_Dec]]*4,7))</f>
        <v>0x1000C51C</v>
      </c>
      <c r="F323" s="9" t="str">
        <f>IF(Table132[[#This Row],[template]]="","",VLOOKUP(Table132[[#This Row],[template]],Table29153[],2,FALSE))</f>
        <v>asynParamInt32</v>
      </c>
      <c r="G323" s="18" t="str">
        <f>IF(Table132[[#This Row],[template]]="","","1")</f>
        <v>1</v>
      </c>
      <c r="H323" s="10" t="s">
        <v>454</v>
      </c>
      <c r="I323" s="13" t="str">
        <f>IF(Table132[[#This Row],[template]]="","","0x"&amp;Table132[[#This Row],[D_Index]]&amp;"000")</f>
        <v>0x02000000</v>
      </c>
      <c r="J323" s="18" t="s">
        <v>341</v>
      </c>
      <c r="K323" s="10">
        <v>0</v>
      </c>
      <c r="L323" s="11"/>
      <c r="M323" s="9" t="str">
        <f>IF(Table132[[#This Row],[template]]="","",Table132[[#This Row],[IP_NAME]]&amp;"_"&amp;Table132[[#This Row],[PARAM_NAME]]&amp;IF(Table132[[#This Row],[PARAM_SUB]]="","","_"&amp;Table132[[#This Row],[PARAM_SUB]]))</f>
        <v>ev_pdpErrCntr_7</v>
      </c>
      <c r="N323" s="1" t="s">
        <v>262</v>
      </c>
      <c r="O323" s="1" t="s">
        <v>451</v>
      </c>
      <c r="P323" s="6" t="s">
        <v>248</v>
      </c>
      <c r="Q323" s="20" t="str">
        <f>DEC2HEX(HEX2DEC(Table132[[#This Row],[Index]])/4+Table132[[#This Row],[PARAM_SUB]],4)</f>
        <v>3147</v>
      </c>
      <c r="R323" s="6" t="s">
        <v>363</v>
      </c>
      <c r="S323" s="1" t="s">
        <v>311</v>
      </c>
      <c r="T323" s="16">
        <v>0</v>
      </c>
      <c r="U323" s="6" t="s">
        <v>363</v>
      </c>
      <c r="X323" s="11">
        <f>IF(Table132[[#This Row],[template]]="","",VLOOKUP(Table132[[#This Row],[IP_NAME]],Table511175[],2,FALSE))</f>
        <v>1</v>
      </c>
      <c r="Y323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>02000</v>
      </c>
      <c r="Z323" s="14">
        <f>IF(Table132[[#This Row],[template]]="","",HEX2DEC(Table132[[#This Row],[Addr_Hex]]))</f>
        <v>12615</v>
      </c>
    </row>
    <row r="324" spans="2:26" x14ac:dyDescent="0.3">
      <c r="B324" s="4" t="s">
        <v>465</v>
      </c>
      <c r="C324" s="4" t="s">
        <v>456</v>
      </c>
      <c r="D324" s="9" t="str">
        <f>UPPER(Table132[[#This Row],[SIGNAL]])</f>
        <v>EV_PDPERRCNTR_8</v>
      </c>
      <c r="E324" s="9" t="str">
        <f>IF(Table132[[#This Row],[template]]="","","0x"&amp;Table132[[#This Row],[IP_Index]]&amp;DEC2HEX(Table132[[#This Row],[Addr_Dec]]*4,7))</f>
        <v>0x1000C520</v>
      </c>
      <c r="F324" s="9" t="str">
        <f>IF(Table132[[#This Row],[template]]="","",VLOOKUP(Table132[[#This Row],[template]],Table29153[],2,FALSE))</f>
        <v>asynParamInt32</v>
      </c>
      <c r="G324" s="18" t="str">
        <f>IF(Table132[[#This Row],[template]]="","","1")</f>
        <v>1</v>
      </c>
      <c r="H324" s="10" t="s">
        <v>454</v>
      </c>
      <c r="I324" s="13" t="str">
        <f>IF(Table132[[#This Row],[template]]="","","0x"&amp;Table132[[#This Row],[D_Index]]&amp;"000")</f>
        <v>0x02000000</v>
      </c>
      <c r="J324" s="18" t="s">
        <v>341</v>
      </c>
      <c r="K324" s="10">
        <v>0</v>
      </c>
      <c r="L324" s="11"/>
      <c r="M324" s="9" t="str">
        <f>IF(Table132[[#This Row],[template]]="","",Table132[[#This Row],[IP_NAME]]&amp;"_"&amp;Table132[[#This Row],[PARAM_NAME]]&amp;IF(Table132[[#This Row],[PARAM_SUB]]="","","_"&amp;Table132[[#This Row],[PARAM_SUB]]))</f>
        <v>ev_pdpErrCntr_8</v>
      </c>
      <c r="N324" s="1" t="s">
        <v>262</v>
      </c>
      <c r="O324" s="1" t="s">
        <v>451</v>
      </c>
      <c r="P324" s="6" t="s">
        <v>249</v>
      </c>
      <c r="Q324" s="20" t="str">
        <f>DEC2HEX(HEX2DEC(Table132[[#This Row],[Index]])/4+Table132[[#This Row],[PARAM_SUB]],4)</f>
        <v>3148</v>
      </c>
      <c r="R324" s="6" t="s">
        <v>363</v>
      </c>
      <c r="S324" s="1" t="s">
        <v>311</v>
      </c>
      <c r="T324" s="16">
        <v>0</v>
      </c>
      <c r="U324" s="6" t="s">
        <v>363</v>
      </c>
      <c r="X324" s="11">
        <f>IF(Table132[[#This Row],[template]]="","",VLOOKUP(Table132[[#This Row],[IP_NAME]],Table511175[],2,FALSE))</f>
        <v>1</v>
      </c>
      <c r="Y324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>02000</v>
      </c>
      <c r="Z324" s="14">
        <f>IF(Table132[[#This Row],[template]]="","",HEX2DEC(Table132[[#This Row],[Addr_Hex]]))</f>
        <v>12616</v>
      </c>
    </row>
    <row r="325" spans="2:26" x14ac:dyDescent="0.3">
      <c r="B325" s="4" t="s">
        <v>465</v>
      </c>
      <c r="C325" s="4" t="s">
        <v>456</v>
      </c>
      <c r="D325" s="9" t="str">
        <f>UPPER(Table132[[#This Row],[SIGNAL]])</f>
        <v>EV_PDPERRCNTR_9</v>
      </c>
      <c r="E325" s="9" t="str">
        <f>IF(Table132[[#This Row],[template]]="","","0x"&amp;Table132[[#This Row],[IP_Index]]&amp;DEC2HEX(Table132[[#This Row],[Addr_Dec]]*4,7))</f>
        <v>0x1000C524</v>
      </c>
      <c r="F325" s="9" t="str">
        <f>IF(Table132[[#This Row],[template]]="","",VLOOKUP(Table132[[#This Row],[template]],Table29153[],2,FALSE))</f>
        <v>asynParamInt32</v>
      </c>
      <c r="G325" s="18" t="str">
        <f>IF(Table132[[#This Row],[template]]="","","1")</f>
        <v>1</v>
      </c>
      <c r="H325" s="10" t="s">
        <v>454</v>
      </c>
      <c r="I325" s="13" t="str">
        <f>IF(Table132[[#This Row],[template]]="","","0x"&amp;Table132[[#This Row],[D_Index]]&amp;"000")</f>
        <v>0x02000000</v>
      </c>
      <c r="J325" s="18" t="s">
        <v>341</v>
      </c>
      <c r="K325" s="10">
        <v>0</v>
      </c>
      <c r="L325" s="11"/>
      <c r="M325" s="9" t="str">
        <f>IF(Table132[[#This Row],[template]]="","",Table132[[#This Row],[IP_NAME]]&amp;"_"&amp;Table132[[#This Row],[PARAM_NAME]]&amp;IF(Table132[[#This Row],[PARAM_SUB]]="","","_"&amp;Table132[[#This Row],[PARAM_SUB]]))</f>
        <v>ev_pdpErrCntr_9</v>
      </c>
      <c r="N325" s="1" t="s">
        <v>262</v>
      </c>
      <c r="O325" s="1" t="s">
        <v>451</v>
      </c>
      <c r="P325" s="6" t="s">
        <v>250</v>
      </c>
      <c r="Q325" s="20" t="str">
        <f>DEC2HEX(HEX2DEC(Table132[[#This Row],[Index]])/4+Table132[[#This Row],[PARAM_SUB]],4)</f>
        <v>3149</v>
      </c>
      <c r="R325" s="6" t="s">
        <v>363</v>
      </c>
      <c r="S325" s="1" t="s">
        <v>311</v>
      </c>
      <c r="T325" s="16">
        <v>0</v>
      </c>
      <c r="U325" s="6" t="s">
        <v>363</v>
      </c>
      <c r="X325" s="11">
        <f>IF(Table132[[#This Row],[template]]="","",VLOOKUP(Table132[[#This Row],[IP_NAME]],Table511175[],2,FALSE))</f>
        <v>1</v>
      </c>
      <c r="Y325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>02000</v>
      </c>
      <c r="Z325" s="14">
        <f>IF(Table132[[#This Row],[template]]="","",HEX2DEC(Table132[[#This Row],[Addr_Hex]]))</f>
        <v>12617</v>
      </c>
    </row>
    <row r="326" spans="2:26" x14ac:dyDescent="0.3">
      <c r="B326" s="4" t="s">
        <v>465</v>
      </c>
      <c r="C326" s="4" t="s">
        <v>456</v>
      </c>
      <c r="D326" s="9" t="str">
        <f>UPPER(Table132[[#This Row],[SIGNAL]])</f>
        <v>EV_PDPERRCNTR_10</v>
      </c>
      <c r="E326" s="9" t="str">
        <f>IF(Table132[[#This Row],[template]]="","","0x"&amp;Table132[[#This Row],[IP_Index]]&amp;DEC2HEX(Table132[[#This Row],[Addr_Dec]]*4,7))</f>
        <v>0x1000C528</v>
      </c>
      <c r="F326" s="9" t="str">
        <f>IF(Table132[[#This Row],[template]]="","",VLOOKUP(Table132[[#This Row],[template]],Table29153[],2,FALSE))</f>
        <v>asynParamInt32</v>
      </c>
      <c r="G326" s="18" t="str">
        <f>IF(Table132[[#This Row],[template]]="","","1")</f>
        <v>1</v>
      </c>
      <c r="H326" s="10" t="s">
        <v>454</v>
      </c>
      <c r="I326" s="13" t="str">
        <f>IF(Table132[[#This Row],[template]]="","","0x"&amp;Table132[[#This Row],[D_Index]]&amp;"000")</f>
        <v>0x02000000</v>
      </c>
      <c r="J326" s="18" t="s">
        <v>341</v>
      </c>
      <c r="K326" s="10">
        <v>0</v>
      </c>
      <c r="L326" s="11"/>
      <c r="M326" s="9" t="str">
        <f>IF(Table132[[#This Row],[template]]="","",Table132[[#This Row],[IP_NAME]]&amp;"_"&amp;Table132[[#This Row],[PARAM_NAME]]&amp;IF(Table132[[#This Row],[PARAM_SUB]]="","","_"&amp;Table132[[#This Row],[PARAM_SUB]]))</f>
        <v>ev_pdpErrCntr_10</v>
      </c>
      <c r="N326" s="1" t="s">
        <v>262</v>
      </c>
      <c r="O326" s="1" t="s">
        <v>451</v>
      </c>
      <c r="P326" s="6" t="s">
        <v>273</v>
      </c>
      <c r="Q326" s="20" t="str">
        <f>DEC2HEX(HEX2DEC(Table132[[#This Row],[Index]])/4+Table132[[#This Row],[PARAM_SUB]],4)</f>
        <v>314A</v>
      </c>
      <c r="R326" s="6" t="s">
        <v>363</v>
      </c>
      <c r="S326" s="1" t="s">
        <v>311</v>
      </c>
      <c r="T326" s="16">
        <v>0</v>
      </c>
      <c r="U326" s="6" t="s">
        <v>363</v>
      </c>
      <c r="X326" s="11">
        <f>IF(Table132[[#This Row],[template]]="","",VLOOKUP(Table132[[#This Row],[IP_NAME]],Table511175[],2,FALSE))</f>
        <v>1</v>
      </c>
      <c r="Y326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>02000</v>
      </c>
      <c r="Z326" s="14">
        <f>IF(Table132[[#This Row],[template]]="","",HEX2DEC(Table132[[#This Row],[Addr_Hex]]))</f>
        <v>12618</v>
      </c>
    </row>
    <row r="327" spans="2:26" x14ac:dyDescent="0.3">
      <c r="B327" s="4" t="s">
        <v>465</v>
      </c>
      <c r="C327" s="4" t="s">
        <v>456</v>
      </c>
      <c r="D327" s="9" t="str">
        <f>UPPER(Table132[[#This Row],[SIGNAL]])</f>
        <v>EV_PDPERRCNTR_11</v>
      </c>
      <c r="E327" s="9" t="str">
        <f>IF(Table132[[#This Row],[template]]="","","0x"&amp;Table132[[#This Row],[IP_Index]]&amp;DEC2HEX(Table132[[#This Row],[Addr_Dec]]*4,7))</f>
        <v>0x1000C52C</v>
      </c>
      <c r="F327" s="9" t="str">
        <f>IF(Table132[[#This Row],[template]]="","",VLOOKUP(Table132[[#This Row],[template]],Table29153[],2,FALSE))</f>
        <v>asynParamInt32</v>
      </c>
      <c r="G327" s="18" t="str">
        <f>IF(Table132[[#This Row],[template]]="","","1")</f>
        <v>1</v>
      </c>
      <c r="H327" s="10" t="s">
        <v>454</v>
      </c>
      <c r="I327" s="13" t="str">
        <f>IF(Table132[[#This Row],[template]]="","","0x"&amp;Table132[[#This Row],[D_Index]]&amp;"000")</f>
        <v>0x02000000</v>
      </c>
      <c r="J327" s="18" t="s">
        <v>341</v>
      </c>
      <c r="K327" s="10">
        <v>0</v>
      </c>
      <c r="L327" s="11"/>
      <c r="M327" s="9" t="str">
        <f>IF(Table132[[#This Row],[template]]="","",Table132[[#This Row],[IP_NAME]]&amp;"_"&amp;Table132[[#This Row],[PARAM_NAME]]&amp;IF(Table132[[#This Row],[PARAM_SUB]]="","","_"&amp;Table132[[#This Row],[PARAM_SUB]]))</f>
        <v>ev_pdpErrCntr_11</v>
      </c>
      <c r="N327" s="1" t="s">
        <v>262</v>
      </c>
      <c r="O327" s="1" t="s">
        <v>451</v>
      </c>
      <c r="P327" s="6" t="s">
        <v>274</v>
      </c>
      <c r="Q327" s="20" t="str">
        <f>DEC2HEX(HEX2DEC(Table132[[#This Row],[Index]])/4+Table132[[#This Row],[PARAM_SUB]],4)</f>
        <v>314B</v>
      </c>
      <c r="R327" s="6" t="s">
        <v>363</v>
      </c>
      <c r="S327" s="1" t="s">
        <v>311</v>
      </c>
      <c r="T327" s="16">
        <v>0</v>
      </c>
      <c r="U327" s="6" t="s">
        <v>363</v>
      </c>
      <c r="X327" s="11">
        <f>IF(Table132[[#This Row],[template]]="","",VLOOKUP(Table132[[#This Row],[IP_NAME]],Table511175[],2,FALSE))</f>
        <v>1</v>
      </c>
      <c r="Y327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>02000</v>
      </c>
      <c r="Z327" s="14">
        <f>IF(Table132[[#This Row],[template]]="","",HEX2DEC(Table132[[#This Row],[Addr_Hex]]))</f>
        <v>12619</v>
      </c>
    </row>
    <row r="328" spans="2:26" x14ac:dyDescent="0.3">
      <c r="B328" s="4" t="s">
        <v>465</v>
      </c>
      <c r="C328" s="4" t="s">
        <v>456</v>
      </c>
      <c r="D328" s="9" t="str">
        <f>UPPER(Table132[[#This Row],[SIGNAL]])</f>
        <v>EV_PDPERRCNTR_12</v>
      </c>
      <c r="E328" s="9" t="str">
        <f>IF(Table132[[#This Row],[template]]="","","0x"&amp;Table132[[#This Row],[IP_Index]]&amp;DEC2HEX(Table132[[#This Row],[Addr_Dec]]*4,7))</f>
        <v>0x1000C530</v>
      </c>
      <c r="F328" s="9" t="str">
        <f>IF(Table132[[#This Row],[template]]="","",VLOOKUP(Table132[[#This Row],[template]],Table29153[],2,FALSE))</f>
        <v>asynParamInt32</v>
      </c>
      <c r="G328" s="18" t="str">
        <f>IF(Table132[[#This Row],[template]]="","","1")</f>
        <v>1</v>
      </c>
      <c r="H328" s="10" t="s">
        <v>454</v>
      </c>
      <c r="I328" s="13" t="str">
        <f>IF(Table132[[#This Row],[template]]="","","0x"&amp;Table132[[#This Row],[D_Index]]&amp;"000")</f>
        <v>0x02000000</v>
      </c>
      <c r="J328" s="18" t="s">
        <v>341</v>
      </c>
      <c r="K328" s="10">
        <v>0</v>
      </c>
      <c r="L328" s="11"/>
      <c r="M328" s="9" t="str">
        <f>IF(Table132[[#This Row],[template]]="","",Table132[[#This Row],[IP_NAME]]&amp;"_"&amp;Table132[[#This Row],[PARAM_NAME]]&amp;IF(Table132[[#This Row],[PARAM_SUB]]="","","_"&amp;Table132[[#This Row],[PARAM_SUB]]))</f>
        <v>ev_pdpErrCntr_12</v>
      </c>
      <c r="N328" s="1" t="s">
        <v>262</v>
      </c>
      <c r="O328" s="1" t="s">
        <v>451</v>
      </c>
      <c r="P328" s="6" t="s">
        <v>275</v>
      </c>
      <c r="Q328" s="20" t="str">
        <f>DEC2HEX(HEX2DEC(Table132[[#This Row],[Index]])/4+Table132[[#This Row],[PARAM_SUB]],4)</f>
        <v>314C</v>
      </c>
      <c r="R328" s="6" t="s">
        <v>363</v>
      </c>
      <c r="S328" s="1" t="s">
        <v>311</v>
      </c>
      <c r="T328" s="16">
        <v>0</v>
      </c>
      <c r="U328" s="6" t="s">
        <v>363</v>
      </c>
      <c r="X328" s="11">
        <f>IF(Table132[[#This Row],[template]]="","",VLOOKUP(Table132[[#This Row],[IP_NAME]],Table511175[],2,FALSE))</f>
        <v>1</v>
      </c>
      <c r="Y328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>02000</v>
      </c>
      <c r="Z328" s="14">
        <f>IF(Table132[[#This Row],[template]]="","",HEX2DEC(Table132[[#This Row],[Addr_Hex]]))</f>
        <v>12620</v>
      </c>
    </row>
    <row r="329" spans="2:26" x14ac:dyDescent="0.3">
      <c r="B329" s="4" t="s">
        <v>465</v>
      </c>
      <c r="C329" s="4" t="s">
        <v>456</v>
      </c>
      <c r="D329" s="9" t="str">
        <f>UPPER(Table132[[#This Row],[SIGNAL]])</f>
        <v>EV_PDPERRCNTR_13</v>
      </c>
      <c r="E329" s="9" t="str">
        <f>IF(Table132[[#This Row],[template]]="","","0x"&amp;Table132[[#This Row],[IP_Index]]&amp;DEC2HEX(Table132[[#This Row],[Addr_Dec]]*4,7))</f>
        <v>0x1000C534</v>
      </c>
      <c r="F329" s="9" t="str">
        <f>IF(Table132[[#This Row],[template]]="","",VLOOKUP(Table132[[#This Row],[template]],Table29153[],2,FALSE))</f>
        <v>asynParamInt32</v>
      </c>
      <c r="G329" s="18" t="str">
        <f>IF(Table132[[#This Row],[template]]="","","1")</f>
        <v>1</v>
      </c>
      <c r="H329" s="10" t="s">
        <v>454</v>
      </c>
      <c r="I329" s="13" t="str">
        <f>IF(Table132[[#This Row],[template]]="","","0x"&amp;Table132[[#This Row],[D_Index]]&amp;"000")</f>
        <v>0x02000000</v>
      </c>
      <c r="J329" s="18" t="s">
        <v>341</v>
      </c>
      <c r="K329" s="10">
        <v>0</v>
      </c>
      <c r="L329" s="11"/>
      <c r="M329" s="9" t="str">
        <f>IF(Table132[[#This Row],[template]]="","",Table132[[#This Row],[IP_NAME]]&amp;"_"&amp;Table132[[#This Row],[PARAM_NAME]]&amp;IF(Table132[[#This Row],[PARAM_SUB]]="","","_"&amp;Table132[[#This Row],[PARAM_SUB]]))</f>
        <v>ev_pdpErrCntr_13</v>
      </c>
      <c r="N329" s="1" t="s">
        <v>262</v>
      </c>
      <c r="O329" s="1" t="s">
        <v>451</v>
      </c>
      <c r="P329" s="6" t="s">
        <v>276</v>
      </c>
      <c r="Q329" s="20" t="str">
        <f>DEC2HEX(HEX2DEC(Table132[[#This Row],[Index]])/4+Table132[[#This Row],[PARAM_SUB]],4)</f>
        <v>314D</v>
      </c>
      <c r="R329" s="6" t="s">
        <v>363</v>
      </c>
      <c r="S329" s="1" t="s">
        <v>311</v>
      </c>
      <c r="T329" s="16">
        <v>0</v>
      </c>
      <c r="U329" s="6" t="s">
        <v>363</v>
      </c>
      <c r="X329" s="11">
        <f>IF(Table132[[#This Row],[template]]="","",VLOOKUP(Table132[[#This Row],[IP_NAME]],Table511175[],2,FALSE))</f>
        <v>1</v>
      </c>
      <c r="Y329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>02000</v>
      </c>
      <c r="Z329" s="14">
        <f>IF(Table132[[#This Row],[template]]="","",HEX2DEC(Table132[[#This Row],[Addr_Hex]]))</f>
        <v>12621</v>
      </c>
    </row>
    <row r="330" spans="2:26" x14ac:dyDescent="0.3">
      <c r="B330" s="4" t="s">
        <v>465</v>
      </c>
      <c r="C330" s="4" t="s">
        <v>456</v>
      </c>
      <c r="D330" s="9" t="str">
        <f>UPPER(Table132[[#This Row],[SIGNAL]])</f>
        <v>EV_PDPERRCNTR_14</v>
      </c>
      <c r="E330" s="9" t="str">
        <f>IF(Table132[[#This Row],[template]]="","","0x"&amp;Table132[[#This Row],[IP_Index]]&amp;DEC2HEX(Table132[[#This Row],[Addr_Dec]]*4,7))</f>
        <v>0x1000C538</v>
      </c>
      <c r="F330" s="9" t="str">
        <f>IF(Table132[[#This Row],[template]]="","",VLOOKUP(Table132[[#This Row],[template]],Table29153[],2,FALSE))</f>
        <v>asynParamInt32</v>
      </c>
      <c r="G330" s="18" t="str">
        <f>IF(Table132[[#This Row],[template]]="","","1")</f>
        <v>1</v>
      </c>
      <c r="H330" s="10" t="s">
        <v>454</v>
      </c>
      <c r="I330" s="13" t="str">
        <f>IF(Table132[[#This Row],[template]]="","","0x"&amp;Table132[[#This Row],[D_Index]]&amp;"000")</f>
        <v>0x02000000</v>
      </c>
      <c r="J330" s="18" t="s">
        <v>341</v>
      </c>
      <c r="K330" s="10">
        <v>0</v>
      </c>
      <c r="L330" s="11"/>
      <c r="M330" s="9" t="str">
        <f>IF(Table132[[#This Row],[template]]="","",Table132[[#This Row],[IP_NAME]]&amp;"_"&amp;Table132[[#This Row],[PARAM_NAME]]&amp;IF(Table132[[#This Row],[PARAM_SUB]]="","","_"&amp;Table132[[#This Row],[PARAM_SUB]]))</f>
        <v>ev_pdpErrCntr_14</v>
      </c>
      <c r="N330" s="1" t="s">
        <v>262</v>
      </c>
      <c r="O330" s="1" t="s">
        <v>451</v>
      </c>
      <c r="P330" s="6" t="s">
        <v>277</v>
      </c>
      <c r="Q330" s="20" t="str">
        <f>DEC2HEX(HEX2DEC(Table132[[#This Row],[Index]])/4+Table132[[#This Row],[PARAM_SUB]],4)</f>
        <v>314E</v>
      </c>
      <c r="R330" s="6" t="s">
        <v>363</v>
      </c>
      <c r="S330" s="1" t="s">
        <v>311</v>
      </c>
      <c r="T330" s="16">
        <v>0</v>
      </c>
      <c r="U330" s="6" t="s">
        <v>363</v>
      </c>
      <c r="X330" s="11">
        <f>IF(Table132[[#This Row],[template]]="","",VLOOKUP(Table132[[#This Row],[IP_NAME]],Table511175[],2,FALSE))</f>
        <v>1</v>
      </c>
      <c r="Y330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>02000</v>
      </c>
      <c r="Z330" s="14">
        <f>IF(Table132[[#This Row],[template]]="","",HEX2DEC(Table132[[#This Row],[Addr_Hex]]))</f>
        <v>12622</v>
      </c>
    </row>
    <row r="331" spans="2:26" x14ac:dyDescent="0.3">
      <c r="B331" s="4" t="s">
        <v>465</v>
      </c>
      <c r="C331" s="4" t="s">
        <v>456</v>
      </c>
      <c r="D331" s="9" t="str">
        <f>UPPER(Table132[[#This Row],[SIGNAL]])</f>
        <v>EV_PDPERRCNTR_15</v>
      </c>
      <c r="E331" s="9" t="str">
        <f>IF(Table132[[#This Row],[template]]="","","0x"&amp;Table132[[#This Row],[IP_Index]]&amp;DEC2HEX(Table132[[#This Row],[Addr_Dec]]*4,7))</f>
        <v>0x1000C53C</v>
      </c>
      <c r="F331" s="9" t="str">
        <f>IF(Table132[[#This Row],[template]]="","",VLOOKUP(Table132[[#This Row],[template]],Table29153[],2,FALSE))</f>
        <v>asynParamInt32</v>
      </c>
      <c r="G331" s="18" t="str">
        <f>IF(Table132[[#This Row],[template]]="","","1")</f>
        <v>1</v>
      </c>
      <c r="H331" s="10" t="s">
        <v>454</v>
      </c>
      <c r="I331" s="13" t="str">
        <f>IF(Table132[[#This Row],[template]]="","","0x"&amp;Table132[[#This Row],[D_Index]]&amp;"000")</f>
        <v>0x02000000</v>
      </c>
      <c r="J331" s="18" t="s">
        <v>341</v>
      </c>
      <c r="K331" s="10">
        <v>0</v>
      </c>
      <c r="L331" s="11"/>
      <c r="M331" s="9" t="str">
        <f>IF(Table132[[#This Row],[template]]="","",Table132[[#This Row],[IP_NAME]]&amp;"_"&amp;Table132[[#This Row],[PARAM_NAME]]&amp;IF(Table132[[#This Row],[PARAM_SUB]]="","","_"&amp;Table132[[#This Row],[PARAM_SUB]]))</f>
        <v>ev_pdpErrCntr_15</v>
      </c>
      <c r="N331" s="1" t="s">
        <v>262</v>
      </c>
      <c r="O331" s="1" t="s">
        <v>451</v>
      </c>
      <c r="P331" s="6" t="s">
        <v>278</v>
      </c>
      <c r="Q331" s="20" t="str">
        <f>DEC2HEX(HEX2DEC(Table132[[#This Row],[Index]])/4+Table132[[#This Row],[PARAM_SUB]],4)</f>
        <v>314F</v>
      </c>
      <c r="R331" s="6" t="s">
        <v>363</v>
      </c>
      <c r="S331" s="1" t="s">
        <v>311</v>
      </c>
      <c r="T331" s="16">
        <v>0</v>
      </c>
      <c r="U331" s="6" t="s">
        <v>363</v>
      </c>
      <c r="X331" s="11">
        <f>IF(Table132[[#This Row],[template]]="","",VLOOKUP(Table132[[#This Row],[IP_NAME]],Table511175[],2,FALSE))</f>
        <v>1</v>
      </c>
      <c r="Y331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>02000</v>
      </c>
      <c r="Z331" s="14">
        <f>IF(Table132[[#This Row],[template]]="","",HEX2DEC(Table132[[#This Row],[Addr_Hex]]))</f>
        <v>12623</v>
      </c>
    </row>
    <row r="332" spans="2:26" x14ac:dyDescent="0.3">
      <c r="B332" s="4" t="s">
        <v>465</v>
      </c>
      <c r="C332" s="4" t="s">
        <v>456</v>
      </c>
      <c r="D332" s="9" t="str">
        <f>UPPER(Table132[[#This Row],[SIGNAL]])</f>
        <v>EV_PDPERRCNTR_16</v>
      </c>
      <c r="E332" s="9" t="str">
        <f>IF(Table132[[#This Row],[template]]="","","0x"&amp;Table132[[#This Row],[IP_Index]]&amp;DEC2HEX(Table132[[#This Row],[Addr_Dec]]*4,7))</f>
        <v>0x1000C540</v>
      </c>
      <c r="F332" s="9" t="str">
        <f>IF(Table132[[#This Row],[template]]="","",VLOOKUP(Table132[[#This Row],[template]],Table29153[],2,FALSE))</f>
        <v>asynParamInt32</v>
      </c>
      <c r="G332" s="18" t="str">
        <f>IF(Table132[[#This Row],[template]]="","","1")</f>
        <v>1</v>
      </c>
      <c r="H332" s="10" t="s">
        <v>454</v>
      </c>
      <c r="I332" s="13" t="str">
        <f>IF(Table132[[#This Row],[template]]="","","0x"&amp;Table132[[#This Row],[D_Index]]&amp;"000")</f>
        <v>0x02000000</v>
      </c>
      <c r="J332" s="18" t="s">
        <v>341</v>
      </c>
      <c r="K332" s="10">
        <v>0</v>
      </c>
      <c r="L332" s="11"/>
      <c r="M332" s="9" t="str">
        <f>IF(Table132[[#This Row],[template]]="","",Table132[[#This Row],[IP_NAME]]&amp;"_"&amp;Table132[[#This Row],[PARAM_NAME]]&amp;IF(Table132[[#This Row],[PARAM_SUB]]="","","_"&amp;Table132[[#This Row],[PARAM_SUB]]))</f>
        <v>ev_pdpErrCntr_16</v>
      </c>
      <c r="N332" s="1" t="s">
        <v>262</v>
      </c>
      <c r="O332" s="1" t="s">
        <v>451</v>
      </c>
      <c r="P332" s="6" t="s">
        <v>279</v>
      </c>
      <c r="Q332" s="20" t="str">
        <f>DEC2HEX(HEX2DEC(Table132[[#This Row],[Index]])/4+Table132[[#This Row],[PARAM_SUB]],4)</f>
        <v>3150</v>
      </c>
      <c r="R332" s="6" t="s">
        <v>363</v>
      </c>
      <c r="S332" s="1" t="s">
        <v>311</v>
      </c>
      <c r="T332" s="16">
        <v>0</v>
      </c>
      <c r="U332" s="6" t="s">
        <v>363</v>
      </c>
      <c r="X332" s="11">
        <f>IF(Table132[[#This Row],[template]]="","",VLOOKUP(Table132[[#This Row],[IP_NAME]],Table511175[],2,FALSE))</f>
        <v>1</v>
      </c>
      <c r="Y332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>02000</v>
      </c>
      <c r="Z332" s="14">
        <f>IF(Table132[[#This Row],[template]]="","",HEX2DEC(Table132[[#This Row],[Addr_Hex]]))</f>
        <v>12624</v>
      </c>
    </row>
    <row r="333" spans="2:26" x14ac:dyDescent="0.3">
      <c r="B333" s="4" t="s">
        <v>465</v>
      </c>
      <c r="C333" s="4" t="s">
        <v>456</v>
      </c>
      <c r="D333" s="9" t="str">
        <f>UPPER(Table132[[#This Row],[SIGNAL]])</f>
        <v>EV_PDPERRCNTR_17</v>
      </c>
      <c r="E333" s="9" t="str">
        <f>IF(Table132[[#This Row],[template]]="","","0x"&amp;Table132[[#This Row],[IP_Index]]&amp;DEC2HEX(Table132[[#This Row],[Addr_Dec]]*4,7))</f>
        <v>0x1000C544</v>
      </c>
      <c r="F333" s="9" t="str">
        <f>IF(Table132[[#This Row],[template]]="","",VLOOKUP(Table132[[#This Row],[template]],Table29153[],2,FALSE))</f>
        <v>asynParamInt32</v>
      </c>
      <c r="G333" s="18" t="str">
        <f>IF(Table132[[#This Row],[template]]="","","1")</f>
        <v>1</v>
      </c>
      <c r="H333" s="10" t="s">
        <v>454</v>
      </c>
      <c r="I333" s="13" t="str">
        <f>IF(Table132[[#This Row],[template]]="","","0x"&amp;Table132[[#This Row],[D_Index]]&amp;"000")</f>
        <v>0x02000000</v>
      </c>
      <c r="J333" s="18" t="s">
        <v>341</v>
      </c>
      <c r="K333" s="10">
        <v>0</v>
      </c>
      <c r="L333" s="11"/>
      <c r="M333" s="9" t="str">
        <f>IF(Table132[[#This Row],[template]]="","",Table132[[#This Row],[IP_NAME]]&amp;"_"&amp;Table132[[#This Row],[PARAM_NAME]]&amp;IF(Table132[[#This Row],[PARAM_SUB]]="","","_"&amp;Table132[[#This Row],[PARAM_SUB]]))</f>
        <v>ev_pdpErrCntr_17</v>
      </c>
      <c r="N333" s="1" t="s">
        <v>262</v>
      </c>
      <c r="O333" s="1" t="s">
        <v>451</v>
      </c>
      <c r="P333" s="6" t="s">
        <v>280</v>
      </c>
      <c r="Q333" s="20" t="str">
        <f>DEC2HEX(HEX2DEC(Table132[[#This Row],[Index]])/4+Table132[[#This Row],[PARAM_SUB]],4)</f>
        <v>3151</v>
      </c>
      <c r="R333" s="6" t="s">
        <v>363</v>
      </c>
      <c r="S333" s="1" t="s">
        <v>311</v>
      </c>
      <c r="T333" s="16">
        <v>0</v>
      </c>
      <c r="U333" s="6" t="s">
        <v>363</v>
      </c>
      <c r="X333" s="11">
        <f>IF(Table132[[#This Row],[template]]="","",VLOOKUP(Table132[[#This Row],[IP_NAME]],Table511175[],2,FALSE))</f>
        <v>1</v>
      </c>
      <c r="Y333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>02000</v>
      </c>
      <c r="Z333" s="14">
        <f>IF(Table132[[#This Row],[template]]="","",HEX2DEC(Table132[[#This Row],[Addr_Hex]]))</f>
        <v>12625</v>
      </c>
    </row>
    <row r="334" spans="2:26" x14ac:dyDescent="0.3">
      <c r="B334" s="4" t="s">
        <v>465</v>
      </c>
      <c r="C334" s="4" t="s">
        <v>456</v>
      </c>
      <c r="D334" s="9" t="str">
        <f>UPPER(Table132[[#This Row],[SIGNAL]])</f>
        <v>EV_PDPERRCNTR_18</v>
      </c>
      <c r="E334" s="9" t="str">
        <f>IF(Table132[[#This Row],[template]]="","","0x"&amp;Table132[[#This Row],[IP_Index]]&amp;DEC2HEX(Table132[[#This Row],[Addr_Dec]]*4,7))</f>
        <v>0x1000C548</v>
      </c>
      <c r="F334" s="9" t="str">
        <f>IF(Table132[[#This Row],[template]]="","",VLOOKUP(Table132[[#This Row],[template]],Table29153[],2,FALSE))</f>
        <v>asynParamInt32</v>
      </c>
      <c r="G334" s="18" t="str">
        <f>IF(Table132[[#This Row],[template]]="","","1")</f>
        <v>1</v>
      </c>
      <c r="H334" s="10" t="s">
        <v>454</v>
      </c>
      <c r="I334" s="13" t="str">
        <f>IF(Table132[[#This Row],[template]]="","","0x"&amp;Table132[[#This Row],[D_Index]]&amp;"000")</f>
        <v>0x02000000</v>
      </c>
      <c r="J334" s="18" t="s">
        <v>341</v>
      </c>
      <c r="K334" s="10">
        <v>0</v>
      </c>
      <c r="L334" s="11"/>
      <c r="M334" s="9" t="str">
        <f>IF(Table132[[#This Row],[template]]="","",Table132[[#This Row],[IP_NAME]]&amp;"_"&amp;Table132[[#This Row],[PARAM_NAME]]&amp;IF(Table132[[#This Row],[PARAM_SUB]]="","","_"&amp;Table132[[#This Row],[PARAM_SUB]]))</f>
        <v>ev_pdpErrCntr_18</v>
      </c>
      <c r="N334" s="1" t="s">
        <v>262</v>
      </c>
      <c r="O334" s="1" t="s">
        <v>451</v>
      </c>
      <c r="P334" s="6" t="s">
        <v>281</v>
      </c>
      <c r="Q334" s="20" t="str">
        <f>DEC2HEX(HEX2DEC(Table132[[#This Row],[Index]])/4+Table132[[#This Row],[PARAM_SUB]],4)</f>
        <v>3152</v>
      </c>
      <c r="R334" s="6" t="s">
        <v>363</v>
      </c>
      <c r="S334" s="1" t="s">
        <v>311</v>
      </c>
      <c r="T334" s="16">
        <v>0</v>
      </c>
      <c r="U334" s="6" t="s">
        <v>363</v>
      </c>
      <c r="X334" s="11">
        <f>IF(Table132[[#This Row],[template]]="","",VLOOKUP(Table132[[#This Row],[IP_NAME]],Table511175[],2,FALSE))</f>
        <v>1</v>
      </c>
      <c r="Y334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>02000</v>
      </c>
      <c r="Z334" s="14">
        <f>IF(Table132[[#This Row],[template]]="","",HEX2DEC(Table132[[#This Row],[Addr_Hex]]))</f>
        <v>12626</v>
      </c>
    </row>
    <row r="335" spans="2:26" x14ac:dyDescent="0.3">
      <c r="B335" s="4" t="s">
        <v>465</v>
      </c>
      <c r="C335" s="4" t="s">
        <v>456</v>
      </c>
      <c r="D335" s="9" t="str">
        <f>UPPER(Table132[[#This Row],[SIGNAL]])</f>
        <v>EV_PDPERRCNTR_19</v>
      </c>
      <c r="E335" s="9" t="str">
        <f>IF(Table132[[#This Row],[template]]="","","0x"&amp;Table132[[#This Row],[IP_Index]]&amp;DEC2HEX(Table132[[#This Row],[Addr_Dec]]*4,7))</f>
        <v>0x1000C54C</v>
      </c>
      <c r="F335" s="9" t="str">
        <f>IF(Table132[[#This Row],[template]]="","",VLOOKUP(Table132[[#This Row],[template]],Table29153[],2,FALSE))</f>
        <v>asynParamInt32</v>
      </c>
      <c r="G335" s="18" t="str">
        <f>IF(Table132[[#This Row],[template]]="","","1")</f>
        <v>1</v>
      </c>
      <c r="H335" s="10" t="s">
        <v>454</v>
      </c>
      <c r="I335" s="13" t="str">
        <f>IF(Table132[[#This Row],[template]]="","","0x"&amp;Table132[[#This Row],[D_Index]]&amp;"000")</f>
        <v>0x02000000</v>
      </c>
      <c r="J335" s="18" t="s">
        <v>341</v>
      </c>
      <c r="K335" s="10">
        <v>0</v>
      </c>
      <c r="L335" s="11"/>
      <c r="M335" s="9" t="str">
        <f>IF(Table132[[#This Row],[template]]="","",Table132[[#This Row],[IP_NAME]]&amp;"_"&amp;Table132[[#This Row],[PARAM_NAME]]&amp;IF(Table132[[#This Row],[PARAM_SUB]]="","","_"&amp;Table132[[#This Row],[PARAM_SUB]]))</f>
        <v>ev_pdpErrCntr_19</v>
      </c>
      <c r="N335" s="1" t="s">
        <v>262</v>
      </c>
      <c r="O335" s="1" t="s">
        <v>451</v>
      </c>
      <c r="P335" s="6" t="s">
        <v>282</v>
      </c>
      <c r="Q335" s="20" t="str">
        <f>DEC2HEX(HEX2DEC(Table132[[#This Row],[Index]])/4+Table132[[#This Row],[PARAM_SUB]],4)</f>
        <v>3153</v>
      </c>
      <c r="R335" s="6" t="s">
        <v>363</v>
      </c>
      <c r="S335" s="1" t="s">
        <v>311</v>
      </c>
      <c r="T335" s="16">
        <v>0</v>
      </c>
      <c r="U335" s="6" t="s">
        <v>363</v>
      </c>
      <c r="X335" s="11">
        <f>IF(Table132[[#This Row],[template]]="","",VLOOKUP(Table132[[#This Row],[IP_NAME]],Table511175[],2,FALSE))</f>
        <v>1</v>
      </c>
      <c r="Y335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>02000</v>
      </c>
      <c r="Z335" s="14">
        <f>IF(Table132[[#This Row],[template]]="","",HEX2DEC(Table132[[#This Row],[Addr_Hex]]))</f>
        <v>12627</v>
      </c>
    </row>
    <row r="336" spans="2:26" x14ac:dyDescent="0.3">
      <c r="B336" s="4" t="s">
        <v>465</v>
      </c>
      <c r="C336" s="4" t="s">
        <v>456</v>
      </c>
      <c r="D336" s="9" t="str">
        <f>UPPER(Table132[[#This Row],[SIGNAL]])</f>
        <v>EV_PDPERRCNTR_20</v>
      </c>
      <c r="E336" s="9" t="str">
        <f>IF(Table132[[#This Row],[template]]="","","0x"&amp;Table132[[#This Row],[IP_Index]]&amp;DEC2HEX(Table132[[#This Row],[Addr_Dec]]*4,7))</f>
        <v>0x1000C550</v>
      </c>
      <c r="F336" s="9" t="str">
        <f>IF(Table132[[#This Row],[template]]="","",VLOOKUP(Table132[[#This Row],[template]],Table29153[],2,FALSE))</f>
        <v>asynParamInt32</v>
      </c>
      <c r="G336" s="18" t="str">
        <f>IF(Table132[[#This Row],[template]]="","","1")</f>
        <v>1</v>
      </c>
      <c r="H336" s="10" t="s">
        <v>454</v>
      </c>
      <c r="I336" s="13" t="str">
        <f>IF(Table132[[#This Row],[template]]="","","0x"&amp;Table132[[#This Row],[D_Index]]&amp;"000")</f>
        <v>0x02000000</v>
      </c>
      <c r="J336" s="18" t="s">
        <v>341</v>
      </c>
      <c r="K336" s="10">
        <v>0</v>
      </c>
      <c r="L336" s="11"/>
      <c r="M336" s="9" t="str">
        <f>IF(Table132[[#This Row],[template]]="","",Table132[[#This Row],[IP_NAME]]&amp;"_"&amp;Table132[[#This Row],[PARAM_NAME]]&amp;IF(Table132[[#This Row],[PARAM_SUB]]="","","_"&amp;Table132[[#This Row],[PARAM_SUB]]))</f>
        <v>ev_pdpErrCntr_20</v>
      </c>
      <c r="N336" s="1" t="s">
        <v>262</v>
      </c>
      <c r="O336" s="1" t="s">
        <v>451</v>
      </c>
      <c r="P336" s="6" t="s">
        <v>283</v>
      </c>
      <c r="Q336" s="20" t="str">
        <f>DEC2HEX(HEX2DEC(Table132[[#This Row],[Index]])/4+Table132[[#This Row],[PARAM_SUB]],4)</f>
        <v>3154</v>
      </c>
      <c r="R336" s="6" t="s">
        <v>363</v>
      </c>
      <c r="S336" s="1" t="s">
        <v>311</v>
      </c>
      <c r="T336" s="16">
        <v>0</v>
      </c>
      <c r="U336" s="6" t="s">
        <v>363</v>
      </c>
      <c r="X336" s="11">
        <f>IF(Table132[[#This Row],[template]]="","",VLOOKUP(Table132[[#This Row],[IP_NAME]],Table511175[],2,FALSE))</f>
        <v>1</v>
      </c>
      <c r="Y336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>02000</v>
      </c>
      <c r="Z336" s="14">
        <f>IF(Table132[[#This Row],[template]]="","",HEX2DEC(Table132[[#This Row],[Addr_Hex]]))</f>
        <v>12628</v>
      </c>
    </row>
    <row r="337" spans="2:26" x14ac:dyDescent="0.3">
      <c r="B337" s="4" t="s">
        <v>465</v>
      </c>
      <c r="C337" s="4" t="s">
        <v>456</v>
      </c>
      <c r="D337" s="9" t="str">
        <f>UPPER(Table132[[#This Row],[SIGNAL]])</f>
        <v>EV_PDPERRCNTR_21</v>
      </c>
      <c r="E337" s="9" t="str">
        <f>IF(Table132[[#This Row],[template]]="","","0x"&amp;Table132[[#This Row],[IP_Index]]&amp;DEC2HEX(Table132[[#This Row],[Addr_Dec]]*4,7))</f>
        <v>0x1000C554</v>
      </c>
      <c r="F337" s="9" t="str">
        <f>IF(Table132[[#This Row],[template]]="","",VLOOKUP(Table132[[#This Row],[template]],Table29153[],2,FALSE))</f>
        <v>asynParamInt32</v>
      </c>
      <c r="G337" s="18" t="str">
        <f>IF(Table132[[#This Row],[template]]="","","1")</f>
        <v>1</v>
      </c>
      <c r="H337" s="10" t="s">
        <v>454</v>
      </c>
      <c r="I337" s="13" t="str">
        <f>IF(Table132[[#This Row],[template]]="","","0x"&amp;Table132[[#This Row],[D_Index]]&amp;"000")</f>
        <v>0x02000000</v>
      </c>
      <c r="J337" s="18" t="s">
        <v>341</v>
      </c>
      <c r="K337" s="10">
        <v>0</v>
      </c>
      <c r="L337" s="11"/>
      <c r="M337" s="9" t="str">
        <f>IF(Table132[[#This Row],[template]]="","",Table132[[#This Row],[IP_NAME]]&amp;"_"&amp;Table132[[#This Row],[PARAM_NAME]]&amp;IF(Table132[[#This Row],[PARAM_SUB]]="","","_"&amp;Table132[[#This Row],[PARAM_SUB]]))</f>
        <v>ev_pdpErrCntr_21</v>
      </c>
      <c r="N337" s="1" t="s">
        <v>262</v>
      </c>
      <c r="O337" s="1" t="s">
        <v>451</v>
      </c>
      <c r="P337" s="6" t="s">
        <v>284</v>
      </c>
      <c r="Q337" s="20" t="str">
        <f>DEC2HEX(HEX2DEC(Table132[[#This Row],[Index]])/4+Table132[[#This Row],[PARAM_SUB]],4)</f>
        <v>3155</v>
      </c>
      <c r="R337" s="6" t="s">
        <v>363</v>
      </c>
      <c r="S337" s="1" t="s">
        <v>311</v>
      </c>
      <c r="T337" s="16">
        <v>0</v>
      </c>
      <c r="U337" s="6" t="s">
        <v>363</v>
      </c>
      <c r="X337" s="11">
        <f>IF(Table132[[#This Row],[template]]="","",VLOOKUP(Table132[[#This Row],[IP_NAME]],Table511175[],2,FALSE))</f>
        <v>1</v>
      </c>
      <c r="Y337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>02000</v>
      </c>
      <c r="Z337" s="14">
        <f>IF(Table132[[#This Row],[template]]="","",HEX2DEC(Table132[[#This Row],[Addr_Hex]]))</f>
        <v>12629</v>
      </c>
    </row>
    <row r="338" spans="2:26" x14ac:dyDescent="0.3">
      <c r="B338" s="4" t="s">
        <v>465</v>
      </c>
      <c r="C338" s="4" t="s">
        <v>456</v>
      </c>
      <c r="D338" s="9" t="str">
        <f>UPPER(Table132[[#This Row],[SIGNAL]])</f>
        <v>EV_PDPERRCNTR_22</v>
      </c>
      <c r="E338" s="9" t="str">
        <f>IF(Table132[[#This Row],[template]]="","","0x"&amp;Table132[[#This Row],[IP_Index]]&amp;DEC2HEX(Table132[[#This Row],[Addr_Dec]]*4,7))</f>
        <v>0x1000C558</v>
      </c>
      <c r="F338" s="9" t="str">
        <f>IF(Table132[[#This Row],[template]]="","",VLOOKUP(Table132[[#This Row],[template]],Table29153[],2,FALSE))</f>
        <v>asynParamInt32</v>
      </c>
      <c r="G338" s="18" t="str">
        <f>IF(Table132[[#This Row],[template]]="","","1")</f>
        <v>1</v>
      </c>
      <c r="H338" s="10" t="s">
        <v>454</v>
      </c>
      <c r="I338" s="13" t="str">
        <f>IF(Table132[[#This Row],[template]]="","","0x"&amp;Table132[[#This Row],[D_Index]]&amp;"000")</f>
        <v>0x02000000</v>
      </c>
      <c r="J338" s="18" t="s">
        <v>341</v>
      </c>
      <c r="K338" s="10">
        <v>0</v>
      </c>
      <c r="L338" s="11"/>
      <c r="M338" s="9" t="str">
        <f>IF(Table132[[#This Row],[template]]="","",Table132[[#This Row],[IP_NAME]]&amp;"_"&amp;Table132[[#This Row],[PARAM_NAME]]&amp;IF(Table132[[#This Row],[PARAM_SUB]]="","","_"&amp;Table132[[#This Row],[PARAM_SUB]]))</f>
        <v>ev_pdpErrCntr_22</v>
      </c>
      <c r="N338" s="1" t="s">
        <v>262</v>
      </c>
      <c r="O338" s="1" t="s">
        <v>451</v>
      </c>
      <c r="P338" s="6" t="s">
        <v>285</v>
      </c>
      <c r="Q338" s="20" t="str">
        <f>DEC2HEX(HEX2DEC(Table132[[#This Row],[Index]])/4+Table132[[#This Row],[PARAM_SUB]],4)</f>
        <v>3156</v>
      </c>
      <c r="R338" s="6" t="s">
        <v>363</v>
      </c>
      <c r="S338" s="1" t="s">
        <v>311</v>
      </c>
      <c r="T338" s="16">
        <v>0</v>
      </c>
      <c r="U338" s="6" t="s">
        <v>363</v>
      </c>
      <c r="X338" s="11">
        <f>IF(Table132[[#This Row],[template]]="","",VLOOKUP(Table132[[#This Row],[IP_NAME]],Table511175[],2,FALSE))</f>
        <v>1</v>
      </c>
      <c r="Y338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>02000</v>
      </c>
      <c r="Z338" s="14">
        <f>IF(Table132[[#This Row],[template]]="","",HEX2DEC(Table132[[#This Row],[Addr_Hex]]))</f>
        <v>12630</v>
      </c>
    </row>
    <row r="339" spans="2:26" x14ac:dyDescent="0.3">
      <c r="B339" s="4" t="s">
        <v>465</v>
      </c>
      <c r="C339" s="4" t="s">
        <v>456</v>
      </c>
      <c r="D339" s="9" t="str">
        <f>UPPER(Table132[[#This Row],[SIGNAL]])</f>
        <v>EV_PDPERRCNTR_23</v>
      </c>
      <c r="E339" s="9" t="str">
        <f>IF(Table132[[#This Row],[template]]="","","0x"&amp;Table132[[#This Row],[IP_Index]]&amp;DEC2HEX(Table132[[#This Row],[Addr_Dec]]*4,7))</f>
        <v>0x1000C55C</v>
      </c>
      <c r="F339" s="9" t="str">
        <f>IF(Table132[[#This Row],[template]]="","",VLOOKUP(Table132[[#This Row],[template]],Table29153[],2,FALSE))</f>
        <v>asynParamInt32</v>
      </c>
      <c r="G339" s="18" t="str">
        <f>IF(Table132[[#This Row],[template]]="","","1")</f>
        <v>1</v>
      </c>
      <c r="H339" s="10" t="s">
        <v>454</v>
      </c>
      <c r="I339" s="13" t="str">
        <f>IF(Table132[[#This Row],[template]]="","","0x"&amp;Table132[[#This Row],[D_Index]]&amp;"000")</f>
        <v>0x02000000</v>
      </c>
      <c r="J339" s="18" t="s">
        <v>341</v>
      </c>
      <c r="K339" s="10">
        <v>0</v>
      </c>
      <c r="L339" s="11"/>
      <c r="M339" s="9" t="str">
        <f>IF(Table132[[#This Row],[template]]="","",Table132[[#This Row],[IP_NAME]]&amp;"_"&amp;Table132[[#This Row],[PARAM_NAME]]&amp;IF(Table132[[#This Row],[PARAM_SUB]]="","","_"&amp;Table132[[#This Row],[PARAM_SUB]]))</f>
        <v>ev_pdpErrCntr_23</v>
      </c>
      <c r="N339" s="1" t="s">
        <v>262</v>
      </c>
      <c r="O339" s="1" t="s">
        <v>451</v>
      </c>
      <c r="P339" s="6" t="s">
        <v>286</v>
      </c>
      <c r="Q339" s="20" t="str">
        <f>DEC2HEX(HEX2DEC(Table132[[#This Row],[Index]])/4+Table132[[#This Row],[PARAM_SUB]],4)</f>
        <v>3157</v>
      </c>
      <c r="R339" s="6" t="s">
        <v>363</v>
      </c>
      <c r="S339" s="1" t="s">
        <v>311</v>
      </c>
      <c r="T339" s="16">
        <v>0</v>
      </c>
      <c r="U339" s="6" t="s">
        <v>363</v>
      </c>
      <c r="X339" s="11">
        <f>IF(Table132[[#This Row],[template]]="","",VLOOKUP(Table132[[#This Row],[IP_NAME]],Table511175[],2,FALSE))</f>
        <v>1</v>
      </c>
      <c r="Y339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>02000</v>
      </c>
      <c r="Z339" s="14">
        <f>IF(Table132[[#This Row],[template]]="","",HEX2DEC(Table132[[#This Row],[Addr_Hex]]))</f>
        <v>12631</v>
      </c>
    </row>
    <row r="340" spans="2:26" x14ac:dyDescent="0.3">
      <c r="B340" s="4" t="s">
        <v>465</v>
      </c>
      <c r="C340" s="4" t="s">
        <v>456</v>
      </c>
      <c r="D340" s="9" t="str">
        <f>UPPER(Table132[[#This Row],[SIGNAL]])</f>
        <v>EV_PDPERRCNTR_24</v>
      </c>
      <c r="E340" s="9" t="str">
        <f>IF(Table132[[#This Row],[template]]="","","0x"&amp;Table132[[#This Row],[IP_Index]]&amp;DEC2HEX(Table132[[#This Row],[Addr_Dec]]*4,7))</f>
        <v>0x1000C560</v>
      </c>
      <c r="F340" s="9" t="str">
        <f>IF(Table132[[#This Row],[template]]="","",VLOOKUP(Table132[[#This Row],[template]],Table29153[],2,FALSE))</f>
        <v>asynParamInt32</v>
      </c>
      <c r="G340" s="18" t="str">
        <f>IF(Table132[[#This Row],[template]]="","","1")</f>
        <v>1</v>
      </c>
      <c r="H340" s="10" t="s">
        <v>454</v>
      </c>
      <c r="I340" s="13" t="str">
        <f>IF(Table132[[#This Row],[template]]="","","0x"&amp;Table132[[#This Row],[D_Index]]&amp;"000")</f>
        <v>0x02000000</v>
      </c>
      <c r="J340" s="18" t="s">
        <v>341</v>
      </c>
      <c r="K340" s="10">
        <v>0</v>
      </c>
      <c r="L340" s="11"/>
      <c r="M340" s="9" t="str">
        <f>IF(Table132[[#This Row],[template]]="","",Table132[[#This Row],[IP_NAME]]&amp;"_"&amp;Table132[[#This Row],[PARAM_NAME]]&amp;IF(Table132[[#This Row],[PARAM_SUB]]="","","_"&amp;Table132[[#This Row],[PARAM_SUB]]))</f>
        <v>ev_pdpErrCntr_24</v>
      </c>
      <c r="N340" s="1" t="s">
        <v>262</v>
      </c>
      <c r="O340" s="1" t="s">
        <v>451</v>
      </c>
      <c r="P340" s="6" t="s">
        <v>287</v>
      </c>
      <c r="Q340" s="20" t="str">
        <f>DEC2HEX(HEX2DEC(Table132[[#This Row],[Index]])/4+Table132[[#This Row],[PARAM_SUB]],4)</f>
        <v>3158</v>
      </c>
      <c r="R340" s="6" t="s">
        <v>363</v>
      </c>
      <c r="S340" s="1" t="s">
        <v>311</v>
      </c>
      <c r="T340" s="16">
        <v>0</v>
      </c>
      <c r="U340" s="6" t="s">
        <v>363</v>
      </c>
      <c r="X340" s="11">
        <f>IF(Table132[[#This Row],[template]]="","",VLOOKUP(Table132[[#This Row],[IP_NAME]],Table511175[],2,FALSE))</f>
        <v>1</v>
      </c>
      <c r="Y340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>02000</v>
      </c>
      <c r="Z340" s="14">
        <f>IF(Table132[[#This Row],[template]]="","",HEX2DEC(Table132[[#This Row],[Addr_Hex]]))</f>
        <v>12632</v>
      </c>
    </row>
    <row r="341" spans="2:26" x14ac:dyDescent="0.3">
      <c r="B341" s="4" t="s">
        <v>465</v>
      </c>
      <c r="C341" s="4" t="s">
        <v>456</v>
      </c>
      <c r="D341" s="9" t="str">
        <f>UPPER(Table132[[#This Row],[SIGNAL]])</f>
        <v>EV_PDPERRCNTR_25</v>
      </c>
      <c r="E341" s="9" t="str">
        <f>IF(Table132[[#This Row],[template]]="","","0x"&amp;Table132[[#This Row],[IP_Index]]&amp;DEC2HEX(Table132[[#This Row],[Addr_Dec]]*4,7))</f>
        <v>0x1000C564</v>
      </c>
      <c r="F341" s="9" t="str">
        <f>IF(Table132[[#This Row],[template]]="","",VLOOKUP(Table132[[#This Row],[template]],Table29153[],2,FALSE))</f>
        <v>asynParamInt32</v>
      </c>
      <c r="G341" s="18" t="str">
        <f>IF(Table132[[#This Row],[template]]="","","1")</f>
        <v>1</v>
      </c>
      <c r="H341" s="10" t="s">
        <v>454</v>
      </c>
      <c r="I341" s="13" t="str">
        <f>IF(Table132[[#This Row],[template]]="","","0x"&amp;Table132[[#This Row],[D_Index]]&amp;"000")</f>
        <v>0x02000000</v>
      </c>
      <c r="J341" s="18" t="s">
        <v>341</v>
      </c>
      <c r="K341" s="10">
        <v>0</v>
      </c>
      <c r="L341" s="11"/>
      <c r="M341" s="9" t="str">
        <f>IF(Table132[[#This Row],[template]]="","",Table132[[#This Row],[IP_NAME]]&amp;"_"&amp;Table132[[#This Row],[PARAM_NAME]]&amp;IF(Table132[[#This Row],[PARAM_SUB]]="","","_"&amp;Table132[[#This Row],[PARAM_SUB]]))</f>
        <v>ev_pdpErrCntr_25</v>
      </c>
      <c r="N341" s="1" t="s">
        <v>262</v>
      </c>
      <c r="O341" s="1" t="s">
        <v>451</v>
      </c>
      <c r="P341" s="6" t="s">
        <v>288</v>
      </c>
      <c r="Q341" s="20" t="str">
        <f>DEC2HEX(HEX2DEC(Table132[[#This Row],[Index]])/4+Table132[[#This Row],[PARAM_SUB]],4)</f>
        <v>3159</v>
      </c>
      <c r="R341" s="6" t="s">
        <v>363</v>
      </c>
      <c r="S341" s="1" t="s">
        <v>311</v>
      </c>
      <c r="T341" s="16">
        <v>0</v>
      </c>
      <c r="U341" s="6" t="s">
        <v>363</v>
      </c>
      <c r="X341" s="11">
        <f>IF(Table132[[#This Row],[template]]="","",VLOOKUP(Table132[[#This Row],[IP_NAME]],Table511175[],2,FALSE))</f>
        <v>1</v>
      </c>
      <c r="Y341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>02000</v>
      </c>
      <c r="Z341" s="14">
        <f>IF(Table132[[#This Row],[template]]="","",HEX2DEC(Table132[[#This Row],[Addr_Hex]]))</f>
        <v>12633</v>
      </c>
    </row>
    <row r="342" spans="2:26" x14ac:dyDescent="0.3">
      <c r="B342" s="4" t="s">
        <v>465</v>
      </c>
      <c r="C342" s="4" t="s">
        <v>456</v>
      </c>
      <c r="D342" s="9" t="str">
        <f>UPPER(Table132[[#This Row],[SIGNAL]])</f>
        <v>EV_PDPERRCNTR_26</v>
      </c>
      <c r="E342" s="9" t="str">
        <f>IF(Table132[[#This Row],[template]]="","","0x"&amp;Table132[[#This Row],[IP_Index]]&amp;DEC2HEX(Table132[[#This Row],[Addr_Dec]]*4,7))</f>
        <v>0x1000C568</v>
      </c>
      <c r="F342" s="9" t="str">
        <f>IF(Table132[[#This Row],[template]]="","",VLOOKUP(Table132[[#This Row],[template]],Table29153[],2,FALSE))</f>
        <v>asynParamInt32</v>
      </c>
      <c r="G342" s="18" t="str">
        <f>IF(Table132[[#This Row],[template]]="","","1")</f>
        <v>1</v>
      </c>
      <c r="H342" s="10" t="s">
        <v>454</v>
      </c>
      <c r="I342" s="13" t="str">
        <f>IF(Table132[[#This Row],[template]]="","","0x"&amp;Table132[[#This Row],[D_Index]]&amp;"000")</f>
        <v>0x02000000</v>
      </c>
      <c r="J342" s="18" t="s">
        <v>341</v>
      </c>
      <c r="K342" s="10">
        <v>0</v>
      </c>
      <c r="L342" s="11"/>
      <c r="M342" s="9" t="str">
        <f>IF(Table132[[#This Row],[template]]="","",Table132[[#This Row],[IP_NAME]]&amp;"_"&amp;Table132[[#This Row],[PARAM_NAME]]&amp;IF(Table132[[#This Row],[PARAM_SUB]]="","","_"&amp;Table132[[#This Row],[PARAM_SUB]]))</f>
        <v>ev_pdpErrCntr_26</v>
      </c>
      <c r="N342" s="1" t="s">
        <v>262</v>
      </c>
      <c r="O342" s="1" t="s">
        <v>451</v>
      </c>
      <c r="P342" s="6" t="s">
        <v>289</v>
      </c>
      <c r="Q342" s="20" t="str">
        <f>DEC2HEX(HEX2DEC(Table132[[#This Row],[Index]])/4+Table132[[#This Row],[PARAM_SUB]],4)</f>
        <v>315A</v>
      </c>
      <c r="R342" s="6" t="s">
        <v>363</v>
      </c>
      <c r="S342" s="1" t="s">
        <v>311</v>
      </c>
      <c r="T342" s="16">
        <v>0</v>
      </c>
      <c r="U342" s="6" t="s">
        <v>363</v>
      </c>
      <c r="X342" s="11">
        <f>IF(Table132[[#This Row],[template]]="","",VLOOKUP(Table132[[#This Row],[IP_NAME]],Table511175[],2,FALSE))</f>
        <v>1</v>
      </c>
      <c r="Y342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>02000</v>
      </c>
      <c r="Z342" s="14">
        <f>IF(Table132[[#This Row],[template]]="","",HEX2DEC(Table132[[#This Row],[Addr_Hex]]))</f>
        <v>12634</v>
      </c>
    </row>
    <row r="343" spans="2:26" x14ac:dyDescent="0.3">
      <c r="B343" s="4" t="s">
        <v>465</v>
      </c>
      <c r="C343" s="4" t="s">
        <v>456</v>
      </c>
      <c r="D343" s="9" t="str">
        <f>UPPER(Table132[[#This Row],[SIGNAL]])</f>
        <v>EV_PDPERRCNTR_27</v>
      </c>
      <c r="E343" s="9" t="str">
        <f>IF(Table132[[#This Row],[template]]="","","0x"&amp;Table132[[#This Row],[IP_Index]]&amp;DEC2HEX(Table132[[#This Row],[Addr_Dec]]*4,7))</f>
        <v>0x1000C56C</v>
      </c>
      <c r="F343" s="9" t="str">
        <f>IF(Table132[[#This Row],[template]]="","",VLOOKUP(Table132[[#This Row],[template]],Table29153[],2,FALSE))</f>
        <v>asynParamInt32</v>
      </c>
      <c r="G343" s="18" t="str">
        <f>IF(Table132[[#This Row],[template]]="","","1")</f>
        <v>1</v>
      </c>
      <c r="H343" s="10" t="s">
        <v>454</v>
      </c>
      <c r="I343" s="13" t="str">
        <f>IF(Table132[[#This Row],[template]]="","","0x"&amp;Table132[[#This Row],[D_Index]]&amp;"000")</f>
        <v>0x02000000</v>
      </c>
      <c r="J343" s="18" t="s">
        <v>341</v>
      </c>
      <c r="K343" s="10">
        <v>0</v>
      </c>
      <c r="L343" s="11"/>
      <c r="M343" s="9" t="str">
        <f>IF(Table132[[#This Row],[template]]="","",Table132[[#This Row],[IP_NAME]]&amp;"_"&amp;Table132[[#This Row],[PARAM_NAME]]&amp;IF(Table132[[#This Row],[PARAM_SUB]]="","","_"&amp;Table132[[#This Row],[PARAM_SUB]]))</f>
        <v>ev_pdpErrCntr_27</v>
      </c>
      <c r="N343" s="1" t="s">
        <v>262</v>
      </c>
      <c r="O343" s="1" t="s">
        <v>451</v>
      </c>
      <c r="P343" s="6" t="s">
        <v>290</v>
      </c>
      <c r="Q343" s="20" t="str">
        <f>DEC2HEX(HEX2DEC(Table132[[#This Row],[Index]])/4+Table132[[#This Row],[PARAM_SUB]],4)</f>
        <v>315B</v>
      </c>
      <c r="R343" s="6" t="s">
        <v>363</v>
      </c>
      <c r="S343" s="1" t="s">
        <v>311</v>
      </c>
      <c r="T343" s="16">
        <v>0</v>
      </c>
      <c r="U343" s="6" t="s">
        <v>363</v>
      </c>
      <c r="X343" s="11">
        <f>IF(Table132[[#This Row],[template]]="","",VLOOKUP(Table132[[#This Row],[IP_NAME]],Table511175[],2,FALSE))</f>
        <v>1</v>
      </c>
      <c r="Y343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>02000</v>
      </c>
      <c r="Z343" s="14">
        <f>IF(Table132[[#This Row],[template]]="","",HEX2DEC(Table132[[#This Row],[Addr_Hex]]))</f>
        <v>12635</v>
      </c>
    </row>
    <row r="344" spans="2:26" x14ac:dyDescent="0.3">
      <c r="B344" s="4" t="s">
        <v>465</v>
      </c>
      <c r="C344" s="4" t="s">
        <v>456</v>
      </c>
      <c r="D344" s="9" t="str">
        <f>UPPER(Table132[[#This Row],[SIGNAL]])</f>
        <v>EV_PDPERRCNTR_28</v>
      </c>
      <c r="E344" s="9" t="str">
        <f>IF(Table132[[#This Row],[template]]="","","0x"&amp;Table132[[#This Row],[IP_Index]]&amp;DEC2HEX(Table132[[#This Row],[Addr_Dec]]*4,7))</f>
        <v>0x1000C570</v>
      </c>
      <c r="F344" s="9" t="str">
        <f>IF(Table132[[#This Row],[template]]="","",VLOOKUP(Table132[[#This Row],[template]],Table29153[],2,FALSE))</f>
        <v>asynParamInt32</v>
      </c>
      <c r="G344" s="18" t="str">
        <f>IF(Table132[[#This Row],[template]]="","","1")</f>
        <v>1</v>
      </c>
      <c r="H344" s="10" t="s">
        <v>454</v>
      </c>
      <c r="I344" s="13" t="str">
        <f>IF(Table132[[#This Row],[template]]="","","0x"&amp;Table132[[#This Row],[D_Index]]&amp;"000")</f>
        <v>0x02000000</v>
      </c>
      <c r="J344" s="18" t="s">
        <v>341</v>
      </c>
      <c r="K344" s="10">
        <v>0</v>
      </c>
      <c r="L344" s="11"/>
      <c r="M344" s="9" t="str">
        <f>IF(Table132[[#This Row],[template]]="","",Table132[[#This Row],[IP_NAME]]&amp;"_"&amp;Table132[[#This Row],[PARAM_NAME]]&amp;IF(Table132[[#This Row],[PARAM_SUB]]="","","_"&amp;Table132[[#This Row],[PARAM_SUB]]))</f>
        <v>ev_pdpErrCntr_28</v>
      </c>
      <c r="N344" s="1" t="s">
        <v>262</v>
      </c>
      <c r="O344" s="1" t="s">
        <v>451</v>
      </c>
      <c r="P344" s="6" t="s">
        <v>291</v>
      </c>
      <c r="Q344" s="20" t="str">
        <f>DEC2HEX(HEX2DEC(Table132[[#This Row],[Index]])/4+Table132[[#This Row],[PARAM_SUB]],4)</f>
        <v>315C</v>
      </c>
      <c r="R344" s="6" t="s">
        <v>363</v>
      </c>
      <c r="S344" s="1" t="s">
        <v>311</v>
      </c>
      <c r="T344" s="16">
        <v>0</v>
      </c>
      <c r="U344" s="6" t="s">
        <v>363</v>
      </c>
      <c r="X344" s="11">
        <f>IF(Table132[[#This Row],[template]]="","",VLOOKUP(Table132[[#This Row],[IP_NAME]],Table511175[],2,FALSE))</f>
        <v>1</v>
      </c>
      <c r="Y344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>02000</v>
      </c>
      <c r="Z344" s="14">
        <f>IF(Table132[[#This Row],[template]]="","",HEX2DEC(Table132[[#This Row],[Addr_Hex]]))</f>
        <v>12636</v>
      </c>
    </row>
    <row r="345" spans="2:26" x14ac:dyDescent="0.3">
      <c r="B345" s="4" t="s">
        <v>465</v>
      </c>
      <c r="C345" s="4" t="s">
        <v>456</v>
      </c>
      <c r="D345" s="9" t="str">
        <f>UPPER(Table132[[#This Row],[SIGNAL]])</f>
        <v>EV_PDPERRCNTR_29</v>
      </c>
      <c r="E345" s="9" t="str">
        <f>IF(Table132[[#This Row],[template]]="","","0x"&amp;Table132[[#This Row],[IP_Index]]&amp;DEC2HEX(Table132[[#This Row],[Addr_Dec]]*4,7))</f>
        <v>0x1000C574</v>
      </c>
      <c r="F345" s="9" t="str">
        <f>IF(Table132[[#This Row],[template]]="","",VLOOKUP(Table132[[#This Row],[template]],Table29153[],2,FALSE))</f>
        <v>asynParamInt32</v>
      </c>
      <c r="G345" s="18" t="str">
        <f>IF(Table132[[#This Row],[template]]="","","1")</f>
        <v>1</v>
      </c>
      <c r="H345" s="10" t="s">
        <v>454</v>
      </c>
      <c r="I345" s="13" t="str">
        <f>IF(Table132[[#This Row],[template]]="","","0x"&amp;Table132[[#This Row],[D_Index]]&amp;"000")</f>
        <v>0x02000000</v>
      </c>
      <c r="J345" s="18" t="s">
        <v>341</v>
      </c>
      <c r="K345" s="10">
        <v>0</v>
      </c>
      <c r="L345" s="11"/>
      <c r="M345" s="9" t="str">
        <f>IF(Table132[[#This Row],[template]]="","",Table132[[#This Row],[IP_NAME]]&amp;"_"&amp;Table132[[#This Row],[PARAM_NAME]]&amp;IF(Table132[[#This Row],[PARAM_SUB]]="","","_"&amp;Table132[[#This Row],[PARAM_SUB]]))</f>
        <v>ev_pdpErrCntr_29</v>
      </c>
      <c r="N345" s="1" t="s">
        <v>262</v>
      </c>
      <c r="O345" s="1" t="s">
        <v>451</v>
      </c>
      <c r="P345" s="6" t="s">
        <v>292</v>
      </c>
      <c r="Q345" s="20" t="str">
        <f>DEC2HEX(HEX2DEC(Table132[[#This Row],[Index]])/4+Table132[[#This Row],[PARAM_SUB]],4)</f>
        <v>315D</v>
      </c>
      <c r="R345" s="6" t="s">
        <v>363</v>
      </c>
      <c r="S345" s="1" t="s">
        <v>311</v>
      </c>
      <c r="T345" s="16">
        <v>0</v>
      </c>
      <c r="U345" s="6" t="s">
        <v>363</v>
      </c>
      <c r="X345" s="11">
        <f>IF(Table132[[#This Row],[template]]="","",VLOOKUP(Table132[[#This Row],[IP_NAME]],Table511175[],2,FALSE))</f>
        <v>1</v>
      </c>
      <c r="Y345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>02000</v>
      </c>
      <c r="Z345" s="14">
        <f>IF(Table132[[#This Row],[template]]="","",HEX2DEC(Table132[[#This Row],[Addr_Hex]]))</f>
        <v>12637</v>
      </c>
    </row>
    <row r="346" spans="2:26" x14ac:dyDescent="0.3">
      <c r="B346" s="4" t="s">
        <v>465</v>
      </c>
      <c r="C346" s="4" t="s">
        <v>456</v>
      </c>
      <c r="D346" s="9" t="str">
        <f>UPPER(Table132[[#This Row],[SIGNAL]])</f>
        <v>EV_PDPERRCNTR_30</v>
      </c>
      <c r="E346" s="9" t="str">
        <f>IF(Table132[[#This Row],[template]]="","","0x"&amp;Table132[[#This Row],[IP_Index]]&amp;DEC2HEX(Table132[[#This Row],[Addr_Dec]]*4,7))</f>
        <v>0x1000C578</v>
      </c>
      <c r="F346" s="9" t="str">
        <f>IF(Table132[[#This Row],[template]]="","",VLOOKUP(Table132[[#This Row],[template]],Table29153[],2,FALSE))</f>
        <v>asynParamInt32</v>
      </c>
      <c r="G346" s="18" t="str">
        <f>IF(Table132[[#This Row],[template]]="","","1")</f>
        <v>1</v>
      </c>
      <c r="H346" s="10" t="s">
        <v>454</v>
      </c>
      <c r="I346" s="13" t="str">
        <f>IF(Table132[[#This Row],[template]]="","","0x"&amp;Table132[[#This Row],[D_Index]]&amp;"000")</f>
        <v>0x02000000</v>
      </c>
      <c r="J346" s="18" t="s">
        <v>341</v>
      </c>
      <c r="K346" s="10">
        <v>0</v>
      </c>
      <c r="L346" s="11"/>
      <c r="M346" s="9" t="str">
        <f>IF(Table132[[#This Row],[template]]="","",Table132[[#This Row],[IP_NAME]]&amp;"_"&amp;Table132[[#This Row],[PARAM_NAME]]&amp;IF(Table132[[#This Row],[PARAM_SUB]]="","","_"&amp;Table132[[#This Row],[PARAM_SUB]]))</f>
        <v>ev_pdpErrCntr_30</v>
      </c>
      <c r="N346" s="1" t="s">
        <v>262</v>
      </c>
      <c r="O346" s="1" t="s">
        <v>451</v>
      </c>
      <c r="P346" s="6" t="s">
        <v>293</v>
      </c>
      <c r="Q346" s="20" t="str">
        <f>DEC2HEX(HEX2DEC(Table132[[#This Row],[Index]])/4+Table132[[#This Row],[PARAM_SUB]],4)</f>
        <v>315E</v>
      </c>
      <c r="R346" s="6" t="s">
        <v>363</v>
      </c>
      <c r="S346" s="1" t="s">
        <v>311</v>
      </c>
      <c r="T346" s="16">
        <v>0</v>
      </c>
      <c r="U346" s="6" t="s">
        <v>363</v>
      </c>
      <c r="X346" s="11">
        <f>IF(Table132[[#This Row],[template]]="","",VLOOKUP(Table132[[#This Row],[IP_NAME]],Table511175[],2,FALSE))</f>
        <v>1</v>
      </c>
      <c r="Y346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>02000</v>
      </c>
      <c r="Z346" s="14">
        <f>IF(Table132[[#This Row],[template]]="","",HEX2DEC(Table132[[#This Row],[Addr_Hex]]))</f>
        <v>12638</v>
      </c>
    </row>
    <row r="347" spans="2:26" x14ac:dyDescent="0.3">
      <c r="B347" s="4" t="s">
        <v>465</v>
      </c>
      <c r="C347" s="4" t="s">
        <v>456</v>
      </c>
      <c r="D347" s="9" t="str">
        <f>UPPER(Table132[[#This Row],[SIGNAL]])</f>
        <v>EV_PDPERRCNTR_31</v>
      </c>
      <c r="E347" s="9" t="str">
        <f>IF(Table132[[#This Row],[template]]="","","0x"&amp;Table132[[#This Row],[IP_Index]]&amp;DEC2HEX(Table132[[#This Row],[Addr_Dec]]*4,7))</f>
        <v>0x1000C57C</v>
      </c>
      <c r="F347" s="9" t="str">
        <f>IF(Table132[[#This Row],[template]]="","",VLOOKUP(Table132[[#This Row],[template]],Table29153[],2,FALSE))</f>
        <v>asynParamInt32</v>
      </c>
      <c r="G347" s="18" t="str">
        <f>IF(Table132[[#This Row],[template]]="","","1")</f>
        <v>1</v>
      </c>
      <c r="H347" s="10" t="s">
        <v>454</v>
      </c>
      <c r="I347" s="13" t="str">
        <f>IF(Table132[[#This Row],[template]]="","","0x"&amp;Table132[[#This Row],[D_Index]]&amp;"000")</f>
        <v>0x02000000</v>
      </c>
      <c r="J347" s="18" t="s">
        <v>341</v>
      </c>
      <c r="K347" s="10">
        <v>0</v>
      </c>
      <c r="L347" s="11"/>
      <c r="M347" s="9" t="str">
        <f>IF(Table132[[#This Row],[template]]="","",Table132[[#This Row],[IP_NAME]]&amp;"_"&amp;Table132[[#This Row],[PARAM_NAME]]&amp;IF(Table132[[#This Row],[PARAM_SUB]]="","","_"&amp;Table132[[#This Row],[PARAM_SUB]]))</f>
        <v>ev_pdpErrCntr_31</v>
      </c>
      <c r="N347" s="1" t="s">
        <v>262</v>
      </c>
      <c r="O347" s="1" t="s">
        <v>451</v>
      </c>
      <c r="P347" s="6" t="s">
        <v>294</v>
      </c>
      <c r="Q347" s="20" t="str">
        <f>DEC2HEX(HEX2DEC(Table132[[#This Row],[Index]])/4+Table132[[#This Row],[PARAM_SUB]],4)</f>
        <v>315F</v>
      </c>
      <c r="R347" s="6" t="s">
        <v>363</v>
      </c>
      <c r="S347" s="1" t="s">
        <v>311</v>
      </c>
      <c r="T347" s="16">
        <v>0</v>
      </c>
      <c r="U347" s="6" t="s">
        <v>363</v>
      </c>
      <c r="X347" s="11">
        <f>IF(Table132[[#This Row],[template]]="","",VLOOKUP(Table132[[#This Row],[IP_NAME]],Table511175[],2,FALSE))</f>
        <v>1</v>
      </c>
      <c r="Y347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>02000</v>
      </c>
      <c r="Z347" s="14">
        <f>IF(Table132[[#This Row],[template]]="","",HEX2DEC(Table132[[#This Row],[Addr_Hex]]))</f>
        <v>12639</v>
      </c>
    </row>
    <row r="348" spans="2:26" x14ac:dyDescent="0.3">
      <c r="B348" s="4"/>
      <c r="C348" s="4"/>
      <c r="D348" s="9" t="str">
        <f>UPPER(Table132[[#This Row],[SIGNAL]])</f>
        <v/>
      </c>
      <c r="E348" s="9" t="str">
        <f>IF(Table132[[#This Row],[template]]="","","0x"&amp;Table132[[#This Row],[IP_Index]]&amp;DEC2HEX(Table132[[#This Row],[Addr_Dec]]*4,7))</f>
        <v/>
      </c>
      <c r="F348" s="9" t="str">
        <f>IF(Table132[[#This Row],[template]]="","",VLOOKUP(Table132[[#This Row],[template]],Table29153[],2,FALSE))</f>
        <v/>
      </c>
      <c r="G348" s="18" t="str">
        <f>IF(Table132[[#This Row],[template]]="","","1")</f>
        <v/>
      </c>
      <c r="H348" s="10" t="s">
        <v>267</v>
      </c>
      <c r="I348" s="13" t="str">
        <f>IF(Table132[[#This Row],[template]]="","","0x"&amp;Table132[[#This Row],[D_Index]]&amp;"000")</f>
        <v/>
      </c>
      <c r="J348" s="18" t="s">
        <v>342</v>
      </c>
      <c r="K348" s="10">
        <v>0</v>
      </c>
      <c r="L348" s="11"/>
      <c r="M348" s="9" t="str">
        <f>IF(Table132[[#This Row],[template]]="","",Table132[[#This Row],[IP_NAME]]&amp;"_"&amp;Table132[[#This Row],[PARAM_NAME]]&amp;IF(Table132[[#This Row],[PARAM_SUB]]="","","_"&amp;Table132[[#This Row],[PARAM_SUB]]))</f>
        <v/>
      </c>
      <c r="P348" s="6"/>
      <c r="Q348" s="4"/>
      <c r="R348" s="6"/>
      <c r="T348" s="16"/>
      <c r="U348" s="6"/>
      <c r="X348" s="11" t="str">
        <f>IF(Table132[[#This Row],[template]]="","",VLOOKUP(Table132[[#This Row],[IP_NAME]],Table511175[],2,FALSE))</f>
        <v/>
      </c>
      <c r="Y348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/>
      </c>
      <c r="Z348" s="14" t="str">
        <f>IF(Table132[[#This Row],[template]]="","",HEX2DEC(Table132[[#This Row],[Addr_Hex]]))</f>
        <v/>
      </c>
    </row>
    <row r="349" spans="2:26" x14ac:dyDescent="0.3">
      <c r="B349" s="4"/>
      <c r="C349" s="4"/>
      <c r="D349" s="9" t="str">
        <f>UPPER(Table132[[#This Row],[SIGNAL]])</f>
        <v/>
      </c>
      <c r="E349" s="9" t="str">
        <f>IF(Table132[[#This Row],[template]]="","","0x"&amp;Table132[[#This Row],[IP_Index]]&amp;DEC2HEX(Table132[[#This Row],[Addr_Dec]]*4,7))</f>
        <v/>
      </c>
      <c r="F349" s="9" t="str">
        <f>IF(Table132[[#This Row],[template]]="","",VLOOKUP(Table132[[#This Row],[template]],Table29153[],2,FALSE))</f>
        <v/>
      </c>
      <c r="G349" s="18" t="str">
        <f>IF(Table132[[#This Row],[template]]="","","1")</f>
        <v/>
      </c>
      <c r="H349" s="10" t="s">
        <v>267</v>
      </c>
      <c r="I349" s="13" t="str">
        <f>IF(Table132[[#This Row],[template]]="","","0x"&amp;Table132[[#This Row],[D_Index]]&amp;"000")</f>
        <v/>
      </c>
      <c r="J349" s="18" t="s">
        <v>342</v>
      </c>
      <c r="K349" s="10">
        <v>0</v>
      </c>
      <c r="L349" s="11"/>
      <c r="M349" s="9" t="str">
        <f>IF(Table132[[#This Row],[template]]="","",Table132[[#This Row],[IP_NAME]]&amp;"_"&amp;Table132[[#This Row],[PARAM_NAME]]&amp;IF(Table132[[#This Row],[PARAM_SUB]]="","","_"&amp;Table132[[#This Row],[PARAM_SUB]]))</f>
        <v/>
      </c>
      <c r="P349" s="6"/>
      <c r="Q349" s="4"/>
      <c r="R349" s="6"/>
      <c r="T349" s="16"/>
      <c r="U349" s="6"/>
      <c r="X349" s="11" t="str">
        <f>IF(Table132[[#This Row],[template]]="","",VLOOKUP(Table132[[#This Row],[IP_NAME]],Table511175[],2,FALSE))</f>
        <v/>
      </c>
      <c r="Y349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/>
      </c>
      <c r="Z349" s="14" t="str">
        <f>IF(Table132[[#This Row],[template]]="","",HEX2DEC(Table132[[#This Row],[Addr_Hex]]))</f>
        <v/>
      </c>
    </row>
    <row r="350" spans="2:26" x14ac:dyDescent="0.3">
      <c r="B350" s="4">
        <v>1000</v>
      </c>
      <c r="C350" s="4" t="s">
        <v>233</v>
      </c>
      <c r="D350" s="9" t="str">
        <f>UPPER(Table132[[#This Row],[SIGNAL]])</f>
        <v>EV_MEVCODEA_1</v>
      </c>
      <c r="E350" s="9" t="str">
        <f>IF(Table132[[#This Row],[template]]="","","0x"&amp;Table132[[#This Row],[IP_Index]]&amp;DEC2HEX(Table132[[#This Row],[Addr_Dec]]*4,7))</f>
        <v>0x10001004</v>
      </c>
      <c r="F350" s="9" t="str">
        <f>IF(Table132[[#This Row],[template]]="","",VLOOKUP(Table132[[#This Row],[template]],Table29153[],2,FALSE))</f>
        <v>asynParamInt32</v>
      </c>
      <c r="G350" s="18" t="str">
        <f>IF(Table132[[#This Row],[template]]="","","1")</f>
        <v>1</v>
      </c>
      <c r="H350" s="10" t="s">
        <v>267</v>
      </c>
      <c r="I350" s="13" t="str">
        <f>IF(Table132[[#This Row],[template]]="","","0x"&amp;Table132[[#This Row],[D_Index]]&amp;"000")</f>
        <v>0x01000000</v>
      </c>
      <c r="J350" s="18" t="s">
        <v>342</v>
      </c>
      <c r="K350" s="10">
        <v>0</v>
      </c>
      <c r="L350" s="11"/>
      <c r="M350" s="9" t="str">
        <f>IF(Table132[[#This Row],[template]]="","",Table132[[#This Row],[IP_NAME]]&amp;"_"&amp;Table132[[#This Row],[PARAM_NAME]]&amp;IF(Table132[[#This Row],[PARAM_SUB]]="","","_"&amp;Table132[[#This Row],[PARAM_SUB]]))</f>
        <v>ev_mevCodeA_1</v>
      </c>
      <c r="N350" s="1" t="s">
        <v>262</v>
      </c>
      <c r="O350" s="1" t="s">
        <v>452</v>
      </c>
      <c r="P350" s="6" t="s">
        <v>271</v>
      </c>
      <c r="Q350" s="20" t="str">
        <f>DEC2HEX(HEX2DEC(Table132[[#This Row],[Index]])/4+Table132[[#This Row],[PARAM_SUB]],4)</f>
        <v>0401</v>
      </c>
      <c r="R350" s="6" t="s">
        <v>363</v>
      </c>
      <c r="S350" s="1" t="s">
        <v>254</v>
      </c>
      <c r="T350" s="16">
        <v>0</v>
      </c>
      <c r="U350" s="6" t="s">
        <v>363</v>
      </c>
      <c r="X350" s="11">
        <f>IF(Table132[[#This Row],[template]]="","",VLOOKUP(Table132[[#This Row],[IP_NAME]],Table511175[],2,FALSE))</f>
        <v>1</v>
      </c>
      <c r="Y350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>01000</v>
      </c>
      <c r="Z350" s="14">
        <f>IF(Table132[[#This Row],[template]]="","",HEX2DEC(Table132[[#This Row],[Addr_Hex]]))</f>
        <v>1025</v>
      </c>
    </row>
    <row r="351" spans="2:26" x14ac:dyDescent="0.3">
      <c r="B351" s="4">
        <v>1000</v>
      </c>
      <c r="C351" s="4" t="s">
        <v>233</v>
      </c>
      <c r="D351" s="9" t="str">
        <f>UPPER(Table132[[#This Row],[SIGNAL]])</f>
        <v>EV_MEVCODEA_2</v>
      </c>
      <c r="E351" s="9" t="str">
        <f>IF(Table132[[#This Row],[template]]="","","0x"&amp;Table132[[#This Row],[IP_Index]]&amp;DEC2HEX(Table132[[#This Row],[Addr_Dec]]*4,7))</f>
        <v>0x10001008</v>
      </c>
      <c r="F351" s="9" t="str">
        <f>IF(Table132[[#This Row],[template]]="","",VLOOKUP(Table132[[#This Row],[template]],Table29153[],2,FALSE))</f>
        <v>asynParamInt32</v>
      </c>
      <c r="G351" s="18" t="str">
        <f>IF(Table132[[#This Row],[template]]="","","1")</f>
        <v>1</v>
      </c>
      <c r="H351" s="10" t="s">
        <v>267</v>
      </c>
      <c r="I351" s="13" t="str">
        <f>IF(Table132[[#This Row],[template]]="","","0x"&amp;Table132[[#This Row],[D_Index]]&amp;"000")</f>
        <v>0x01000000</v>
      </c>
      <c r="J351" s="18" t="s">
        <v>342</v>
      </c>
      <c r="K351" s="10">
        <v>0</v>
      </c>
      <c r="L351" s="11"/>
      <c r="M351" s="9" t="str">
        <f>IF(Table132[[#This Row],[template]]="","",Table132[[#This Row],[IP_NAME]]&amp;"_"&amp;Table132[[#This Row],[PARAM_NAME]]&amp;IF(Table132[[#This Row],[PARAM_SUB]]="","","_"&amp;Table132[[#This Row],[PARAM_SUB]]))</f>
        <v>ev_mevCodeA_2</v>
      </c>
      <c r="N351" s="1" t="s">
        <v>262</v>
      </c>
      <c r="O351" s="1" t="s">
        <v>452</v>
      </c>
      <c r="P351" s="6" t="s">
        <v>243</v>
      </c>
      <c r="Q351" s="20" t="str">
        <f>DEC2HEX(HEX2DEC(Table132[[#This Row],[Index]])/4+Table132[[#This Row],[PARAM_SUB]],4)</f>
        <v>0402</v>
      </c>
      <c r="R351" s="6" t="s">
        <v>363</v>
      </c>
      <c r="S351" s="1" t="s">
        <v>254</v>
      </c>
      <c r="T351" s="16">
        <v>0</v>
      </c>
      <c r="U351" s="6" t="s">
        <v>363</v>
      </c>
      <c r="X351" s="11">
        <f>IF(Table132[[#This Row],[template]]="","",VLOOKUP(Table132[[#This Row],[IP_NAME]],Table511175[],2,FALSE))</f>
        <v>1</v>
      </c>
      <c r="Y351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>01000</v>
      </c>
      <c r="Z351" s="14">
        <f>IF(Table132[[#This Row],[template]]="","",HEX2DEC(Table132[[#This Row],[Addr_Hex]]))</f>
        <v>1026</v>
      </c>
    </row>
    <row r="352" spans="2:26" x14ac:dyDescent="0.3">
      <c r="B352" s="4">
        <v>1000</v>
      </c>
      <c r="C352" s="4" t="s">
        <v>233</v>
      </c>
      <c r="D352" s="9" t="str">
        <f>UPPER(Table132[[#This Row],[SIGNAL]])</f>
        <v>EV_MEVCODEA_3</v>
      </c>
      <c r="E352" s="9" t="str">
        <f>IF(Table132[[#This Row],[template]]="","","0x"&amp;Table132[[#This Row],[IP_Index]]&amp;DEC2HEX(Table132[[#This Row],[Addr_Dec]]*4,7))</f>
        <v>0x1000100C</v>
      </c>
      <c r="F352" s="9" t="str">
        <f>IF(Table132[[#This Row],[template]]="","",VLOOKUP(Table132[[#This Row],[template]],Table29153[],2,FALSE))</f>
        <v>asynParamInt32</v>
      </c>
      <c r="G352" s="18" t="str">
        <f>IF(Table132[[#This Row],[template]]="","","1")</f>
        <v>1</v>
      </c>
      <c r="H352" s="10" t="s">
        <v>267</v>
      </c>
      <c r="I352" s="13" t="str">
        <f>IF(Table132[[#This Row],[template]]="","","0x"&amp;Table132[[#This Row],[D_Index]]&amp;"000")</f>
        <v>0x01000000</v>
      </c>
      <c r="J352" s="18" t="s">
        <v>342</v>
      </c>
      <c r="K352" s="10">
        <v>0</v>
      </c>
      <c r="L352" s="11"/>
      <c r="M352" s="9" t="str">
        <f>IF(Table132[[#This Row],[template]]="","",Table132[[#This Row],[IP_NAME]]&amp;"_"&amp;Table132[[#This Row],[PARAM_NAME]]&amp;IF(Table132[[#This Row],[PARAM_SUB]]="","","_"&amp;Table132[[#This Row],[PARAM_SUB]]))</f>
        <v>ev_mevCodeA_3</v>
      </c>
      <c r="N352" s="1" t="s">
        <v>262</v>
      </c>
      <c r="O352" s="1" t="s">
        <v>452</v>
      </c>
      <c r="P352" s="6" t="s">
        <v>244</v>
      </c>
      <c r="Q352" s="20" t="str">
        <f>DEC2HEX(HEX2DEC(Table132[[#This Row],[Index]])/4+Table132[[#This Row],[PARAM_SUB]],4)</f>
        <v>0403</v>
      </c>
      <c r="R352" s="6" t="s">
        <v>363</v>
      </c>
      <c r="S352" s="1" t="s">
        <v>254</v>
      </c>
      <c r="T352" s="16">
        <v>0</v>
      </c>
      <c r="U352" s="6" t="s">
        <v>363</v>
      </c>
      <c r="X352" s="11">
        <f>IF(Table132[[#This Row],[template]]="","",VLOOKUP(Table132[[#This Row],[IP_NAME]],Table511175[],2,FALSE))</f>
        <v>1</v>
      </c>
      <c r="Y352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>01000</v>
      </c>
      <c r="Z352" s="14">
        <f>IF(Table132[[#This Row],[template]]="","",HEX2DEC(Table132[[#This Row],[Addr_Hex]]))</f>
        <v>1027</v>
      </c>
    </row>
    <row r="353" spans="2:26" x14ac:dyDescent="0.3">
      <c r="B353" s="4">
        <v>1000</v>
      </c>
      <c r="C353" s="4" t="s">
        <v>233</v>
      </c>
      <c r="D353" s="9" t="str">
        <f>UPPER(Table132[[#This Row],[SIGNAL]])</f>
        <v>EV_MEVCODEA_4</v>
      </c>
      <c r="E353" s="9" t="str">
        <f>IF(Table132[[#This Row],[template]]="","","0x"&amp;Table132[[#This Row],[IP_Index]]&amp;DEC2HEX(Table132[[#This Row],[Addr_Dec]]*4,7))</f>
        <v>0x10001010</v>
      </c>
      <c r="F353" s="9" t="str">
        <f>IF(Table132[[#This Row],[template]]="","",VLOOKUP(Table132[[#This Row],[template]],Table29153[],2,FALSE))</f>
        <v>asynParamInt32</v>
      </c>
      <c r="G353" s="18" t="str">
        <f>IF(Table132[[#This Row],[template]]="","","1")</f>
        <v>1</v>
      </c>
      <c r="H353" s="10" t="s">
        <v>267</v>
      </c>
      <c r="I353" s="13" t="str">
        <f>IF(Table132[[#This Row],[template]]="","","0x"&amp;Table132[[#This Row],[D_Index]]&amp;"000")</f>
        <v>0x01000000</v>
      </c>
      <c r="J353" s="18" t="s">
        <v>342</v>
      </c>
      <c r="K353" s="10">
        <v>0</v>
      </c>
      <c r="L353" s="11"/>
      <c r="M353" s="9" t="str">
        <f>IF(Table132[[#This Row],[template]]="","",Table132[[#This Row],[IP_NAME]]&amp;"_"&amp;Table132[[#This Row],[PARAM_NAME]]&amp;IF(Table132[[#This Row],[PARAM_SUB]]="","","_"&amp;Table132[[#This Row],[PARAM_SUB]]))</f>
        <v>ev_mevCodeA_4</v>
      </c>
      <c r="N353" s="1" t="s">
        <v>262</v>
      </c>
      <c r="O353" s="1" t="s">
        <v>452</v>
      </c>
      <c r="P353" s="6" t="s">
        <v>245</v>
      </c>
      <c r="Q353" s="20" t="str">
        <f>DEC2HEX(HEX2DEC(Table132[[#This Row],[Index]])/4+Table132[[#This Row],[PARAM_SUB]],4)</f>
        <v>0404</v>
      </c>
      <c r="R353" s="6" t="s">
        <v>363</v>
      </c>
      <c r="S353" s="1" t="s">
        <v>254</v>
      </c>
      <c r="T353" s="16">
        <v>0</v>
      </c>
      <c r="U353" s="6" t="s">
        <v>363</v>
      </c>
      <c r="X353" s="11">
        <f>IF(Table132[[#This Row],[template]]="","",VLOOKUP(Table132[[#This Row],[IP_NAME]],Table511175[],2,FALSE))</f>
        <v>1</v>
      </c>
      <c r="Y353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>01000</v>
      </c>
      <c r="Z353" s="14">
        <f>IF(Table132[[#This Row],[template]]="","",HEX2DEC(Table132[[#This Row],[Addr_Hex]]))</f>
        <v>1028</v>
      </c>
    </row>
    <row r="354" spans="2:26" x14ac:dyDescent="0.3">
      <c r="B354" s="4">
        <v>1000</v>
      </c>
      <c r="C354" s="4" t="s">
        <v>233</v>
      </c>
      <c r="D354" s="9" t="str">
        <f>UPPER(Table132[[#This Row],[SIGNAL]])</f>
        <v>EV_MEVCODEA_5</v>
      </c>
      <c r="E354" s="9" t="str">
        <f>IF(Table132[[#This Row],[template]]="","","0x"&amp;Table132[[#This Row],[IP_Index]]&amp;DEC2HEX(Table132[[#This Row],[Addr_Dec]]*4,7))</f>
        <v>0x10001014</v>
      </c>
      <c r="F354" s="9" t="str">
        <f>IF(Table132[[#This Row],[template]]="","",VLOOKUP(Table132[[#This Row],[template]],Table29153[],2,FALSE))</f>
        <v>asynParamInt32</v>
      </c>
      <c r="G354" s="18" t="str">
        <f>IF(Table132[[#This Row],[template]]="","","1")</f>
        <v>1</v>
      </c>
      <c r="H354" s="10" t="s">
        <v>267</v>
      </c>
      <c r="I354" s="13" t="str">
        <f>IF(Table132[[#This Row],[template]]="","","0x"&amp;Table132[[#This Row],[D_Index]]&amp;"000")</f>
        <v>0x01000000</v>
      </c>
      <c r="J354" s="18" t="s">
        <v>342</v>
      </c>
      <c r="K354" s="10">
        <v>0</v>
      </c>
      <c r="L354" s="11"/>
      <c r="M354" s="9" t="str">
        <f>IF(Table132[[#This Row],[template]]="","",Table132[[#This Row],[IP_NAME]]&amp;"_"&amp;Table132[[#This Row],[PARAM_NAME]]&amp;IF(Table132[[#This Row],[PARAM_SUB]]="","","_"&amp;Table132[[#This Row],[PARAM_SUB]]))</f>
        <v>ev_mevCodeA_5</v>
      </c>
      <c r="N354" s="1" t="s">
        <v>262</v>
      </c>
      <c r="O354" s="1" t="s">
        <v>452</v>
      </c>
      <c r="P354" s="6" t="s">
        <v>246</v>
      </c>
      <c r="Q354" s="20" t="str">
        <f>DEC2HEX(HEX2DEC(Table132[[#This Row],[Index]])/4+Table132[[#This Row],[PARAM_SUB]],4)</f>
        <v>0405</v>
      </c>
      <c r="R354" s="6" t="s">
        <v>363</v>
      </c>
      <c r="S354" s="1" t="s">
        <v>254</v>
      </c>
      <c r="T354" s="16">
        <v>0</v>
      </c>
      <c r="U354" s="6" t="s">
        <v>363</v>
      </c>
      <c r="X354" s="11">
        <f>IF(Table132[[#This Row],[template]]="","",VLOOKUP(Table132[[#This Row],[IP_NAME]],Table511175[],2,FALSE))</f>
        <v>1</v>
      </c>
      <c r="Y354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>01000</v>
      </c>
      <c r="Z354" s="14">
        <f>IF(Table132[[#This Row],[template]]="","",HEX2DEC(Table132[[#This Row],[Addr_Hex]]))</f>
        <v>1029</v>
      </c>
    </row>
    <row r="355" spans="2:26" x14ac:dyDescent="0.3">
      <c r="B355" s="4">
        <v>1000</v>
      </c>
      <c r="C355" s="4" t="s">
        <v>233</v>
      </c>
      <c r="D355" s="9" t="str">
        <f>UPPER(Table132[[#This Row],[SIGNAL]])</f>
        <v>EV_MEVCODEA_6</v>
      </c>
      <c r="E355" s="9" t="str">
        <f>IF(Table132[[#This Row],[template]]="","","0x"&amp;Table132[[#This Row],[IP_Index]]&amp;DEC2HEX(Table132[[#This Row],[Addr_Dec]]*4,7))</f>
        <v>0x10001018</v>
      </c>
      <c r="F355" s="9" t="str">
        <f>IF(Table132[[#This Row],[template]]="","",VLOOKUP(Table132[[#This Row],[template]],Table29153[],2,FALSE))</f>
        <v>asynParamInt32</v>
      </c>
      <c r="G355" s="18" t="str">
        <f>IF(Table132[[#This Row],[template]]="","","1")</f>
        <v>1</v>
      </c>
      <c r="H355" s="10" t="s">
        <v>267</v>
      </c>
      <c r="I355" s="13" t="str">
        <f>IF(Table132[[#This Row],[template]]="","","0x"&amp;Table132[[#This Row],[D_Index]]&amp;"000")</f>
        <v>0x01000000</v>
      </c>
      <c r="J355" s="18" t="s">
        <v>342</v>
      </c>
      <c r="K355" s="10">
        <v>0</v>
      </c>
      <c r="L355" s="11"/>
      <c r="M355" s="9" t="str">
        <f>IF(Table132[[#This Row],[template]]="","",Table132[[#This Row],[IP_NAME]]&amp;"_"&amp;Table132[[#This Row],[PARAM_NAME]]&amp;IF(Table132[[#This Row],[PARAM_SUB]]="","","_"&amp;Table132[[#This Row],[PARAM_SUB]]))</f>
        <v>ev_mevCodeA_6</v>
      </c>
      <c r="N355" s="1" t="s">
        <v>262</v>
      </c>
      <c r="O355" s="1" t="s">
        <v>452</v>
      </c>
      <c r="P355" s="6" t="s">
        <v>247</v>
      </c>
      <c r="Q355" s="20" t="str">
        <f>DEC2HEX(HEX2DEC(Table132[[#This Row],[Index]])/4+Table132[[#This Row],[PARAM_SUB]],4)</f>
        <v>0406</v>
      </c>
      <c r="R355" s="6" t="s">
        <v>363</v>
      </c>
      <c r="S355" s="1" t="s">
        <v>254</v>
      </c>
      <c r="T355" s="16">
        <v>0</v>
      </c>
      <c r="U355" s="6" t="s">
        <v>363</v>
      </c>
      <c r="X355" s="11">
        <f>IF(Table132[[#This Row],[template]]="","",VLOOKUP(Table132[[#This Row],[IP_NAME]],Table511175[],2,FALSE))</f>
        <v>1</v>
      </c>
      <c r="Y355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>01000</v>
      </c>
      <c r="Z355" s="14">
        <f>IF(Table132[[#This Row],[template]]="","",HEX2DEC(Table132[[#This Row],[Addr_Hex]]))</f>
        <v>1030</v>
      </c>
    </row>
    <row r="356" spans="2:26" x14ac:dyDescent="0.3">
      <c r="B356" s="4">
        <v>1000</v>
      </c>
      <c r="C356" s="4" t="s">
        <v>233</v>
      </c>
      <c r="D356" s="9" t="str">
        <f>UPPER(Table132[[#This Row],[SIGNAL]])</f>
        <v>EV_MEVCODEA_7</v>
      </c>
      <c r="E356" s="9" t="str">
        <f>IF(Table132[[#This Row],[template]]="","","0x"&amp;Table132[[#This Row],[IP_Index]]&amp;DEC2HEX(Table132[[#This Row],[Addr_Dec]]*4,7))</f>
        <v>0x1000101C</v>
      </c>
      <c r="F356" s="9" t="str">
        <f>IF(Table132[[#This Row],[template]]="","",VLOOKUP(Table132[[#This Row],[template]],Table29153[],2,FALSE))</f>
        <v>asynParamInt32</v>
      </c>
      <c r="G356" s="18" t="str">
        <f>IF(Table132[[#This Row],[template]]="","","1")</f>
        <v>1</v>
      </c>
      <c r="H356" s="10" t="s">
        <v>267</v>
      </c>
      <c r="I356" s="13" t="str">
        <f>IF(Table132[[#This Row],[template]]="","","0x"&amp;Table132[[#This Row],[D_Index]]&amp;"000")</f>
        <v>0x01000000</v>
      </c>
      <c r="J356" s="18" t="s">
        <v>342</v>
      </c>
      <c r="K356" s="10">
        <v>0</v>
      </c>
      <c r="L356" s="11"/>
      <c r="M356" s="9" t="str">
        <f>IF(Table132[[#This Row],[template]]="","",Table132[[#This Row],[IP_NAME]]&amp;"_"&amp;Table132[[#This Row],[PARAM_NAME]]&amp;IF(Table132[[#This Row],[PARAM_SUB]]="","","_"&amp;Table132[[#This Row],[PARAM_SUB]]))</f>
        <v>ev_mevCodeA_7</v>
      </c>
      <c r="N356" s="1" t="s">
        <v>262</v>
      </c>
      <c r="O356" s="1" t="s">
        <v>452</v>
      </c>
      <c r="P356" s="6" t="s">
        <v>248</v>
      </c>
      <c r="Q356" s="20" t="str">
        <f>DEC2HEX(HEX2DEC(Table132[[#This Row],[Index]])/4+Table132[[#This Row],[PARAM_SUB]],4)</f>
        <v>0407</v>
      </c>
      <c r="R356" s="6" t="s">
        <v>363</v>
      </c>
      <c r="S356" s="1" t="s">
        <v>254</v>
      </c>
      <c r="T356" s="16">
        <v>0</v>
      </c>
      <c r="U356" s="6" t="s">
        <v>363</v>
      </c>
      <c r="X356" s="11">
        <f>IF(Table132[[#This Row],[template]]="","",VLOOKUP(Table132[[#This Row],[IP_NAME]],Table511175[],2,FALSE))</f>
        <v>1</v>
      </c>
      <c r="Y356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>01000</v>
      </c>
      <c r="Z356" s="14">
        <f>IF(Table132[[#This Row],[template]]="","",HEX2DEC(Table132[[#This Row],[Addr_Hex]]))</f>
        <v>1031</v>
      </c>
    </row>
    <row r="357" spans="2:26" x14ac:dyDescent="0.3">
      <c r="B357" s="4">
        <v>1000</v>
      </c>
      <c r="C357" s="4" t="s">
        <v>233</v>
      </c>
      <c r="D357" s="9" t="str">
        <f>UPPER(Table132[[#This Row],[SIGNAL]])</f>
        <v>EV_MEVCODEA_8</v>
      </c>
      <c r="E357" s="9" t="str">
        <f>IF(Table132[[#This Row],[template]]="","","0x"&amp;Table132[[#This Row],[IP_Index]]&amp;DEC2HEX(Table132[[#This Row],[Addr_Dec]]*4,7))</f>
        <v>0x10001020</v>
      </c>
      <c r="F357" s="9" t="str">
        <f>IF(Table132[[#This Row],[template]]="","",VLOOKUP(Table132[[#This Row],[template]],Table29153[],2,FALSE))</f>
        <v>asynParamInt32</v>
      </c>
      <c r="G357" s="18" t="str">
        <f>IF(Table132[[#This Row],[template]]="","","1")</f>
        <v>1</v>
      </c>
      <c r="H357" s="10" t="s">
        <v>267</v>
      </c>
      <c r="I357" s="13" t="str">
        <f>IF(Table132[[#This Row],[template]]="","","0x"&amp;Table132[[#This Row],[D_Index]]&amp;"000")</f>
        <v>0x01000000</v>
      </c>
      <c r="J357" s="18" t="s">
        <v>342</v>
      </c>
      <c r="K357" s="10">
        <v>0</v>
      </c>
      <c r="L357" s="11"/>
      <c r="M357" s="9" t="str">
        <f>IF(Table132[[#This Row],[template]]="","",Table132[[#This Row],[IP_NAME]]&amp;"_"&amp;Table132[[#This Row],[PARAM_NAME]]&amp;IF(Table132[[#This Row],[PARAM_SUB]]="","","_"&amp;Table132[[#This Row],[PARAM_SUB]]))</f>
        <v>ev_mevCodeA_8</v>
      </c>
      <c r="N357" s="1" t="s">
        <v>262</v>
      </c>
      <c r="O357" s="1" t="s">
        <v>452</v>
      </c>
      <c r="P357" s="6" t="s">
        <v>249</v>
      </c>
      <c r="Q357" s="20" t="str">
        <f>DEC2HEX(HEX2DEC(Table132[[#This Row],[Index]])/4+Table132[[#This Row],[PARAM_SUB]],4)</f>
        <v>0408</v>
      </c>
      <c r="R357" s="6" t="s">
        <v>363</v>
      </c>
      <c r="S357" s="1" t="s">
        <v>254</v>
      </c>
      <c r="T357" s="16">
        <v>0</v>
      </c>
      <c r="U357" s="6" t="s">
        <v>363</v>
      </c>
      <c r="X357" s="11">
        <f>IF(Table132[[#This Row],[template]]="","",VLOOKUP(Table132[[#This Row],[IP_NAME]],Table511175[],2,FALSE))</f>
        <v>1</v>
      </c>
      <c r="Y357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>01000</v>
      </c>
      <c r="Z357" s="14">
        <f>IF(Table132[[#This Row],[template]]="","",HEX2DEC(Table132[[#This Row],[Addr_Hex]]))</f>
        <v>1032</v>
      </c>
    </row>
    <row r="358" spans="2:26" x14ac:dyDescent="0.3">
      <c r="B358" s="4">
        <v>1000</v>
      </c>
      <c r="C358" s="4" t="s">
        <v>233</v>
      </c>
      <c r="D358" s="9" t="str">
        <f>UPPER(Table132[[#This Row],[SIGNAL]])</f>
        <v>EV_MEVCODEA_9</v>
      </c>
      <c r="E358" s="9" t="str">
        <f>IF(Table132[[#This Row],[template]]="","","0x"&amp;Table132[[#This Row],[IP_Index]]&amp;DEC2HEX(Table132[[#This Row],[Addr_Dec]]*4,7))</f>
        <v>0x10001024</v>
      </c>
      <c r="F358" s="9" t="str">
        <f>IF(Table132[[#This Row],[template]]="","",VLOOKUP(Table132[[#This Row],[template]],Table29153[],2,FALSE))</f>
        <v>asynParamInt32</v>
      </c>
      <c r="G358" s="18" t="str">
        <f>IF(Table132[[#This Row],[template]]="","","1")</f>
        <v>1</v>
      </c>
      <c r="H358" s="10" t="s">
        <v>267</v>
      </c>
      <c r="I358" s="13" t="str">
        <f>IF(Table132[[#This Row],[template]]="","","0x"&amp;Table132[[#This Row],[D_Index]]&amp;"000")</f>
        <v>0x01000000</v>
      </c>
      <c r="J358" s="18" t="s">
        <v>342</v>
      </c>
      <c r="K358" s="10">
        <v>0</v>
      </c>
      <c r="L358" s="11"/>
      <c r="M358" s="9" t="str">
        <f>IF(Table132[[#This Row],[template]]="","",Table132[[#This Row],[IP_NAME]]&amp;"_"&amp;Table132[[#This Row],[PARAM_NAME]]&amp;IF(Table132[[#This Row],[PARAM_SUB]]="","","_"&amp;Table132[[#This Row],[PARAM_SUB]]))</f>
        <v>ev_mevCodeA_9</v>
      </c>
      <c r="N358" s="1" t="s">
        <v>262</v>
      </c>
      <c r="O358" s="1" t="s">
        <v>452</v>
      </c>
      <c r="P358" s="6" t="s">
        <v>250</v>
      </c>
      <c r="Q358" s="20" t="str">
        <f>DEC2HEX(HEX2DEC(Table132[[#This Row],[Index]])/4+Table132[[#This Row],[PARAM_SUB]],4)</f>
        <v>0409</v>
      </c>
      <c r="R358" s="6" t="s">
        <v>363</v>
      </c>
      <c r="S358" s="1" t="s">
        <v>254</v>
      </c>
      <c r="T358" s="16">
        <v>0</v>
      </c>
      <c r="U358" s="6" t="s">
        <v>363</v>
      </c>
      <c r="X358" s="11">
        <f>IF(Table132[[#This Row],[template]]="","",VLOOKUP(Table132[[#This Row],[IP_NAME]],Table511175[],2,FALSE))</f>
        <v>1</v>
      </c>
      <c r="Y358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>01000</v>
      </c>
      <c r="Z358" s="14">
        <f>IF(Table132[[#This Row],[template]]="","",HEX2DEC(Table132[[#This Row],[Addr_Hex]]))</f>
        <v>1033</v>
      </c>
    </row>
    <row r="359" spans="2:26" x14ac:dyDescent="0.3">
      <c r="B359" s="4">
        <v>1000</v>
      </c>
      <c r="C359" s="4" t="s">
        <v>233</v>
      </c>
      <c r="D359" s="9" t="str">
        <f>UPPER(Table132[[#This Row],[SIGNAL]])</f>
        <v>EV_MEVCODEA_10</v>
      </c>
      <c r="E359" s="9" t="str">
        <f>IF(Table132[[#This Row],[template]]="","","0x"&amp;Table132[[#This Row],[IP_Index]]&amp;DEC2HEX(Table132[[#This Row],[Addr_Dec]]*4,7))</f>
        <v>0x10001028</v>
      </c>
      <c r="F359" s="9" t="str">
        <f>IF(Table132[[#This Row],[template]]="","",VLOOKUP(Table132[[#This Row],[template]],Table29153[],2,FALSE))</f>
        <v>asynParamInt32</v>
      </c>
      <c r="G359" s="18" t="str">
        <f>IF(Table132[[#This Row],[template]]="","","1")</f>
        <v>1</v>
      </c>
      <c r="H359" s="10" t="s">
        <v>267</v>
      </c>
      <c r="I359" s="13" t="str">
        <f>IF(Table132[[#This Row],[template]]="","","0x"&amp;Table132[[#This Row],[D_Index]]&amp;"000")</f>
        <v>0x01000000</v>
      </c>
      <c r="J359" s="18" t="s">
        <v>342</v>
      </c>
      <c r="K359" s="10">
        <v>0</v>
      </c>
      <c r="L359" s="11"/>
      <c r="M359" s="9" t="str">
        <f>IF(Table132[[#This Row],[template]]="","",Table132[[#This Row],[IP_NAME]]&amp;"_"&amp;Table132[[#This Row],[PARAM_NAME]]&amp;IF(Table132[[#This Row],[PARAM_SUB]]="","","_"&amp;Table132[[#This Row],[PARAM_SUB]]))</f>
        <v>ev_mevCodeA_10</v>
      </c>
      <c r="N359" s="1" t="s">
        <v>262</v>
      </c>
      <c r="O359" s="1" t="s">
        <v>452</v>
      </c>
      <c r="P359" s="6" t="s">
        <v>273</v>
      </c>
      <c r="Q359" s="20" t="str">
        <f>DEC2HEX(HEX2DEC(Table132[[#This Row],[Index]])/4+Table132[[#This Row],[PARAM_SUB]],4)</f>
        <v>040A</v>
      </c>
      <c r="R359" s="6" t="s">
        <v>363</v>
      </c>
      <c r="S359" s="1" t="s">
        <v>254</v>
      </c>
      <c r="T359" s="16">
        <v>0</v>
      </c>
      <c r="U359" s="6" t="s">
        <v>363</v>
      </c>
      <c r="X359" s="11">
        <f>IF(Table132[[#This Row],[template]]="","",VLOOKUP(Table132[[#This Row],[IP_NAME]],Table511175[],2,FALSE))</f>
        <v>1</v>
      </c>
      <c r="Y359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>01000</v>
      </c>
      <c r="Z359" s="14">
        <f>IF(Table132[[#This Row],[template]]="","",HEX2DEC(Table132[[#This Row],[Addr_Hex]]))</f>
        <v>1034</v>
      </c>
    </row>
    <row r="360" spans="2:26" x14ac:dyDescent="0.3">
      <c r="B360" s="4">
        <v>1000</v>
      </c>
      <c r="C360" s="4" t="s">
        <v>233</v>
      </c>
      <c r="D360" s="9" t="str">
        <f>UPPER(Table132[[#This Row],[SIGNAL]])</f>
        <v>EV_MEVCODEA_11</v>
      </c>
      <c r="E360" s="9" t="str">
        <f>IF(Table132[[#This Row],[template]]="","","0x"&amp;Table132[[#This Row],[IP_Index]]&amp;DEC2HEX(Table132[[#This Row],[Addr_Dec]]*4,7))</f>
        <v>0x1000102C</v>
      </c>
      <c r="F360" s="9" t="str">
        <f>IF(Table132[[#This Row],[template]]="","",VLOOKUP(Table132[[#This Row],[template]],Table29153[],2,FALSE))</f>
        <v>asynParamInt32</v>
      </c>
      <c r="G360" s="18" t="str">
        <f>IF(Table132[[#This Row],[template]]="","","1")</f>
        <v>1</v>
      </c>
      <c r="H360" s="10" t="s">
        <v>267</v>
      </c>
      <c r="I360" s="13" t="str">
        <f>IF(Table132[[#This Row],[template]]="","","0x"&amp;Table132[[#This Row],[D_Index]]&amp;"000")</f>
        <v>0x01000000</v>
      </c>
      <c r="J360" s="18" t="s">
        <v>342</v>
      </c>
      <c r="K360" s="10">
        <v>0</v>
      </c>
      <c r="L360" s="11"/>
      <c r="M360" s="9" t="str">
        <f>IF(Table132[[#This Row],[template]]="","",Table132[[#This Row],[IP_NAME]]&amp;"_"&amp;Table132[[#This Row],[PARAM_NAME]]&amp;IF(Table132[[#This Row],[PARAM_SUB]]="","","_"&amp;Table132[[#This Row],[PARAM_SUB]]))</f>
        <v>ev_mevCodeA_11</v>
      </c>
      <c r="N360" s="1" t="s">
        <v>262</v>
      </c>
      <c r="O360" s="1" t="s">
        <v>452</v>
      </c>
      <c r="P360" s="6" t="s">
        <v>274</v>
      </c>
      <c r="Q360" s="20" t="str">
        <f>DEC2HEX(HEX2DEC(Table132[[#This Row],[Index]])/4+Table132[[#This Row],[PARAM_SUB]],4)</f>
        <v>040B</v>
      </c>
      <c r="R360" s="6" t="s">
        <v>363</v>
      </c>
      <c r="S360" s="1" t="s">
        <v>254</v>
      </c>
      <c r="T360" s="16">
        <v>0</v>
      </c>
      <c r="U360" s="6" t="s">
        <v>363</v>
      </c>
      <c r="X360" s="11">
        <f>IF(Table132[[#This Row],[template]]="","",VLOOKUP(Table132[[#This Row],[IP_NAME]],Table511175[],2,FALSE))</f>
        <v>1</v>
      </c>
      <c r="Y360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>01000</v>
      </c>
      <c r="Z360" s="14">
        <f>IF(Table132[[#This Row],[template]]="","",HEX2DEC(Table132[[#This Row],[Addr_Hex]]))</f>
        <v>1035</v>
      </c>
    </row>
    <row r="361" spans="2:26" x14ac:dyDescent="0.3">
      <c r="B361" s="4">
        <v>1000</v>
      </c>
      <c r="C361" s="4" t="s">
        <v>233</v>
      </c>
      <c r="D361" s="9" t="str">
        <f>UPPER(Table132[[#This Row],[SIGNAL]])</f>
        <v>EV_MEVCODEA_12</v>
      </c>
      <c r="E361" s="9" t="str">
        <f>IF(Table132[[#This Row],[template]]="","","0x"&amp;Table132[[#This Row],[IP_Index]]&amp;DEC2HEX(Table132[[#This Row],[Addr_Dec]]*4,7))</f>
        <v>0x10001030</v>
      </c>
      <c r="F361" s="9" t="str">
        <f>IF(Table132[[#This Row],[template]]="","",VLOOKUP(Table132[[#This Row],[template]],Table29153[],2,FALSE))</f>
        <v>asynParamInt32</v>
      </c>
      <c r="G361" s="18" t="str">
        <f>IF(Table132[[#This Row],[template]]="","","1")</f>
        <v>1</v>
      </c>
      <c r="H361" s="10" t="s">
        <v>267</v>
      </c>
      <c r="I361" s="13" t="str">
        <f>IF(Table132[[#This Row],[template]]="","","0x"&amp;Table132[[#This Row],[D_Index]]&amp;"000")</f>
        <v>0x01000000</v>
      </c>
      <c r="J361" s="18" t="s">
        <v>342</v>
      </c>
      <c r="K361" s="10">
        <v>0</v>
      </c>
      <c r="L361" s="11"/>
      <c r="M361" s="9" t="str">
        <f>IF(Table132[[#This Row],[template]]="","",Table132[[#This Row],[IP_NAME]]&amp;"_"&amp;Table132[[#This Row],[PARAM_NAME]]&amp;IF(Table132[[#This Row],[PARAM_SUB]]="","","_"&amp;Table132[[#This Row],[PARAM_SUB]]))</f>
        <v>ev_mevCodeA_12</v>
      </c>
      <c r="N361" s="1" t="s">
        <v>262</v>
      </c>
      <c r="O361" s="1" t="s">
        <v>452</v>
      </c>
      <c r="P361" s="6" t="s">
        <v>275</v>
      </c>
      <c r="Q361" s="20" t="str">
        <f>DEC2HEX(HEX2DEC(Table132[[#This Row],[Index]])/4+Table132[[#This Row],[PARAM_SUB]],4)</f>
        <v>040C</v>
      </c>
      <c r="R361" s="6" t="s">
        <v>363</v>
      </c>
      <c r="S361" s="1" t="s">
        <v>254</v>
      </c>
      <c r="T361" s="16">
        <v>0</v>
      </c>
      <c r="U361" s="6" t="s">
        <v>363</v>
      </c>
      <c r="X361" s="11">
        <f>IF(Table132[[#This Row],[template]]="","",VLOOKUP(Table132[[#This Row],[IP_NAME]],Table511175[],2,FALSE))</f>
        <v>1</v>
      </c>
      <c r="Y361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>01000</v>
      </c>
      <c r="Z361" s="14">
        <f>IF(Table132[[#This Row],[template]]="","",HEX2DEC(Table132[[#This Row],[Addr_Hex]]))</f>
        <v>1036</v>
      </c>
    </row>
    <row r="362" spans="2:26" x14ac:dyDescent="0.3">
      <c r="B362" s="4">
        <v>1000</v>
      </c>
      <c r="C362" s="4" t="s">
        <v>233</v>
      </c>
      <c r="D362" s="9" t="str">
        <f>UPPER(Table132[[#This Row],[SIGNAL]])</f>
        <v>EV_MEVCODEA_13</v>
      </c>
      <c r="E362" s="9" t="str">
        <f>IF(Table132[[#This Row],[template]]="","","0x"&amp;Table132[[#This Row],[IP_Index]]&amp;DEC2HEX(Table132[[#This Row],[Addr_Dec]]*4,7))</f>
        <v>0x10001034</v>
      </c>
      <c r="F362" s="9" t="str">
        <f>IF(Table132[[#This Row],[template]]="","",VLOOKUP(Table132[[#This Row],[template]],Table29153[],2,FALSE))</f>
        <v>asynParamInt32</v>
      </c>
      <c r="G362" s="18" t="str">
        <f>IF(Table132[[#This Row],[template]]="","","1")</f>
        <v>1</v>
      </c>
      <c r="H362" s="10" t="s">
        <v>267</v>
      </c>
      <c r="I362" s="13" t="str">
        <f>IF(Table132[[#This Row],[template]]="","","0x"&amp;Table132[[#This Row],[D_Index]]&amp;"000")</f>
        <v>0x01000000</v>
      </c>
      <c r="J362" s="18" t="s">
        <v>342</v>
      </c>
      <c r="K362" s="10">
        <v>0</v>
      </c>
      <c r="L362" s="11"/>
      <c r="M362" s="9" t="str">
        <f>IF(Table132[[#This Row],[template]]="","",Table132[[#This Row],[IP_NAME]]&amp;"_"&amp;Table132[[#This Row],[PARAM_NAME]]&amp;IF(Table132[[#This Row],[PARAM_SUB]]="","","_"&amp;Table132[[#This Row],[PARAM_SUB]]))</f>
        <v>ev_mevCodeA_13</v>
      </c>
      <c r="N362" s="1" t="s">
        <v>262</v>
      </c>
      <c r="O362" s="1" t="s">
        <v>452</v>
      </c>
      <c r="P362" s="6" t="s">
        <v>276</v>
      </c>
      <c r="Q362" s="20" t="str">
        <f>DEC2HEX(HEX2DEC(Table132[[#This Row],[Index]])/4+Table132[[#This Row],[PARAM_SUB]],4)</f>
        <v>040D</v>
      </c>
      <c r="R362" s="6" t="s">
        <v>363</v>
      </c>
      <c r="S362" s="1" t="s">
        <v>254</v>
      </c>
      <c r="T362" s="16">
        <v>0</v>
      </c>
      <c r="U362" s="6" t="s">
        <v>363</v>
      </c>
      <c r="X362" s="11">
        <f>IF(Table132[[#This Row],[template]]="","",VLOOKUP(Table132[[#This Row],[IP_NAME]],Table511175[],2,FALSE))</f>
        <v>1</v>
      </c>
      <c r="Y362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>01000</v>
      </c>
      <c r="Z362" s="14">
        <f>IF(Table132[[#This Row],[template]]="","",HEX2DEC(Table132[[#This Row],[Addr_Hex]]))</f>
        <v>1037</v>
      </c>
    </row>
    <row r="363" spans="2:26" x14ac:dyDescent="0.3">
      <c r="B363" s="4">
        <v>1000</v>
      </c>
      <c r="C363" s="4" t="s">
        <v>233</v>
      </c>
      <c r="D363" s="9" t="str">
        <f>UPPER(Table132[[#This Row],[SIGNAL]])</f>
        <v>EV_MEVCODEA_14</v>
      </c>
      <c r="E363" s="9" t="str">
        <f>IF(Table132[[#This Row],[template]]="","","0x"&amp;Table132[[#This Row],[IP_Index]]&amp;DEC2HEX(Table132[[#This Row],[Addr_Dec]]*4,7))</f>
        <v>0x10001038</v>
      </c>
      <c r="F363" s="9" t="str">
        <f>IF(Table132[[#This Row],[template]]="","",VLOOKUP(Table132[[#This Row],[template]],Table29153[],2,FALSE))</f>
        <v>asynParamInt32</v>
      </c>
      <c r="G363" s="18" t="str">
        <f>IF(Table132[[#This Row],[template]]="","","1")</f>
        <v>1</v>
      </c>
      <c r="H363" s="10" t="s">
        <v>267</v>
      </c>
      <c r="I363" s="13" t="str">
        <f>IF(Table132[[#This Row],[template]]="","","0x"&amp;Table132[[#This Row],[D_Index]]&amp;"000")</f>
        <v>0x01000000</v>
      </c>
      <c r="J363" s="18" t="s">
        <v>342</v>
      </c>
      <c r="K363" s="10">
        <v>0</v>
      </c>
      <c r="L363" s="11"/>
      <c r="M363" s="9" t="str">
        <f>IF(Table132[[#This Row],[template]]="","",Table132[[#This Row],[IP_NAME]]&amp;"_"&amp;Table132[[#This Row],[PARAM_NAME]]&amp;IF(Table132[[#This Row],[PARAM_SUB]]="","","_"&amp;Table132[[#This Row],[PARAM_SUB]]))</f>
        <v>ev_mevCodeA_14</v>
      </c>
      <c r="N363" s="1" t="s">
        <v>262</v>
      </c>
      <c r="O363" s="1" t="s">
        <v>452</v>
      </c>
      <c r="P363" s="6" t="s">
        <v>277</v>
      </c>
      <c r="Q363" s="20" t="str">
        <f>DEC2HEX(HEX2DEC(Table132[[#This Row],[Index]])/4+Table132[[#This Row],[PARAM_SUB]],4)</f>
        <v>040E</v>
      </c>
      <c r="R363" s="6" t="s">
        <v>363</v>
      </c>
      <c r="S363" s="1" t="s">
        <v>254</v>
      </c>
      <c r="T363" s="16">
        <v>0</v>
      </c>
      <c r="U363" s="6" t="s">
        <v>363</v>
      </c>
      <c r="X363" s="11">
        <f>IF(Table132[[#This Row],[template]]="","",VLOOKUP(Table132[[#This Row],[IP_NAME]],Table511175[],2,FALSE))</f>
        <v>1</v>
      </c>
      <c r="Y363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>01000</v>
      </c>
      <c r="Z363" s="14">
        <f>IF(Table132[[#This Row],[template]]="","",HEX2DEC(Table132[[#This Row],[Addr_Hex]]))</f>
        <v>1038</v>
      </c>
    </row>
    <row r="364" spans="2:26" x14ac:dyDescent="0.3">
      <c r="B364" s="4">
        <v>1000</v>
      </c>
      <c r="C364" s="4" t="s">
        <v>233</v>
      </c>
      <c r="D364" s="9" t="str">
        <f>UPPER(Table132[[#This Row],[SIGNAL]])</f>
        <v>EV_MEVCODEA_15</v>
      </c>
      <c r="E364" s="9" t="str">
        <f>IF(Table132[[#This Row],[template]]="","","0x"&amp;Table132[[#This Row],[IP_Index]]&amp;DEC2HEX(Table132[[#This Row],[Addr_Dec]]*4,7))</f>
        <v>0x1000103C</v>
      </c>
      <c r="F364" s="9" t="str">
        <f>IF(Table132[[#This Row],[template]]="","",VLOOKUP(Table132[[#This Row],[template]],Table29153[],2,FALSE))</f>
        <v>asynParamInt32</v>
      </c>
      <c r="G364" s="18" t="str">
        <f>IF(Table132[[#This Row],[template]]="","","1")</f>
        <v>1</v>
      </c>
      <c r="H364" s="10" t="s">
        <v>267</v>
      </c>
      <c r="I364" s="13" t="str">
        <f>IF(Table132[[#This Row],[template]]="","","0x"&amp;Table132[[#This Row],[D_Index]]&amp;"000")</f>
        <v>0x01000000</v>
      </c>
      <c r="J364" s="18" t="s">
        <v>342</v>
      </c>
      <c r="K364" s="10">
        <v>0</v>
      </c>
      <c r="L364" s="11"/>
      <c r="M364" s="9" t="str">
        <f>IF(Table132[[#This Row],[template]]="","",Table132[[#This Row],[IP_NAME]]&amp;"_"&amp;Table132[[#This Row],[PARAM_NAME]]&amp;IF(Table132[[#This Row],[PARAM_SUB]]="","","_"&amp;Table132[[#This Row],[PARAM_SUB]]))</f>
        <v>ev_mevCodeA_15</v>
      </c>
      <c r="N364" s="1" t="s">
        <v>262</v>
      </c>
      <c r="O364" s="1" t="s">
        <v>452</v>
      </c>
      <c r="P364" s="6" t="s">
        <v>278</v>
      </c>
      <c r="Q364" s="20" t="str">
        <f>DEC2HEX(HEX2DEC(Table132[[#This Row],[Index]])/4+Table132[[#This Row],[PARAM_SUB]],4)</f>
        <v>040F</v>
      </c>
      <c r="R364" s="6" t="s">
        <v>363</v>
      </c>
      <c r="S364" s="1" t="s">
        <v>254</v>
      </c>
      <c r="T364" s="16">
        <v>0</v>
      </c>
      <c r="U364" s="6" t="s">
        <v>363</v>
      </c>
      <c r="X364" s="11">
        <f>IF(Table132[[#This Row],[template]]="","",VLOOKUP(Table132[[#This Row],[IP_NAME]],Table511175[],2,FALSE))</f>
        <v>1</v>
      </c>
      <c r="Y364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>01000</v>
      </c>
      <c r="Z364" s="14">
        <f>IF(Table132[[#This Row],[template]]="","",HEX2DEC(Table132[[#This Row],[Addr_Hex]]))</f>
        <v>1039</v>
      </c>
    </row>
    <row r="365" spans="2:26" x14ac:dyDescent="0.3">
      <c r="B365" s="4">
        <v>1000</v>
      </c>
      <c r="C365" s="4" t="s">
        <v>233</v>
      </c>
      <c r="D365" s="9" t="str">
        <f>UPPER(Table132[[#This Row],[SIGNAL]])</f>
        <v>EV_MEVCODEA_16</v>
      </c>
      <c r="E365" s="9" t="str">
        <f>IF(Table132[[#This Row],[template]]="","","0x"&amp;Table132[[#This Row],[IP_Index]]&amp;DEC2HEX(Table132[[#This Row],[Addr_Dec]]*4,7))</f>
        <v>0x10001040</v>
      </c>
      <c r="F365" s="9" t="str">
        <f>IF(Table132[[#This Row],[template]]="","",VLOOKUP(Table132[[#This Row],[template]],Table29153[],2,FALSE))</f>
        <v>asynParamInt32</v>
      </c>
      <c r="G365" s="18" t="str">
        <f>IF(Table132[[#This Row],[template]]="","","1")</f>
        <v>1</v>
      </c>
      <c r="H365" s="10" t="s">
        <v>267</v>
      </c>
      <c r="I365" s="13" t="str">
        <f>IF(Table132[[#This Row],[template]]="","","0x"&amp;Table132[[#This Row],[D_Index]]&amp;"000")</f>
        <v>0x01000000</v>
      </c>
      <c r="J365" s="18" t="s">
        <v>342</v>
      </c>
      <c r="K365" s="10">
        <v>0</v>
      </c>
      <c r="L365" s="11"/>
      <c r="M365" s="9" t="str">
        <f>IF(Table132[[#This Row],[template]]="","",Table132[[#This Row],[IP_NAME]]&amp;"_"&amp;Table132[[#This Row],[PARAM_NAME]]&amp;IF(Table132[[#This Row],[PARAM_SUB]]="","","_"&amp;Table132[[#This Row],[PARAM_SUB]]))</f>
        <v>ev_mevCodeA_16</v>
      </c>
      <c r="N365" s="1" t="s">
        <v>262</v>
      </c>
      <c r="O365" s="1" t="s">
        <v>452</v>
      </c>
      <c r="P365" s="6" t="s">
        <v>279</v>
      </c>
      <c r="Q365" s="20" t="str">
        <f>DEC2HEX(HEX2DEC(Table132[[#This Row],[Index]])/4+Table132[[#This Row],[PARAM_SUB]],4)</f>
        <v>0410</v>
      </c>
      <c r="R365" s="6" t="s">
        <v>363</v>
      </c>
      <c r="S365" s="1" t="s">
        <v>254</v>
      </c>
      <c r="T365" s="16">
        <v>0</v>
      </c>
      <c r="U365" s="6" t="s">
        <v>363</v>
      </c>
      <c r="X365" s="11">
        <f>IF(Table132[[#This Row],[template]]="","",VLOOKUP(Table132[[#This Row],[IP_NAME]],Table511175[],2,FALSE))</f>
        <v>1</v>
      </c>
      <c r="Y365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>01000</v>
      </c>
      <c r="Z365" s="14">
        <f>IF(Table132[[#This Row],[template]]="","",HEX2DEC(Table132[[#This Row],[Addr_Hex]]))</f>
        <v>1040</v>
      </c>
    </row>
    <row r="366" spans="2:26" x14ac:dyDescent="0.3">
      <c r="B366" s="4">
        <v>1000</v>
      </c>
      <c r="C366" s="4" t="s">
        <v>233</v>
      </c>
      <c r="D366" s="9" t="str">
        <f>UPPER(Table132[[#This Row],[SIGNAL]])</f>
        <v>EV_MEVCODEA_17</v>
      </c>
      <c r="E366" s="9" t="str">
        <f>IF(Table132[[#This Row],[template]]="","","0x"&amp;Table132[[#This Row],[IP_Index]]&amp;DEC2HEX(Table132[[#This Row],[Addr_Dec]]*4,7))</f>
        <v>0x10001044</v>
      </c>
      <c r="F366" s="9" t="str">
        <f>IF(Table132[[#This Row],[template]]="","",VLOOKUP(Table132[[#This Row],[template]],Table29153[],2,FALSE))</f>
        <v>asynParamInt32</v>
      </c>
      <c r="G366" s="18" t="str">
        <f>IF(Table132[[#This Row],[template]]="","","1")</f>
        <v>1</v>
      </c>
      <c r="H366" s="10" t="s">
        <v>267</v>
      </c>
      <c r="I366" s="13" t="str">
        <f>IF(Table132[[#This Row],[template]]="","","0x"&amp;Table132[[#This Row],[D_Index]]&amp;"000")</f>
        <v>0x01000000</v>
      </c>
      <c r="J366" s="18" t="s">
        <v>342</v>
      </c>
      <c r="K366" s="10">
        <v>0</v>
      </c>
      <c r="L366" s="11"/>
      <c r="M366" s="9" t="str">
        <f>IF(Table132[[#This Row],[template]]="","",Table132[[#This Row],[IP_NAME]]&amp;"_"&amp;Table132[[#This Row],[PARAM_NAME]]&amp;IF(Table132[[#This Row],[PARAM_SUB]]="","","_"&amp;Table132[[#This Row],[PARAM_SUB]]))</f>
        <v>ev_mevCodeA_17</v>
      </c>
      <c r="N366" s="1" t="s">
        <v>262</v>
      </c>
      <c r="O366" s="1" t="s">
        <v>452</v>
      </c>
      <c r="P366" s="6" t="s">
        <v>280</v>
      </c>
      <c r="Q366" s="20" t="str">
        <f>DEC2HEX(HEX2DEC(Table132[[#This Row],[Index]])/4+Table132[[#This Row],[PARAM_SUB]],4)</f>
        <v>0411</v>
      </c>
      <c r="R366" s="6" t="s">
        <v>363</v>
      </c>
      <c r="S366" s="1" t="s">
        <v>254</v>
      </c>
      <c r="T366" s="16">
        <v>0</v>
      </c>
      <c r="U366" s="6" t="s">
        <v>363</v>
      </c>
      <c r="X366" s="11">
        <f>IF(Table132[[#This Row],[template]]="","",VLOOKUP(Table132[[#This Row],[IP_NAME]],Table511175[],2,FALSE))</f>
        <v>1</v>
      </c>
      <c r="Y366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>01000</v>
      </c>
      <c r="Z366" s="14">
        <f>IF(Table132[[#This Row],[template]]="","",HEX2DEC(Table132[[#This Row],[Addr_Hex]]))</f>
        <v>1041</v>
      </c>
    </row>
    <row r="367" spans="2:26" x14ac:dyDescent="0.3">
      <c r="B367" s="4">
        <v>1000</v>
      </c>
      <c r="C367" s="4" t="s">
        <v>233</v>
      </c>
      <c r="D367" s="9" t="str">
        <f>UPPER(Table132[[#This Row],[SIGNAL]])</f>
        <v>EV_MEVCODEA_18</v>
      </c>
      <c r="E367" s="9" t="str">
        <f>IF(Table132[[#This Row],[template]]="","","0x"&amp;Table132[[#This Row],[IP_Index]]&amp;DEC2HEX(Table132[[#This Row],[Addr_Dec]]*4,7))</f>
        <v>0x10001048</v>
      </c>
      <c r="F367" s="9" t="str">
        <f>IF(Table132[[#This Row],[template]]="","",VLOOKUP(Table132[[#This Row],[template]],Table29153[],2,FALSE))</f>
        <v>asynParamInt32</v>
      </c>
      <c r="G367" s="18" t="str">
        <f>IF(Table132[[#This Row],[template]]="","","1")</f>
        <v>1</v>
      </c>
      <c r="H367" s="10" t="s">
        <v>267</v>
      </c>
      <c r="I367" s="13" t="str">
        <f>IF(Table132[[#This Row],[template]]="","","0x"&amp;Table132[[#This Row],[D_Index]]&amp;"000")</f>
        <v>0x01000000</v>
      </c>
      <c r="J367" s="18" t="s">
        <v>342</v>
      </c>
      <c r="K367" s="10">
        <v>0</v>
      </c>
      <c r="L367" s="11"/>
      <c r="M367" s="9" t="str">
        <f>IF(Table132[[#This Row],[template]]="","",Table132[[#This Row],[IP_NAME]]&amp;"_"&amp;Table132[[#This Row],[PARAM_NAME]]&amp;IF(Table132[[#This Row],[PARAM_SUB]]="","","_"&amp;Table132[[#This Row],[PARAM_SUB]]))</f>
        <v>ev_mevCodeA_18</v>
      </c>
      <c r="N367" s="1" t="s">
        <v>262</v>
      </c>
      <c r="O367" s="1" t="s">
        <v>452</v>
      </c>
      <c r="P367" s="6" t="s">
        <v>281</v>
      </c>
      <c r="Q367" s="20" t="str">
        <f>DEC2HEX(HEX2DEC(Table132[[#This Row],[Index]])/4+Table132[[#This Row],[PARAM_SUB]],4)</f>
        <v>0412</v>
      </c>
      <c r="R367" s="6" t="s">
        <v>363</v>
      </c>
      <c r="S367" s="1" t="s">
        <v>254</v>
      </c>
      <c r="T367" s="16">
        <v>0</v>
      </c>
      <c r="U367" s="6" t="s">
        <v>363</v>
      </c>
      <c r="X367" s="11">
        <f>IF(Table132[[#This Row],[template]]="","",VLOOKUP(Table132[[#This Row],[IP_NAME]],Table511175[],2,FALSE))</f>
        <v>1</v>
      </c>
      <c r="Y367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>01000</v>
      </c>
      <c r="Z367" s="14">
        <f>IF(Table132[[#This Row],[template]]="","",HEX2DEC(Table132[[#This Row],[Addr_Hex]]))</f>
        <v>1042</v>
      </c>
    </row>
    <row r="368" spans="2:26" x14ac:dyDescent="0.3">
      <c r="B368" s="4">
        <v>1000</v>
      </c>
      <c r="C368" s="4" t="s">
        <v>233</v>
      </c>
      <c r="D368" s="9" t="str">
        <f>UPPER(Table132[[#This Row],[SIGNAL]])</f>
        <v>EV_MEVCODEA_19</v>
      </c>
      <c r="E368" s="9" t="str">
        <f>IF(Table132[[#This Row],[template]]="","","0x"&amp;Table132[[#This Row],[IP_Index]]&amp;DEC2HEX(Table132[[#This Row],[Addr_Dec]]*4,7))</f>
        <v>0x1000104C</v>
      </c>
      <c r="F368" s="9" t="str">
        <f>IF(Table132[[#This Row],[template]]="","",VLOOKUP(Table132[[#This Row],[template]],Table29153[],2,FALSE))</f>
        <v>asynParamInt32</v>
      </c>
      <c r="G368" s="18" t="str">
        <f>IF(Table132[[#This Row],[template]]="","","1")</f>
        <v>1</v>
      </c>
      <c r="H368" s="10" t="s">
        <v>267</v>
      </c>
      <c r="I368" s="13" t="str">
        <f>IF(Table132[[#This Row],[template]]="","","0x"&amp;Table132[[#This Row],[D_Index]]&amp;"000")</f>
        <v>0x01000000</v>
      </c>
      <c r="J368" s="18" t="s">
        <v>342</v>
      </c>
      <c r="K368" s="10">
        <v>0</v>
      </c>
      <c r="L368" s="11"/>
      <c r="M368" s="9" t="str">
        <f>IF(Table132[[#This Row],[template]]="","",Table132[[#This Row],[IP_NAME]]&amp;"_"&amp;Table132[[#This Row],[PARAM_NAME]]&amp;IF(Table132[[#This Row],[PARAM_SUB]]="","","_"&amp;Table132[[#This Row],[PARAM_SUB]]))</f>
        <v>ev_mevCodeA_19</v>
      </c>
      <c r="N368" s="1" t="s">
        <v>262</v>
      </c>
      <c r="O368" s="1" t="s">
        <v>452</v>
      </c>
      <c r="P368" s="6" t="s">
        <v>282</v>
      </c>
      <c r="Q368" s="20" t="str">
        <f>DEC2HEX(HEX2DEC(Table132[[#This Row],[Index]])/4+Table132[[#This Row],[PARAM_SUB]],4)</f>
        <v>0413</v>
      </c>
      <c r="R368" s="6" t="s">
        <v>363</v>
      </c>
      <c r="S368" s="1" t="s">
        <v>254</v>
      </c>
      <c r="T368" s="16">
        <v>0</v>
      </c>
      <c r="U368" s="6" t="s">
        <v>363</v>
      </c>
      <c r="X368" s="11">
        <f>IF(Table132[[#This Row],[template]]="","",VLOOKUP(Table132[[#This Row],[IP_NAME]],Table511175[],2,FALSE))</f>
        <v>1</v>
      </c>
      <c r="Y368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>01000</v>
      </c>
      <c r="Z368" s="14">
        <f>IF(Table132[[#This Row],[template]]="","",HEX2DEC(Table132[[#This Row],[Addr_Hex]]))</f>
        <v>1043</v>
      </c>
    </row>
    <row r="369" spans="2:26" x14ac:dyDescent="0.3">
      <c r="B369" s="4">
        <v>1000</v>
      </c>
      <c r="C369" s="4" t="s">
        <v>233</v>
      </c>
      <c r="D369" s="9" t="str">
        <f>UPPER(Table132[[#This Row],[SIGNAL]])</f>
        <v>EV_MEVCODEA_20</v>
      </c>
      <c r="E369" s="9" t="str">
        <f>IF(Table132[[#This Row],[template]]="","","0x"&amp;Table132[[#This Row],[IP_Index]]&amp;DEC2HEX(Table132[[#This Row],[Addr_Dec]]*4,7))</f>
        <v>0x10001050</v>
      </c>
      <c r="F369" s="9" t="str">
        <f>IF(Table132[[#This Row],[template]]="","",VLOOKUP(Table132[[#This Row],[template]],Table29153[],2,FALSE))</f>
        <v>asynParamInt32</v>
      </c>
      <c r="G369" s="18" t="str">
        <f>IF(Table132[[#This Row],[template]]="","","1")</f>
        <v>1</v>
      </c>
      <c r="H369" s="10" t="s">
        <v>267</v>
      </c>
      <c r="I369" s="13" t="str">
        <f>IF(Table132[[#This Row],[template]]="","","0x"&amp;Table132[[#This Row],[D_Index]]&amp;"000")</f>
        <v>0x01000000</v>
      </c>
      <c r="J369" s="18" t="s">
        <v>342</v>
      </c>
      <c r="K369" s="10">
        <v>0</v>
      </c>
      <c r="L369" s="11"/>
      <c r="M369" s="9" t="str">
        <f>IF(Table132[[#This Row],[template]]="","",Table132[[#This Row],[IP_NAME]]&amp;"_"&amp;Table132[[#This Row],[PARAM_NAME]]&amp;IF(Table132[[#This Row],[PARAM_SUB]]="","","_"&amp;Table132[[#This Row],[PARAM_SUB]]))</f>
        <v>ev_mevCodeA_20</v>
      </c>
      <c r="N369" s="1" t="s">
        <v>262</v>
      </c>
      <c r="O369" s="1" t="s">
        <v>452</v>
      </c>
      <c r="P369" s="6" t="s">
        <v>283</v>
      </c>
      <c r="Q369" s="20" t="str">
        <f>DEC2HEX(HEX2DEC(Table132[[#This Row],[Index]])/4+Table132[[#This Row],[PARAM_SUB]],4)</f>
        <v>0414</v>
      </c>
      <c r="R369" s="6" t="s">
        <v>363</v>
      </c>
      <c r="S369" s="1" t="s">
        <v>254</v>
      </c>
      <c r="T369" s="16">
        <v>0</v>
      </c>
      <c r="U369" s="6" t="s">
        <v>363</v>
      </c>
      <c r="X369" s="11">
        <f>IF(Table132[[#This Row],[template]]="","",VLOOKUP(Table132[[#This Row],[IP_NAME]],Table511175[],2,FALSE))</f>
        <v>1</v>
      </c>
      <c r="Y369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>01000</v>
      </c>
      <c r="Z369" s="14">
        <f>IF(Table132[[#This Row],[template]]="","",HEX2DEC(Table132[[#This Row],[Addr_Hex]]))</f>
        <v>1044</v>
      </c>
    </row>
    <row r="370" spans="2:26" x14ac:dyDescent="0.3">
      <c r="B370" s="4">
        <v>1000</v>
      </c>
      <c r="C370" s="4" t="s">
        <v>233</v>
      </c>
      <c r="D370" s="9" t="str">
        <f>UPPER(Table132[[#This Row],[SIGNAL]])</f>
        <v>EV_MEVCODEA_21</v>
      </c>
      <c r="E370" s="9" t="str">
        <f>IF(Table132[[#This Row],[template]]="","","0x"&amp;Table132[[#This Row],[IP_Index]]&amp;DEC2HEX(Table132[[#This Row],[Addr_Dec]]*4,7))</f>
        <v>0x10001054</v>
      </c>
      <c r="F370" s="9" t="str">
        <f>IF(Table132[[#This Row],[template]]="","",VLOOKUP(Table132[[#This Row],[template]],Table29153[],2,FALSE))</f>
        <v>asynParamInt32</v>
      </c>
      <c r="G370" s="18" t="str">
        <f>IF(Table132[[#This Row],[template]]="","","1")</f>
        <v>1</v>
      </c>
      <c r="H370" s="10" t="s">
        <v>267</v>
      </c>
      <c r="I370" s="13" t="str">
        <f>IF(Table132[[#This Row],[template]]="","","0x"&amp;Table132[[#This Row],[D_Index]]&amp;"000")</f>
        <v>0x01000000</v>
      </c>
      <c r="J370" s="18" t="s">
        <v>342</v>
      </c>
      <c r="K370" s="10">
        <v>0</v>
      </c>
      <c r="L370" s="11"/>
      <c r="M370" s="9" t="str">
        <f>IF(Table132[[#This Row],[template]]="","",Table132[[#This Row],[IP_NAME]]&amp;"_"&amp;Table132[[#This Row],[PARAM_NAME]]&amp;IF(Table132[[#This Row],[PARAM_SUB]]="","","_"&amp;Table132[[#This Row],[PARAM_SUB]]))</f>
        <v>ev_mevCodeA_21</v>
      </c>
      <c r="N370" s="1" t="s">
        <v>262</v>
      </c>
      <c r="O370" s="1" t="s">
        <v>452</v>
      </c>
      <c r="P370" s="6" t="s">
        <v>284</v>
      </c>
      <c r="Q370" s="20" t="str">
        <f>DEC2HEX(HEX2DEC(Table132[[#This Row],[Index]])/4+Table132[[#This Row],[PARAM_SUB]],4)</f>
        <v>0415</v>
      </c>
      <c r="R370" s="6" t="s">
        <v>363</v>
      </c>
      <c r="S370" s="1" t="s">
        <v>254</v>
      </c>
      <c r="T370" s="16">
        <v>0</v>
      </c>
      <c r="U370" s="6" t="s">
        <v>363</v>
      </c>
      <c r="X370" s="11">
        <f>IF(Table132[[#This Row],[template]]="","",VLOOKUP(Table132[[#This Row],[IP_NAME]],Table511175[],2,FALSE))</f>
        <v>1</v>
      </c>
      <c r="Y370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>01000</v>
      </c>
      <c r="Z370" s="14">
        <f>IF(Table132[[#This Row],[template]]="","",HEX2DEC(Table132[[#This Row],[Addr_Hex]]))</f>
        <v>1045</v>
      </c>
    </row>
    <row r="371" spans="2:26" x14ac:dyDescent="0.3">
      <c r="B371" s="4">
        <v>1000</v>
      </c>
      <c r="C371" s="4" t="s">
        <v>233</v>
      </c>
      <c r="D371" s="9" t="str">
        <f>UPPER(Table132[[#This Row],[SIGNAL]])</f>
        <v>EV_MEVCODEA_22</v>
      </c>
      <c r="E371" s="9" t="str">
        <f>IF(Table132[[#This Row],[template]]="","","0x"&amp;Table132[[#This Row],[IP_Index]]&amp;DEC2HEX(Table132[[#This Row],[Addr_Dec]]*4,7))</f>
        <v>0x10001058</v>
      </c>
      <c r="F371" s="9" t="str">
        <f>IF(Table132[[#This Row],[template]]="","",VLOOKUP(Table132[[#This Row],[template]],Table29153[],2,FALSE))</f>
        <v>asynParamInt32</v>
      </c>
      <c r="G371" s="18" t="str">
        <f>IF(Table132[[#This Row],[template]]="","","1")</f>
        <v>1</v>
      </c>
      <c r="H371" s="10" t="s">
        <v>267</v>
      </c>
      <c r="I371" s="13" t="str">
        <f>IF(Table132[[#This Row],[template]]="","","0x"&amp;Table132[[#This Row],[D_Index]]&amp;"000")</f>
        <v>0x01000000</v>
      </c>
      <c r="J371" s="18" t="s">
        <v>342</v>
      </c>
      <c r="K371" s="10">
        <v>0</v>
      </c>
      <c r="L371" s="11"/>
      <c r="M371" s="9" t="str">
        <f>IF(Table132[[#This Row],[template]]="","",Table132[[#This Row],[IP_NAME]]&amp;"_"&amp;Table132[[#This Row],[PARAM_NAME]]&amp;IF(Table132[[#This Row],[PARAM_SUB]]="","","_"&amp;Table132[[#This Row],[PARAM_SUB]]))</f>
        <v>ev_mevCodeA_22</v>
      </c>
      <c r="N371" s="1" t="s">
        <v>262</v>
      </c>
      <c r="O371" s="1" t="s">
        <v>452</v>
      </c>
      <c r="P371" s="6" t="s">
        <v>285</v>
      </c>
      <c r="Q371" s="20" t="str">
        <f>DEC2HEX(HEX2DEC(Table132[[#This Row],[Index]])/4+Table132[[#This Row],[PARAM_SUB]],4)</f>
        <v>0416</v>
      </c>
      <c r="R371" s="6" t="s">
        <v>363</v>
      </c>
      <c r="S371" s="1" t="s">
        <v>254</v>
      </c>
      <c r="T371" s="16">
        <v>0</v>
      </c>
      <c r="U371" s="6" t="s">
        <v>363</v>
      </c>
      <c r="X371" s="11">
        <f>IF(Table132[[#This Row],[template]]="","",VLOOKUP(Table132[[#This Row],[IP_NAME]],Table511175[],2,FALSE))</f>
        <v>1</v>
      </c>
      <c r="Y371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>01000</v>
      </c>
      <c r="Z371" s="14">
        <f>IF(Table132[[#This Row],[template]]="","",HEX2DEC(Table132[[#This Row],[Addr_Hex]]))</f>
        <v>1046</v>
      </c>
    </row>
    <row r="372" spans="2:26" x14ac:dyDescent="0.3">
      <c r="B372" s="4">
        <v>1000</v>
      </c>
      <c r="C372" s="4" t="s">
        <v>233</v>
      </c>
      <c r="D372" s="9" t="str">
        <f>UPPER(Table132[[#This Row],[SIGNAL]])</f>
        <v>EV_MEVCODEA_23</v>
      </c>
      <c r="E372" s="9" t="str">
        <f>IF(Table132[[#This Row],[template]]="","","0x"&amp;Table132[[#This Row],[IP_Index]]&amp;DEC2HEX(Table132[[#This Row],[Addr_Dec]]*4,7))</f>
        <v>0x1000105C</v>
      </c>
      <c r="F372" s="9" t="str">
        <f>IF(Table132[[#This Row],[template]]="","",VLOOKUP(Table132[[#This Row],[template]],Table29153[],2,FALSE))</f>
        <v>asynParamInt32</v>
      </c>
      <c r="G372" s="18" t="str">
        <f>IF(Table132[[#This Row],[template]]="","","1")</f>
        <v>1</v>
      </c>
      <c r="H372" s="10" t="s">
        <v>267</v>
      </c>
      <c r="I372" s="13" t="str">
        <f>IF(Table132[[#This Row],[template]]="","","0x"&amp;Table132[[#This Row],[D_Index]]&amp;"000")</f>
        <v>0x01000000</v>
      </c>
      <c r="J372" s="18" t="s">
        <v>342</v>
      </c>
      <c r="K372" s="10">
        <v>0</v>
      </c>
      <c r="L372" s="11"/>
      <c r="M372" s="9" t="str">
        <f>IF(Table132[[#This Row],[template]]="","",Table132[[#This Row],[IP_NAME]]&amp;"_"&amp;Table132[[#This Row],[PARAM_NAME]]&amp;IF(Table132[[#This Row],[PARAM_SUB]]="","","_"&amp;Table132[[#This Row],[PARAM_SUB]]))</f>
        <v>ev_mevCodeA_23</v>
      </c>
      <c r="N372" s="1" t="s">
        <v>262</v>
      </c>
      <c r="O372" s="1" t="s">
        <v>452</v>
      </c>
      <c r="P372" s="6" t="s">
        <v>286</v>
      </c>
      <c r="Q372" s="20" t="str">
        <f>DEC2HEX(HEX2DEC(Table132[[#This Row],[Index]])/4+Table132[[#This Row],[PARAM_SUB]],4)</f>
        <v>0417</v>
      </c>
      <c r="R372" s="6" t="s">
        <v>363</v>
      </c>
      <c r="S372" s="1" t="s">
        <v>254</v>
      </c>
      <c r="T372" s="16">
        <v>0</v>
      </c>
      <c r="U372" s="6" t="s">
        <v>363</v>
      </c>
      <c r="X372" s="11">
        <f>IF(Table132[[#This Row],[template]]="","",VLOOKUP(Table132[[#This Row],[IP_NAME]],Table511175[],2,FALSE))</f>
        <v>1</v>
      </c>
      <c r="Y372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>01000</v>
      </c>
      <c r="Z372" s="14">
        <f>IF(Table132[[#This Row],[template]]="","",HEX2DEC(Table132[[#This Row],[Addr_Hex]]))</f>
        <v>1047</v>
      </c>
    </row>
    <row r="373" spans="2:26" x14ac:dyDescent="0.3">
      <c r="B373" s="4">
        <v>1000</v>
      </c>
      <c r="C373" s="4" t="s">
        <v>233</v>
      </c>
      <c r="D373" s="9" t="str">
        <f>UPPER(Table132[[#This Row],[SIGNAL]])</f>
        <v>EV_MEVCODEA_24</v>
      </c>
      <c r="E373" s="9" t="str">
        <f>IF(Table132[[#This Row],[template]]="","","0x"&amp;Table132[[#This Row],[IP_Index]]&amp;DEC2HEX(Table132[[#This Row],[Addr_Dec]]*4,7))</f>
        <v>0x10001060</v>
      </c>
      <c r="F373" s="9" t="str">
        <f>IF(Table132[[#This Row],[template]]="","",VLOOKUP(Table132[[#This Row],[template]],Table29153[],2,FALSE))</f>
        <v>asynParamInt32</v>
      </c>
      <c r="G373" s="18" t="str">
        <f>IF(Table132[[#This Row],[template]]="","","1")</f>
        <v>1</v>
      </c>
      <c r="H373" s="10" t="s">
        <v>267</v>
      </c>
      <c r="I373" s="13" t="str">
        <f>IF(Table132[[#This Row],[template]]="","","0x"&amp;Table132[[#This Row],[D_Index]]&amp;"000")</f>
        <v>0x01000000</v>
      </c>
      <c r="J373" s="18" t="s">
        <v>342</v>
      </c>
      <c r="K373" s="10">
        <v>0</v>
      </c>
      <c r="L373" s="11"/>
      <c r="M373" s="9" t="str">
        <f>IF(Table132[[#This Row],[template]]="","",Table132[[#This Row],[IP_NAME]]&amp;"_"&amp;Table132[[#This Row],[PARAM_NAME]]&amp;IF(Table132[[#This Row],[PARAM_SUB]]="","","_"&amp;Table132[[#This Row],[PARAM_SUB]]))</f>
        <v>ev_mevCodeA_24</v>
      </c>
      <c r="N373" s="1" t="s">
        <v>262</v>
      </c>
      <c r="O373" s="1" t="s">
        <v>452</v>
      </c>
      <c r="P373" s="6" t="s">
        <v>287</v>
      </c>
      <c r="Q373" s="20" t="str">
        <f>DEC2HEX(HEX2DEC(Table132[[#This Row],[Index]])/4+Table132[[#This Row],[PARAM_SUB]],4)</f>
        <v>0418</v>
      </c>
      <c r="R373" s="6" t="s">
        <v>363</v>
      </c>
      <c r="S373" s="1" t="s">
        <v>254</v>
      </c>
      <c r="T373" s="16">
        <v>0</v>
      </c>
      <c r="U373" s="6" t="s">
        <v>363</v>
      </c>
      <c r="X373" s="11">
        <f>IF(Table132[[#This Row],[template]]="","",VLOOKUP(Table132[[#This Row],[IP_NAME]],Table511175[],2,FALSE))</f>
        <v>1</v>
      </c>
      <c r="Y373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>01000</v>
      </c>
      <c r="Z373" s="14">
        <f>IF(Table132[[#This Row],[template]]="","",HEX2DEC(Table132[[#This Row],[Addr_Hex]]))</f>
        <v>1048</v>
      </c>
    </row>
    <row r="374" spans="2:26" x14ac:dyDescent="0.3">
      <c r="B374" s="4">
        <v>1000</v>
      </c>
      <c r="C374" s="4" t="s">
        <v>233</v>
      </c>
      <c r="D374" s="9" t="str">
        <f>UPPER(Table132[[#This Row],[SIGNAL]])</f>
        <v>EV_MEVCODEA_25</v>
      </c>
      <c r="E374" s="9" t="str">
        <f>IF(Table132[[#This Row],[template]]="","","0x"&amp;Table132[[#This Row],[IP_Index]]&amp;DEC2HEX(Table132[[#This Row],[Addr_Dec]]*4,7))</f>
        <v>0x10001064</v>
      </c>
      <c r="F374" s="9" t="str">
        <f>IF(Table132[[#This Row],[template]]="","",VLOOKUP(Table132[[#This Row],[template]],Table29153[],2,FALSE))</f>
        <v>asynParamInt32</v>
      </c>
      <c r="G374" s="18" t="str">
        <f>IF(Table132[[#This Row],[template]]="","","1")</f>
        <v>1</v>
      </c>
      <c r="H374" s="10" t="s">
        <v>267</v>
      </c>
      <c r="I374" s="13" t="str">
        <f>IF(Table132[[#This Row],[template]]="","","0x"&amp;Table132[[#This Row],[D_Index]]&amp;"000")</f>
        <v>0x01000000</v>
      </c>
      <c r="J374" s="18" t="s">
        <v>342</v>
      </c>
      <c r="K374" s="10">
        <v>0</v>
      </c>
      <c r="L374" s="11"/>
      <c r="M374" s="9" t="str">
        <f>IF(Table132[[#This Row],[template]]="","",Table132[[#This Row],[IP_NAME]]&amp;"_"&amp;Table132[[#This Row],[PARAM_NAME]]&amp;IF(Table132[[#This Row],[PARAM_SUB]]="","","_"&amp;Table132[[#This Row],[PARAM_SUB]]))</f>
        <v>ev_mevCodeA_25</v>
      </c>
      <c r="N374" s="1" t="s">
        <v>262</v>
      </c>
      <c r="O374" s="1" t="s">
        <v>452</v>
      </c>
      <c r="P374" s="6" t="s">
        <v>288</v>
      </c>
      <c r="Q374" s="20" t="str">
        <f>DEC2HEX(HEX2DEC(Table132[[#This Row],[Index]])/4+Table132[[#This Row],[PARAM_SUB]],4)</f>
        <v>0419</v>
      </c>
      <c r="R374" s="6" t="s">
        <v>363</v>
      </c>
      <c r="S374" s="1" t="s">
        <v>254</v>
      </c>
      <c r="T374" s="16">
        <v>0</v>
      </c>
      <c r="U374" s="6" t="s">
        <v>363</v>
      </c>
      <c r="X374" s="11">
        <f>IF(Table132[[#This Row],[template]]="","",VLOOKUP(Table132[[#This Row],[IP_NAME]],Table511175[],2,FALSE))</f>
        <v>1</v>
      </c>
      <c r="Y374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>01000</v>
      </c>
      <c r="Z374" s="14">
        <f>IF(Table132[[#This Row],[template]]="","",HEX2DEC(Table132[[#This Row],[Addr_Hex]]))</f>
        <v>1049</v>
      </c>
    </row>
    <row r="375" spans="2:26" x14ac:dyDescent="0.3">
      <c r="B375" s="4">
        <v>1000</v>
      </c>
      <c r="C375" s="4" t="s">
        <v>233</v>
      </c>
      <c r="D375" s="9" t="str">
        <f>UPPER(Table132[[#This Row],[SIGNAL]])</f>
        <v>EV_MEVCODEA_26</v>
      </c>
      <c r="E375" s="9" t="str">
        <f>IF(Table132[[#This Row],[template]]="","","0x"&amp;Table132[[#This Row],[IP_Index]]&amp;DEC2HEX(Table132[[#This Row],[Addr_Dec]]*4,7))</f>
        <v>0x10001068</v>
      </c>
      <c r="F375" s="9" t="str">
        <f>IF(Table132[[#This Row],[template]]="","",VLOOKUP(Table132[[#This Row],[template]],Table29153[],2,FALSE))</f>
        <v>asynParamInt32</v>
      </c>
      <c r="G375" s="18" t="str">
        <f>IF(Table132[[#This Row],[template]]="","","1")</f>
        <v>1</v>
      </c>
      <c r="H375" s="10" t="s">
        <v>267</v>
      </c>
      <c r="I375" s="13" t="str">
        <f>IF(Table132[[#This Row],[template]]="","","0x"&amp;Table132[[#This Row],[D_Index]]&amp;"000")</f>
        <v>0x01000000</v>
      </c>
      <c r="J375" s="18" t="s">
        <v>342</v>
      </c>
      <c r="K375" s="10">
        <v>0</v>
      </c>
      <c r="L375" s="11"/>
      <c r="M375" s="9" t="str">
        <f>IF(Table132[[#This Row],[template]]="","",Table132[[#This Row],[IP_NAME]]&amp;"_"&amp;Table132[[#This Row],[PARAM_NAME]]&amp;IF(Table132[[#This Row],[PARAM_SUB]]="","","_"&amp;Table132[[#This Row],[PARAM_SUB]]))</f>
        <v>ev_mevCodeA_26</v>
      </c>
      <c r="N375" s="1" t="s">
        <v>262</v>
      </c>
      <c r="O375" s="1" t="s">
        <v>452</v>
      </c>
      <c r="P375" s="6" t="s">
        <v>289</v>
      </c>
      <c r="Q375" s="20" t="str">
        <f>DEC2HEX(HEX2DEC(Table132[[#This Row],[Index]])/4+Table132[[#This Row],[PARAM_SUB]],4)</f>
        <v>041A</v>
      </c>
      <c r="R375" s="6" t="s">
        <v>363</v>
      </c>
      <c r="S375" s="1" t="s">
        <v>254</v>
      </c>
      <c r="T375" s="16">
        <v>0</v>
      </c>
      <c r="U375" s="6" t="s">
        <v>363</v>
      </c>
      <c r="X375" s="11">
        <f>IF(Table132[[#This Row],[template]]="","",VLOOKUP(Table132[[#This Row],[IP_NAME]],Table511175[],2,FALSE))</f>
        <v>1</v>
      </c>
      <c r="Y375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>01000</v>
      </c>
      <c r="Z375" s="14">
        <f>IF(Table132[[#This Row],[template]]="","",HEX2DEC(Table132[[#This Row],[Addr_Hex]]))</f>
        <v>1050</v>
      </c>
    </row>
    <row r="376" spans="2:26" x14ac:dyDescent="0.3">
      <c r="B376" s="4">
        <v>1000</v>
      </c>
      <c r="C376" s="4" t="s">
        <v>233</v>
      </c>
      <c r="D376" s="9" t="str">
        <f>UPPER(Table132[[#This Row],[SIGNAL]])</f>
        <v>EV_MEVCODEA_27</v>
      </c>
      <c r="E376" s="9" t="str">
        <f>IF(Table132[[#This Row],[template]]="","","0x"&amp;Table132[[#This Row],[IP_Index]]&amp;DEC2HEX(Table132[[#This Row],[Addr_Dec]]*4,7))</f>
        <v>0x1000106C</v>
      </c>
      <c r="F376" s="9" t="str">
        <f>IF(Table132[[#This Row],[template]]="","",VLOOKUP(Table132[[#This Row],[template]],Table29153[],2,FALSE))</f>
        <v>asynParamInt32</v>
      </c>
      <c r="G376" s="18" t="str">
        <f>IF(Table132[[#This Row],[template]]="","","1")</f>
        <v>1</v>
      </c>
      <c r="H376" s="10" t="s">
        <v>267</v>
      </c>
      <c r="I376" s="13" t="str">
        <f>IF(Table132[[#This Row],[template]]="","","0x"&amp;Table132[[#This Row],[D_Index]]&amp;"000")</f>
        <v>0x01000000</v>
      </c>
      <c r="J376" s="18" t="s">
        <v>342</v>
      </c>
      <c r="K376" s="10">
        <v>0</v>
      </c>
      <c r="L376" s="11"/>
      <c r="M376" s="9" t="str">
        <f>IF(Table132[[#This Row],[template]]="","",Table132[[#This Row],[IP_NAME]]&amp;"_"&amp;Table132[[#This Row],[PARAM_NAME]]&amp;IF(Table132[[#This Row],[PARAM_SUB]]="","","_"&amp;Table132[[#This Row],[PARAM_SUB]]))</f>
        <v>ev_mevCodeA_27</v>
      </c>
      <c r="N376" s="1" t="s">
        <v>262</v>
      </c>
      <c r="O376" s="1" t="s">
        <v>452</v>
      </c>
      <c r="P376" s="6" t="s">
        <v>290</v>
      </c>
      <c r="Q376" s="20" t="str">
        <f>DEC2HEX(HEX2DEC(Table132[[#This Row],[Index]])/4+Table132[[#This Row],[PARAM_SUB]],4)</f>
        <v>041B</v>
      </c>
      <c r="R376" s="6" t="s">
        <v>363</v>
      </c>
      <c r="S376" s="1" t="s">
        <v>254</v>
      </c>
      <c r="T376" s="16">
        <v>0</v>
      </c>
      <c r="U376" s="6" t="s">
        <v>363</v>
      </c>
      <c r="X376" s="11">
        <f>IF(Table132[[#This Row],[template]]="","",VLOOKUP(Table132[[#This Row],[IP_NAME]],Table511175[],2,FALSE))</f>
        <v>1</v>
      </c>
      <c r="Y376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>01000</v>
      </c>
      <c r="Z376" s="14">
        <f>IF(Table132[[#This Row],[template]]="","",HEX2DEC(Table132[[#This Row],[Addr_Hex]]))</f>
        <v>1051</v>
      </c>
    </row>
    <row r="377" spans="2:26" x14ac:dyDescent="0.3">
      <c r="B377" s="4">
        <v>1000</v>
      </c>
      <c r="C377" s="4" t="s">
        <v>233</v>
      </c>
      <c r="D377" s="9" t="str">
        <f>UPPER(Table132[[#This Row],[SIGNAL]])</f>
        <v>EV_MEVCODEA_28</v>
      </c>
      <c r="E377" s="9" t="str">
        <f>IF(Table132[[#This Row],[template]]="","","0x"&amp;Table132[[#This Row],[IP_Index]]&amp;DEC2HEX(Table132[[#This Row],[Addr_Dec]]*4,7))</f>
        <v>0x10001070</v>
      </c>
      <c r="F377" s="9" t="str">
        <f>IF(Table132[[#This Row],[template]]="","",VLOOKUP(Table132[[#This Row],[template]],Table29153[],2,FALSE))</f>
        <v>asynParamInt32</v>
      </c>
      <c r="G377" s="18" t="str">
        <f>IF(Table132[[#This Row],[template]]="","","1")</f>
        <v>1</v>
      </c>
      <c r="H377" s="10" t="s">
        <v>267</v>
      </c>
      <c r="I377" s="13" t="str">
        <f>IF(Table132[[#This Row],[template]]="","","0x"&amp;Table132[[#This Row],[D_Index]]&amp;"000")</f>
        <v>0x01000000</v>
      </c>
      <c r="J377" s="18" t="s">
        <v>342</v>
      </c>
      <c r="K377" s="10">
        <v>0</v>
      </c>
      <c r="L377" s="11"/>
      <c r="M377" s="9" t="str">
        <f>IF(Table132[[#This Row],[template]]="","",Table132[[#This Row],[IP_NAME]]&amp;"_"&amp;Table132[[#This Row],[PARAM_NAME]]&amp;IF(Table132[[#This Row],[PARAM_SUB]]="","","_"&amp;Table132[[#This Row],[PARAM_SUB]]))</f>
        <v>ev_mevCodeA_28</v>
      </c>
      <c r="N377" s="1" t="s">
        <v>262</v>
      </c>
      <c r="O377" s="1" t="s">
        <v>452</v>
      </c>
      <c r="P377" s="6" t="s">
        <v>291</v>
      </c>
      <c r="Q377" s="20" t="str">
        <f>DEC2HEX(HEX2DEC(Table132[[#This Row],[Index]])/4+Table132[[#This Row],[PARAM_SUB]],4)</f>
        <v>041C</v>
      </c>
      <c r="R377" s="6" t="s">
        <v>363</v>
      </c>
      <c r="S377" s="1" t="s">
        <v>254</v>
      </c>
      <c r="T377" s="16">
        <v>0</v>
      </c>
      <c r="U377" s="6" t="s">
        <v>363</v>
      </c>
      <c r="X377" s="11">
        <f>IF(Table132[[#This Row],[template]]="","",VLOOKUP(Table132[[#This Row],[IP_NAME]],Table511175[],2,FALSE))</f>
        <v>1</v>
      </c>
      <c r="Y377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>01000</v>
      </c>
      <c r="Z377" s="14">
        <f>IF(Table132[[#This Row],[template]]="","",HEX2DEC(Table132[[#This Row],[Addr_Hex]]))</f>
        <v>1052</v>
      </c>
    </row>
    <row r="378" spans="2:26" x14ac:dyDescent="0.3">
      <c r="B378" s="4">
        <v>1000</v>
      </c>
      <c r="C378" s="4" t="s">
        <v>233</v>
      </c>
      <c r="D378" s="9" t="str">
        <f>UPPER(Table132[[#This Row],[SIGNAL]])</f>
        <v>EV_MEVCODEA_29</v>
      </c>
      <c r="E378" s="9" t="str">
        <f>IF(Table132[[#This Row],[template]]="","","0x"&amp;Table132[[#This Row],[IP_Index]]&amp;DEC2HEX(Table132[[#This Row],[Addr_Dec]]*4,7))</f>
        <v>0x10001074</v>
      </c>
      <c r="F378" s="9" t="str">
        <f>IF(Table132[[#This Row],[template]]="","",VLOOKUP(Table132[[#This Row],[template]],Table29153[],2,FALSE))</f>
        <v>asynParamInt32</v>
      </c>
      <c r="G378" s="18" t="str">
        <f>IF(Table132[[#This Row],[template]]="","","1")</f>
        <v>1</v>
      </c>
      <c r="H378" s="10" t="s">
        <v>267</v>
      </c>
      <c r="I378" s="13" t="str">
        <f>IF(Table132[[#This Row],[template]]="","","0x"&amp;Table132[[#This Row],[D_Index]]&amp;"000")</f>
        <v>0x01000000</v>
      </c>
      <c r="J378" s="18" t="s">
        <v>342</v>
      </c>
      <c r="K378" s="10">
        <v>0</v>
      </c>
      <c r="L378" s="11"/>
      <c r="M378" s="9" t="str">
        <f>IF(Table132[[#This Row],[template]]="","",Table132[[#This Row],[IP_NAME]]&amp;"_"&amp;Table132[[#This Row],[PARAM_NAME]]&amp;IF(Table132[[#This Row],[PARAM_SUB]]="","","_"&amp;Table132[[#This Row],[PARAM_SUB]]))</f>
        <v>ev_mevCodeA_29</v>
      </c>
      <c r="N378" s="1" t="s">
        <v>262</v>
      </c>
      <c r="O378" s="1" t="s">
        <v>452</v>
      </c>
      <c r="P378" s="6" t="s">
        <v>292</v>
      </c>
      <c r="Q378" s="20" t="str">
        <f>DEC2HEX(HEX2DEC(Table132[[#This Row],[Index]])/4+Table132[[#This Row],[PARAM_SUB]],4)</f>
        <v>041D</v>
      </c>
      <c r="R378" s="6" t="s">
        <v>363</v>
      </c>
      <c r="S378" s="1" t="s">
        <v>254</v>
      </c>
      <c r="T378" s="16">
        <v>0</v>
      </c>
      <c r="U378" s="6" t="s">
        <v>363</v>
      </c>
      <c r="X378" s="11">
        <f>IF(Table132[[#This Row],[template]]="","",VLOOKUP(Table132[[#This Row],[IP_NAME]],Table511175[],2,FALSE))</f>
        <v>1</v>
      </c>
      <c r="Y378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>01000</v>
      </c>
      <c r="Z378" s="14">
        <f>IF(Table132[[#This Row],[template]]="","",HEX2DEC(Table132[[#This Row],[Addr_Hex]]))</f>
        <v>1053</v>
      </c>
    </row>
    <row r="379" spans="2:26" x14ac:dyDescent="0.3">
      <c r="B379" s="4">
        <v>1000</v>
      </c>
      <c r="C379" s="4" t="s">
        <v>233</v>
      </c>
      <c r="D379" s="9" t="str">
        <f>UPPER(Table132[[#This Row],[SIGNAL]])</f>
        <v>EV_MEVCODEA_30</v>
      </c>
      <c r="E379" s="9" t="str">
        <f>IF(Table132[[#This Row],[template]]="","","0x"&amp;Table132[[#This Row],[IP_Index]]&amp;DEC2HEX(Table132[[#This Row],[Addr_Dec]]*4,7))</f>
        <v>0x10001078</v>
      </c>
      <c r="F379" s="9" t="str">
        <f>IF(Table132[[#This Row],[template]]="","",VLOOKUP(Table132[[#This Row],[template]],Table29153[],2,FALSE))</f>
        <v>asynParamInt32</v>
      </c>
      <c r="G379" s="18" t="str">
        <f>IF(Table132[[#This Row],[template]]="","","1")</f>
        <v>1</v>
      </c>
      <c r="H379" s="10" t="s">
        <v>267</v>
      </c>
      <c r="I379" s="13" t="str">
        <f>IF(Table132[[#This Row],[template]]="","","0x"&amp;Table132[[#This Row],[D_Index]]&amp;"000")</f>
        <v>0x01000000</v>
      </c>
      <c r="J379" s="18" t="s">
        <v>342</v>
      </c>
      <c r="K379" s="10">
        <v>0</v>
      </c>
      <c r="L379" s="11"/>
      <c r="M379" s="9" t="str">
        <f>IF(Table132[[#This Row],[template]]="","",Table132[[#This Row],[IP_NAME]]&amp;"_"&amp;Table132[[#This Row],[PARAM_NAME]]&amp;IF(Table132[[#This Row],[PARAM_SUB]]="","","_"&amp;Table132[[#This Row],[PARAM_SUB]]))</f>
        <v>ev_mevCodeA_30</v>
      </c>
      <c r="N379" s="1" t="s">
        <v>262</v>
      </c>
      <c r="O379" s="1" t="s">
        <v>452</v>
      </c>
      <c r="P379" s="6" t="s">
        <v>293</v>
      </c>
      <c r="Q379" s="20" t="str">
        <f>DEC2HEX(HEX2DEC(Table132[[#This Row],[Index]])/4+Table132[[#This Row],[PARAM_SUB]],4)</f>
        <v>041E</v>
      </c>
      <c r="R379" s="6" t="s">
        <v>363</v>
      </c>
      <c r="S379" s="1" t="s">
        <v>254</v>
      </c>
      <c r="T379" s="16">
        <v>0</v>
      </c>
      <c r="U379" s="6" t="s">
        <v>363</v>
      </c>
      <c r="X379" s="11">
        <f>IF(Table132[[#This Row],[template]]="","",VLOOKUP(Table132[[#This Row],[IP_NAME]],Table511175[],2,FALSE))</f>
        <v>1</v>
      </c>
      <c r="Y379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>01000</v>
      </c>
      <c r="Z379" s="14">
        <f>IF(Table132[[#This Row],[template]]="","",HEX2DEC(Table132[[#This Row],[Addr_Hex]]))</f>
        <v>1054</v>
      </c>
    </row>
    <row r="380" spans="2:26" x14ac:dyDescent="0.3">
      <c r="B380" s="4">
        <v>1000</v>
      </c>
      <c r="C380" s="4" t="s">
        <v>233</v>
      </c>
      <c r="D380" s="9" t="str">
        <f>UPPER(Table132[[#This Row],[SIGNAL]])</f>
        <v>EV_MEVCODEA_31</v>
      </c>
      <c r="E380" s="9" t="str">
        <f>IF(Table132[[#This Row],[template]]="","","0x"&amp;Table132[[#This Row],[IP_Index]]&amp;DEC2HEX(Table132[[#This Row],[Addr_Dec]]*4,7))</f>
        <v>0x1000107C</v>
      </c>
      <c r="F380" s="9" t="str">
        <f>IF(Table132[[#This Row],[template]]="","",VLOOKUP(Table132[[#This Row],[template]],Table29153[],2,FALSE))</f>
        <v>asynParamInt32</v>
      </c>
      <c r="G380" s="18" t="str">
        <f>IF(Table132[[#This Row],[template]]="","","1")</f>
        <v>1</v>
      </c>
      <c r="H380" s="10" t="s">
        <v>267</v>
      </c>
      <c r="I380" s="13" t="str">
        <f>IF(Table132[[#This Row],[template]]="","","0x"&amp;Table132[[#This Row],[D_Index]]&amp;"000")</f>
        <v>0x01000000</v>
      </c>
      <c r="J380" s="18" t="s">
        <v>342</v>
      </c>
      <c r="K380" s="10">
        <v>0</v>
      </c>
      <c r="L380" s="11"/>
      <c r="M380" s="9" t="str">
        <f>IF(Table132[[#This Row],[template]]="","",Table132[[#This Row],[IP_NAME]]&amp;"_"&amp;Table132[[#This Row],[PARAM_NAME]]&amp;IF(Table132[[#This Row],[PARAM_SUB]]="","","_"&amp;Table132[[#This Row],[PARAM_SUB]]))</f>
        <v>ev_mevCodeA_31</v>
      </c>
      <c r="N380" s="1" t="s">
        <v>262</v>
      </c>
      <c r="O380" s="1" t="s">
        <v>452</v>
      </c>
      <c r="P380" s="6" t="s">
        <v>294</v>
      </c>
      <c r="Q380" s="20" t="str">
        <f>DEC2HEX(HEX2DEC(Table132[[#This Row],[Index]])/4+Table132[[#This Row],[PARAM_SUB]],4)</f>
        <v>041F</v>
      </c>
      <c r="R380" s="6" t="s">
        <v>363</v>
      </c>
      <c r="S380" s="1" t="s">
        <v>254</v>
      </c>
      <c r="T380" s="16">
        <v>0</v>
      </c>
      <c r="U380" s="6" t="s">
        <v>363</v>
      </c>
      <c r="X380" s="11">
        <f>IF(Table132[[#This Row],[template]]="","",VLOOKUP(Table132[[#This Row],[IP_NAME]],Table511175[],2,FALSE))</f>
        <v>1</v>
      </c>
      <c r="Y380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>01000</v>
      </c>
      <c r="Z380" s="14">
        <f>IF(Table132[[#This Row],[template]]="","",HEX2DEC(Table132[[#This Row],[Addr_Hex]]))</f>
        <v>1055</v>
      </c>
    </row>
    <row r="381" spans="2:26" x14ac:dyDescent="0.3">
      <c r="B381" s="4"/>
      <c r="C381" s="4"/>
      <c r="D381" s="2"/>
      <c r="E381" s="2"/>
      <c r="F381" s="2"/>
      <c r="M381" s="2"/>
      <c r="P381" s="6"/>
      <c r="Q381" s="20"/>
      <c r="R381" s="6"/>
      <c r="T381" s="16"/>
      <c r="U381" s="6"/>
      <c r="Y381" s="4"/>
      <c r="Z381" s="17"/>
    </row>
    <row r="382" spans="2:26" x14ac:dyDescent="0.3">
      <c r="B382" s="4"/>
      <c r="C382" s="4"/>
      <c r="D382" s="2"/>
      <c r="E382" s="2"/>
      <c r="F382" s="2"/>
      <c r="M382" s="2"/>
      <c r="P382" s="6"/>
      <c r="Q382" s="4"/>
      <c r="R382" s="6"/>
      <c r="T382" s="16"/>
      <c r="U382" s="6"/>
      <c r="Y382" s="4"/>
      <c r="Z382" s="17"/>
    </row>
    <row r="383" spans="2:26" x14ac:dyDescent="0.3">
      <c r="B383" s="4"/>
      <c r="C383" s="4"/>
      <c r="D383" s="2"/>
      <c r="E383" s="2"/>
      <c r="F383" s="2"/>
      <c r="M383" s="2"/>
      <c r="P383" s="6"/>
      <c r="Q383" s="4"/>
      <c r="R383" s="6"/>
      <c r="T383" s="16"/>
      <c r="U383" s="6"/>
      <c r="Y383" s="4"/>
      <c r="Z383" s="17"/>
    </row>
    <row r="384" spans="2:26" x14ac:dyDescent="0.3">
      <c r="B384" s="4"/>
      <c r="C384" s="4"/>
      <c r="D384" s="2"/>
      <c r="E384" s="2"/>
      <c r="F384" s="2"/>
      <c r="M384" s="2"/>
      <c r="P384" s="6"/>
      <c r="Q384" s="4"/>
      <c r="R384" s="6"/>
      <c r="T384" s="16"/>
      <c r="U384" s="6"/>
      <c r="Y384" s="4"/>
      <c r="Z384" s="17"/>
    </row>
    <row r="385" spans="2:26" x14ac:dyDescent="0.3">
      <c r="B385" s="4"/>
      <c r="C385" s="4"/>
      <c r="D385" s="2"/>
      <c r="E385" s="2"/>
      <c r="F385" s="2"/>
      <c r="M385" s="2"/>
      <c r="P385" s="6"/>
      <c r="Q385" s="4"/>
      <c r="R385" s="6"/>
      <c r="T385" s="16"/>
      <c r="U385" s="6"/>
      <c r="Y385" s="4"/>
      <c r="Z385" s="17"/>
    </row>
    <row r="386" spans="2:26" x14ac:dyDescent="0.3">
      <c r="B386" s="4"/>
      <c r="C386" s="4"/>
      <c r="D386" s="2"/>
      <c r="E386" s="2"/>
      <c r="F386" s="2"/>
      <c r="M386" s="2"/>
      <c r="P386" s="6"/>
      <c r="Q386" s="4"/>
      <c r="R386" s="6"/>
      <c r="T386" s="16"/>
      <c r="U386" s="6"/>
      <c r="Y386" s="4"/>
      <c r="Z386" s="17"/>
    </row>
    <row r="387" spans="2:26" x14ac:dyDescent="0.3">
      <c r="B387" s="4"/>
      <c r="C387" s="4"/>
      <c r="D387" s="2"/>
      <c r="E387" s="2"/>
      <c r="F387" s="2"/>
      <c r="M387" s="2"/>
      <c r="P387" s="6"/>
      <c r="Q387" s="4"/>
      <c r="R387" s="6"/>
      <c r="T387" s="16"/>
      <c r="U387" s="6"/>
      <c r="Y387" s="4"/>
      <c r="Z387" s="17"/>
    </row>
    <row r="388" spans="2:26" x14ac:dyDescent="0.3">
      <c r="B388" s="4"/>
      <c r="C388" s="4"/>
      <c r="D388" s="2"/>
      <c r="E388" s="2"/>
      <c r="F388" s="2"/>
      <c r="M388" s="2"/>
      <c r="P388" s="6"/>
      <c r="Q388" s="4"/>
      <c r="R388" s="6"/>
      <c r="T388" s="16"/>
      <c r="U388" s="6"/>
      <c r="Y388" s="4"/>
      <c r="Z388" s="17"/>
    </row>
    <row r="389" spans="2:26" x14ac:dyDescent="0.3">
      <c r="B389" s="4"/>
      <c r="C389" s="4"/>
      <c r="D389" s="2"/>
      <c r="E389" s="2"/>
      <c r="F389" s="2"/>
      <c r="M389" s="2"/>
      <c r="P389" s="6"/>
      <c r="Q389" s="4"/>
      <c r="R389" s="6"/>
      <c r="T389" s="16"/>
      <c r="U389" s="6"/>
      <c r="Y389" s="4"/>
      <c r="Z389" s="17"/>
    </row>
    <row r="390" spans="2:26" x14ac:dyDescent="0.3">
      <c r="B390" s="4"/>
      <c r="C390" s="4"/>
      <c r="D390" s="2"/>
      <c r="E390" s="2"/>
      <c r="F390" s="2"/>
      <c r="M390" s="2"/>
      <c r="P390" s="6"/>
      <c r="Q390" s="4"/>
      <c r="R390" s="6"/>
      <c r="T390" s="16"/>
      <c r="U390" s="6"/>
      <c r="Y390" s="4"/>
      <c r="Z390" s="17"/>
    </row>
    <row r="391" spans="2:26" x14ac:dyDescent="0.3">
      <c r="B391" s="4"/>
      <c r="C391" s="4"/>
      <c r="D391" s="2"/>
      <c r="E391" s="2"/>
      <c r="F391" s="2"/>
      <c r="M391" s="2"/>
      <c r="P391" s="6"/>
      <c r="Q391" s="4"/>
      <c r="R391" s="6"/>
      <c r="T391" s="16"/>
      <c r="U391" s="6"/>
      <c r="Y391" s="4"/>
      <c r="Z391" s="17"/>
    </row>
    <row r="392" spans="2:26" x14ac:dyDescent="0.3">
      <c r="B392" s="4"/>
      <c r="C392" s="4"/>
      <c r="D392" s="2"/>
      <c r="E392" s="2"/>
      <c r="F392" s="2"/>
      <c r="M392" s="2"/>
      <c r="P392" s="6"/>
      <c r="Q392" s="4"/>
      <c r="R392" s="6"/>
      <c r="T392" s="16"/>
      <c r="U392" s="6"/>
      <c r="Y392" s="4"/>
      <c r="Z392" s="17"/>
    </row>
    <row r="393" spans="2:26" x14ac:dyDescent="0.3">
      <c r="B393" s="4"/>
      <c r="C393" s="4"/>
      <c r="D393" s="2"/>
      <c r="E393" s="2"/>
      <c r="F393" s="2"/>
      <c r="M393" s="2"/>
      <c r="P393" s="6"/>
      <c r="Q393" s="4"/>
      <c r="R393" s="6"/>
      <c r="T393" s="16"/>
      <c r="U393" s="6"/>
      <c r="Y393" s="4"/>
      <c r="Z393" s="17"/>
    </row>
    <row r="394" spans="2:26" x14ac:dyDescent="0.3">
      <c r="B394" s="4"/>
      <c r="C394" s="4"/>
      <c r="D394" s="2"/>
      <c r="E394" s="2"/>
      <c r="F394" s="2"/>
      <c r="M394" s="2"/>
      <c r="P394" s="6"/>
      <c r="Q394" s="4"/>
      <c r="R394" s="6"/>
      <c r="T394" s="16"/>
      <c r="U394" s="6"/>
      <c r="Y394" s="4"/>
      <c r="Z394" s="17"/>
    </row>
    <row r="395" spans="2:26" x14ac:dyDescent="0.3">
      <c r="B395" s="4"/>
      <c r="C395" s="4"/>
      <c r="D395" s="2"/>
      <c r="E395" s="2"/>
      <c r="F395" s="2"/>
      <c r="M395" s="2"/>
      <c r="P395" s="6"/>
      <c r="Q395" s="4"/>
      <c r="R395" s="6"/>
      <c r="T395" s="16"/>
      <c r="U395" s="6"/>
      <c r="Y395" s="4"/>
      <c r="Z395" s="17"/>
    </row>
    <row r="396" spans="2:26" x14ac:dyDescent="0.3">
      <c r="B396" s="4"/>
      <c r="C396" s="4"/>
      <c r="D396" s="2"/>
      <c r="E396" s="2"/>
      <c r="F396" s="2"/>
      <c r="M396" s="2"/>
      <c r="P396" s="6"/>
      <c r="Q396" s="4"/>
      <c r="R396" s="6"/>
      <c r="T396" s="16"/>
      <c r="U396" s="6"/>
      <c r="Y396" s="4"/>
      <c r="Z396" s="17"/>
    </row>
    <row r="397" spans="2:26" x14ac:dyDescent="0.3">
      <c r="B397" s="4"/>
      <c r="C397" s="4"/>
      <c r="D397" s="2"/>
      <c r="E397" s="2"/>
      <c r="F397" s="2"/>
      <c r="M397" s="2"/>
      <c r="P397" s="6"/>
      <c r="Q397" s="4"/>
      <c r="R397" s="6"/>
      <c r="T397" s="16"/>
      <c r="U397" s="6"/>
      <c r="Y397" s="4"/>
      <c r="Z397" s="17"/>
    </row>
    <row r="398" spans="2:26" x14ac:dyDescent="0.3">
      <c r="B398" s="4"/>
      <c r="C398" s="4"/>
      <c r="D398" s="2"/>
      <c r="E398" s="2"/>
      <c r="F398" s="2"/>
      <c r="M398" s="2"/>
      <c r="P398" s="6"/>
      <c r="Q398" s="4"/>
      <c r="R398" s="6"/>
      <c r="T398" s="16"/>
      <c r="U398" s="6"/>
      <c r="Y398" s="4"/>
      <c r="Z398" s="17"/>
    </row>
    <row r="399" spans="2:26" x14ac:dyDescent="0.3">
      <c r="B399" s="4"/>
      <c r="C399" s="4"/>
      <c r="D399" s="2"/>
      <c r="E399" s="2"/>
      <c r="F399" s="2"/>
      <c r="M399" s="2"/>
      <c r="P399" s="6"/>
      <c r="Q399" s="4"/>
      <c r="R399" s="6"/>
      <c r="T399" s="16"/>
      <c r="U399" s="6"/>
      <c r="Y399" s="4"/>
      <c r="Z399" s="17"/>
    </row>
    <row r="400" spans="2:26" x14ac:dyDescent="0.3">
      <c r="B400" s="4"/>
      <c r="C400" s="4"/>
      <c r="D400" s="2"/>
      <c r="E400" s="2"/>
      <c r="F400" s="2"/>
      <c r="M400" s="2"/>
      <c r="P400" s="6"/>
      <c r="Q400" s="4"/>
      <c r="R400" s="6"/>
      <c r="T400" s="16"/>
      <c r="U400" s="6"/>
      <c r="Y400" s="4"/>
      <c r="Z400" s="17"/>
    </row>
    <row r="401" spans="2:26" x14ac:dyDescent="0.3">
      <c r="B401" s="4"/>
      <c r="C401" s="4"/>
      <c r="D401" s="2"/>
      <c r="E401" s="2"/>
      <c r="F401" s="2"/>
      <c r="M401" s="2"/>
      <c r="P401" s="6"/>
      <c r="Q401" s="4"/>
      <c r="R401" s="6"/>
      <c r="T401" s="16"/>
      <c r="U401" s="6"/>
      <c r="Y401" s="4"/>
      <c r="Z401" s="17"/>
    </row>
    <row r="402" spans="2:26" x14ac:dyDescent="0.3">
      <c r="B402" s="4"/>
      <c r="C402" s="4"/>
      <c r="D402" s="2"/>
      <c r="E402" s="2"/>
      <c r="F402" s="2"/>
      <c r="M402" s="2"/>
      <c r="P402" s="6"/>
      <c r="Q402" s="4"/>
      <c r="R402" s="6"/>
      <c r="T402" s="16"/>
      <c r="U402" s="6"/>
      <c r="Y402" s="4"/>
      <c r="Z402" s="17"/>
    </row>
    <row r="403" spans="2:26" x14ac:dyDescent="0.3">
      <c r="B403" s="4"/>
      <c r="C403" s="4"/>
      <c r="D403" s="2"/>
      <c r="E403" s="2"/>
      <c r="F403" s="2"/>
      <c r="M403" s="2"/>
      <c r="P403" s="6"/>
      <c r="Q403" s="4"/>
      <c r="R403" s="6"/>
      <c r="T403" s="16"/>
      <c r="U403" s="6"/>
      <c r="Y403" s="4"/>
      <c r="Z403" s="17"/>
    </row>
    <row r="404" spans="2:26" x14ac:dyDescent="0.3">
      <c r="B404" s="4"/>
      <c r="C404" s="4"/>
      <c r="D404" s="2"/>
      <c r="E404" s="2"/>
      <c r="F404" s="2"/>
      <c r="M404" s="2"/>
      <c r="P404" s="6"/>
      <c r="Q404" s="4"/>
      <c r="R404" s="6"/>
      <c r="T404" s="16"/>
      <c r="U404" s="6"/>
      <c r="Y404" s="4"/>
      <c r="Z404" s="17"/>
    </row>
    <row r="405" spans="2:26" x14ac:dyDescent="0.3">
      <c r="B405" s="4"/>
      <c r="C405" s="4"/>
      <c r="D405" s="2"/>
      <c r="E405" s="2"/>
      <c r="F405" s="2"/>
      <c r="M405" s="2"/>
      <c r="P405" s="6"/>
      <c r="Q405" s="4"/>
      <c r="R405" s="6"/>
      <c r="T405" s="16"/>
      <c r="U405" s="6"/>
      <c r="Y405" s="4"/>
      <c r="Z405" s="17"/>
    </row>
    <row r="406" spans="2:26" x14ac:dyDescent="0.3">
      <c r="B406" s="4"/>
      <c r="C406" s="4"/>
      <c r="D406" s="2"/>
      <c r="E406" s="2"/>
      <c r="F406" s="2"/>
      <c r="M406" s="2"/>
      <c r="P406" s="6"/>
      <c r="Q406" s="4"/>
      <c r="R406" s="6"/>
      <c r="T406" s="16"/>
      <c r="U406" s="6"/>
      <c r="Y406" s="4"/>
      <c r="Z406" s="17"/>
    </row>
    <row r="407" spans="2:26" x14ac:dyDescent="0.3">
      <c r="B407" s="4"/>
      <c r="C407" s="4"/>
      <c r="D407" s="2"/>
      <c r="E407" s="2"/>
      <c r="F407" s="2"/>
      <c r="M407" s="2"/>
      <c r="P407" s="6"/>
      <c r="Q407" s="4"/>
      <c r="R407" s="6"/>
      <c r="T407" s="16"/>
      <c r="U407" s="6"/>
      <c r="Y407" s="4"/>
      <c r="Z407" s="17"/>
    </row>
    <row r="408" spans="2:26" x14ac:dyDescent="0.3">
      <c r="B408" s="4"/>
      <c r="C408" s="4"/>
      <c r="D408" s="2"/>
      <c r="E408" s="2"/>
      <c r="F408" s="2"/>
      <c r="M408" s="2"/>
      <c r="P408" s="6"/>
      <c r="Q408" s="4"/>
      <c r="R408" s="6"/>
      <c r="T408" s="16"/>
      <c r="U408" s="6"/>
      <c r="Y408" s="4"/>
      <c r="Z408" s="17"/>
    </row>
    <row r="409" spans="2:26" x14ac:dyDescent="0.3">
      <c r="B409" s="4"/>
      <c r="C409" s="4"/>
      <c r="D409" s="2"/>
      <c r="E409" s="2"/>
      <c r="F409" s="2"/>
      <c r="M409" s="2"/>
      <c r="P409" s="6"/>
      <c r="Q409" s="4"/>
      <c r="R409" s="6"/>
      <c r="T409" s="16"/>
      <c r="U409" s="6"/>
      <c r="Y409" s="4"/>
      <c r="Z409" s="17"/>
    </row>
    <row r="410" spans="2:26" x14ac:dyDescent="0.3">
      <c r="B410" s="4"/>
      <c r="C410" s="4"/>
      <c r="D410" s="2"/>
      <c r="E410" s="2"/>
      <c r="F410" s="2"/>
      <c r="M410" s="2"/>
      <c r="P410" s="6"/>
      <c r="Q410" s="4"/>
      <c r="R410" s="6"/>
      <c r="T410" s="16"/>
      <c r="U410" s="6"/>
      <c r="Y410" s="4"/>
      <c r="Z410" s="17"/>
    </row>
    <row r="411" spans="2:26" x14ac:dyDescent="0.3">
      <c r="B411" s="4"/>
      <c r="C411" s="4"/>
      <c r="D411" s="2"/>
      <c r="E411" s="2"/>
      <c r="F411" s="2"/>
      <c r="M411" s="2"/>
      <c r="P411" s="6"/>
      <c r="Q411" s="4"/>
      <c r="R411" s="6"/>
      <c r="T411" s="16"/>
      <c r="U411" s="6"/>
      <c r="Y411" s="4"/>
      <c r="Z411" s="17"/>
    </row>
    <row r="412" spans="2:26" x14ac:dyDescent="0.3">
      <c r="B412" s="4"/>
      <c r="C412" s="4"/>
      <c r="D412" s="2"/>
      <c r="E412" s="2"/>
      <c r="F412" s="2"/>
      <c r="M412" s="2"/>
      <c r="P412" s="6"/>
      <c r="Q412" s="4"/>
      <c r="R412" s="6"/>
      <c r="T412" s="16"/>
      <c r="U412" s="6"/>
      <c r="Y412" s="4"/>
      <c r="Z412" s="17"/>
    </row>
    <row r="413" spans="2:26" x14ac:dyDescent="0.3">
      <c r="B413" s="4"/>
      <c r="C413" s="4"/>
      <c r="D413" s="2"/>
      <c r="E413" s="2"/>
      <c r="F413" s="2"/>
      <c r="M413" s="2"/>
      <c r="P413" s="6"/>
      <c r="Q413" s="4"/>
      <c r="R413" s="6"/>
      <c r="T413" s="16"/>
      <c r="U413" s="6"/>
      <c r="Y413" s="4"/>
      <c r="Z413" s="17"/>
    </row>
    <row r="414" spans="2:26" x14ac:dyDescent="0.3">
      <c r="B414" s="4"/>
      <c r="C414" s="4"/>
      <c r="D414" s="2"/>
      <c r="E414" s="2"/>
      <c r="F414" s="2"/>
      <c r="M414" s="2"/>
      <c r="P414" s="6"/>
      <c r="Q414" s="4"/>
      <c r="R414" s="6"/>
      <c r="T414" s="16"/>
      <c r="U414" s="6"/>
      <c r="Y414" s="4"/>
      <c r="Z414" s="17"/>
    </row>
    <row r="415" spans="2:26" x14ac:dyDescent="0.3">
      <c r="B415" s="4"/>
      <c r="C415" s="4"/>
      <c r="D415" s="2"/>
      <c r="E415" s="2"/>
      <c r="F415" s="2"/>
      <c r="M415" s="2"/>
      <c r="P415" s="6"/>
      <c r="Q415" s="4"/>
      <c r="R415" s="6"/>
      <c r="T415" s="16"/>
      <c r="U415" s="6"/>
      <c r="Y415" s="4"/>
      <c r="Z415" s="17"/>
    </row>
    <row r="416" spans="2:26" x14ac:dyDescent="0.3">
      <c r="B416" s="4"/>
      <c r="C416" s="4"/>
      <c r="D416" s="2"/>
      <c r="E416" s="2"/>
      <c r="F416" s="2"/>
      <c r="M416" s="2"/>
      <c r="P416" s="6"/>
      <c r="Q416" s="4"/>
      <c r="R416" s="6"/>
      <c r="T416" s="16"/>
      <c r="U416" s="6"/>
      <c r="Y416" s="4"/>
      <c r="Z416" s="17"/>
    </row>
    <row r="417" spans="2:26" x14ac:dyDescent="0.3">
      <c r="B417" s="4"/>
      <c r="C417" s="4"/>
      <c r="D417" s="2"/>
      <c r="E417" s="2"/>
      <c r="F417" s="2"/>
      <c r="M417" s="2"/>
      <c r="P417" s="6"/>
      <c r="Q417" s="4"/>
      <c r="R417" s="6"/>
      <c r="T417" s="16"/>
      <c r="U417" s="6"/>
      <c r="Y417" s="4"/>
      <c r="Z417" s="17"/>
    </row>
    <row r="418" spans="2:26" x14ac:dyDescent="0.3">
      <c r="B418" s="4"/>
      <c r="C418" s="4"/>
      <c r="D418" s="2"/>
      <c r="E418" s="2"/>
      <c r="F418" s="2"/>
      <c r="M418" s="2"/>
      <c r="P418" s="6"/>
      <c r="Q418" s="4"/>
      <c r="R418" s="6"/>
      <c r="T418" s="16"/>
      <c r="U418" s="6"/>
      <c r="Y418" s="4"/>
      <c r="Z418" s="17"/>
    </row>
    <row r="419" spans="2:26" x14ac:dyDescent="0.3">
      <c r="B419" s="4"/>
      <c r="C419" s="4"/>
      <c r="D419" s="2"/>
      <c r="E419" s="2"/>
      <c r="F419" s="2"/>
      <c r="M419" s="2"/>
      <c r="P419" s="6"/>
      <c r="Q419" s="4"/>
      <c r="R419" s="6"/>
      <c r="T419" s="16"/>
      <c r="U419" s="6"/>
      <c r="Y419" s="4"/>
      <c r="Z419" s="17"/>
    </row>
    <row r="420" spans="2:26" x14ac:dyDescent="0.3">
      <c r="B420" s="4"/>
      <c r="C420" s="4"/>
      <c r="D420" s="2"/>
      <c r="E420" s="2"/>
      <c r="F420" s="2"/>
      <c r="M420" s="2"/>
      <c r="P420" s="6"/>
      <c r="Q420" s="4"/>
      <c r="R420" s="6"/>
      <c r="T420" s="16"/>
      <c r="U420" s="6"/>
      <c r="Y420" s="4"/>
      <c r="Z420" s="17"/>
    </row>
    <row r="421" spans="2:26" x14ac:dyDescent="0.3">
      <c r="B421" s="4"/>
      <c r="C421" s="4"/>
      <c r="D421" s="2"/>
      <c r="E421" s="2"/>
      <c r="F421" s="2"/>
      <c r="M421" s="2"/>
      <c r="P421" s="6"/>
      <c r="Q421" s="4"/>
      <c r="R421" s="6"/>
      <c r="T421" s="16"/>
      <c r="U421" s="6"/>
      <c r="Y421" s="4"/>
      <c r="Z421" s="17"/>
    </row>
    <row r="422" spans="2:26" x14ac:dyDescent="0.3">
      <c r="B422" s="4"/>
      <c r="C422" s="4"/>
      <c r="D422" s="2"/>
      <c r="E422" s="2"/>
      <c r="F422" s="2"/>
      <c r="M422" s="2"/>
      <c r="P422" s="6"/>
      <c r="Q422" s="4"/>
      <c r="R422" s="6"/>
      <c r="T422" s="16"/>
      <c r="U422" s="6"/>
      <c r="Y422" s="4"/>
      <c r="Z422" s="17"/>
    </row>
    <row r="423" spans="2:26" x14ac:dyDescent="0.3">
      <c r="B423" s="4"/>
      <c r="C423" s="4"/>
      <c r="D423" s="2"/>
      <c r="E423" s="2"/>
      <c r="F423" s="2"/>
      <c r="M423" s="2"/>
      <c r="P423" s="6"/>
      <c r="Q423" s="4"/>
      <c r="R423" s="6"/>
      <c r="T423" s="16"/>
      <c r="U423" s="6"/>
      <c r="Y423" s="4"/>
      <c r="Z423" s="17"/>
    </row>
    <row r="424" spans="2:26" x14ac:dyDescent="0.3">
      <c r="B424" s="4"/>
      <c r="C424" s="4"/>
      <c r="D424" s="2"/>
      <c r="E424" s="2"/>
      <c r="F424" s="2"/>
      <c r="M424" s="2"/>
      <c r="P424" s="6"/>
      <c r="Q424" s="4"/>
      <c r="R424" s="6"/>
      <c r="T424" s="16"/>
      <c r="U424" s="6"/>
      <c r="Y424" s="4"/>
      <c r="Z424" s="17"/>
    </row>
    <row r="425" spans="2:26" x14ac:dyDescent="0.3">
      <c r="B425" s="4"/>
      <c r="C425" s="4"/>
      <c r="D425" s="2"/>
      <c r="E425" s="2"/>
      <c r="F425" s="2"/>
      <c r="M425" s="2"/>
      <c r="P425" s="6"/>
      <c r="Q425" s="4"/>
      <c r="R425" s="6"/>
      <c r="T425" s="16"/>
      <c r="U425" s="6"/>
      <c r="Y425" s="4"/>
      <c r="Z425" s="17"/>
    </row>
    <row r="426" spans="2:26" x14ac:dyDescent="0.3">
      <c r="B426" s="4"/>
      <c r="C426" s="4"/>
      <c r="D426" s="2"/>
      <c r="E426" s="2"/>
      <c r="F426" s="2"/>
      <c r="M426" s="2"/>
      <c r="P426" s="6"/>
      <c r="Q426" s="4"/>
      <c r="R426" s="6"/>
      <c r="T426" s="16"/>
      <c r="U426" s="6"/>
      <c r="Y426" s="4"/>
      <c r="Z426" s="17"/>
    </row>
    <row r="427" spans="2:26" x14ac:dyDescent="0.3">
      <c r="B427" s="4"/>
      <c r="C427" s="4"/>
      <c r="D427" s="2"/>
      <c r="E427" s="2"/>
      <c r="F427" s="2"/>
      <c r="M427" s="2"/>
      <c r="P427" s="6"/>
      <c r="Q427" s="4"/>
      <c r="R427" s="6"/>
      <c r="T427" s="16"/>
      <c r="U427" s="6"/>
      <c r="Y427" s="4"/>
      <c r="Z427" s="17"/>
    </row>
    <row r="428" spans="2:26" x14ac:dyDescent="0.3">
      <c r="B428" s="4"/>
      <c r="C428" s="4"/>
      <c r="D428" s="2"/>
      <c r="E428" s="2"/>
      <c r="F428" s="2"/>
      <c r="M428" s="2"/>
      <c r="P428" s="6"/>
      <c r="Q428" s="4"/>
      <c r="R428" s="6"/>
      <c r="T428" s="16"/>
      <c r="U428" s="6"/>
      <c r="Y428" s="4"/>
      <c r="Z428" s="17"/>
    </row>
    <row r="429" spans="2:26" x14ac:dyDescent="0.3">
      <c r="B429" s="4"/>
      <c r="C429" s="4"/>
      <c r="D429" s="2"/>
      <c r="E429" s="2"/>
      <c r="F429" s="2"/>
      <c r="M429" s="2"/>
      <c r="P429" s="6"/>
      <c r="Q429" s="4"/>
      <c r="R429" s="6"/>
      <c r="T429" s="16"/>
      <c r="U429" s="6"/>
      <c r="Y429" s="4"/>
      <c r="Z429" s="17"/>
    </row>
    <row r="430" spans="2:26" x14ac:dyDescent="0.3">
      <c r="B430" s="4"/>
      <c r="C430" s="4"/>
      <c r="D430" s="2"/>
      <c r="E430" s="2"/>
      <c r="F430" s="2"/>
      <c r="M430" s="2"/>
      <c r="P430" s="6"/>
      <c r="Q430" s="4"/>
      <c r="R430" s="6"/>
      <c r="T430" s="16"/>
      <c r="U430" s="6"/>
      <c r="Y430" s="4"/>
      <c r="Z430" s="17"/>
    </row>
    <row r="431" spans="2:26" x14ac:dyDescent="0.3">
      <c r="B431" s="4"/>
      <c r="C431" s="4"/>
      <c r="D431" s="2"/>
      <c r="E431" s="2"/>
      <c r="F431" s="2"/>
      <c r="M431" s="2"/>
      <c r="P431" s="6"/>
      <c r="Q431" s="4"/>
      <c r="R431" s="6"/>
      <c r="T431" s="16"/>
      <c r="U431" s="6"/>
      <c r="Y431" s="4"/>
      <c r="Z431" s="17"/>
    </row>
    <row r="432" spans="2:26" x14ac:dyDescent="0.3">
      <c r="B432" s="4"/>
      <c r="C432" s="4"/>
      <c r="D432" s="2"/>
      <c r="E432" s="2"/>
      <c r="F432" s="2"/>
      <c r="M432" s="2"/>
      <c r="P432" s="6"/>
      <c r="Q432" s="4"/>
      <c r="R432" s="6"/>
      <c r="T432" s="16"/>
      <c r="U432" s="6"/>
      <c r="Y432" s="4"/>
      <c r="Z432" s="17"/>
    </row>
    <row r="433" spans="2:26" x14ac:dyDescent="0.3">
      <c r="B433" s="4"/>
      <c r="C433" s="4"/>
      <c r="D433" s="2"/>
      <c r="E433" s="2"/>
      <c r="F433" s="2"/>
      <c r="M433" s="2"/>
      <c r="P433" s="6"/>
      <c r="Q433" s="4"/>
      <c r="R433" s="6"/>
      <c r="T433" s="16"/>
      <c r="U433" s="6"/>
      <c r="Y433" s="4"/>
      <c r="Z433" s="17"/>
    </row>
    <row r="434" spans="2:26" x14ac:dyDescent="0.3">
      <c r="B434" s="4"/>
      <c r="C434" s="4"/>
      <c r="D434" s="2"/>
      <c r="E434" s="2"/>
      <c r="F434" s="2"/>
      <c r="M434" s="2"/>
      <c r="P434" s="6"/>
      <c r="Q434" s="4"/>
      <c r="R434" s="6"/>
      <c r="T434" s="16"/>
      <c r="U434" s="6"/>
      <c r="Y434" s="4"/>
      <c r="Z434" s="17"/>
    </row>
    <row r="435" spans="2:26" x14ac:dyDescent="0.3">
      <c r="B435" s="4"/>
      <c r="C435" s="4"/>
      <c r="D435" s="2"/>
      <c r="E435" s="2"/>
      <c r="F435" s="2"/>
      <c r="M435" s="2"/>
      <c r="P435" s="6"/>
      <c r="Q435" s="4"/>
      <c r="R435" s="6"/>
      <c r="T435" s="16"/>
      <c r="U435" s="6"/>
      <c r="Y435" s="4"/>
      <c r="Z435" s="17"/>
    </row>
    <row r="436" spans="2:26" x14ac:dyDescent="0.3">
      <c r="B436" s="4"/>
      <c r="C436" s="4"/>
      <c r="D436" s="2"/>
      <c r="E436" s="2"/>
      <c r="F436" s="2"/>
      <c r="M436" s="2"/>
      <c r="P436" s="6"/>
      <c r="Q436" s="4"/>
      <c r="R436" s="6"/>
      <c r="T436" s="16"/>
      <c r="U436" s="6"/>
      <c r="Y436" s="4"/>
      <c r="Z436" s="17"/>
    </row>
    <row r="437" spans="2:26" x14ac:dyDescent="0.3">
      <c r="B437" s="4"/>
      <c r="C437" s="4"/>
      <c r="D437" s="2"/>
      <c r="E437" s="2"/>
      <c r="F437" s="2"/>
      <c r="M437" s="2"/>
      <c r="P437" s="6"/>
      <c r="Q437" s="4"/>
      <c r="R437" s="6"/>
      <c r="T437" s="16"/>
      <c r="U437" s="6"/>
      <c r="Y437" s="4"/>
      <c r="Z437" s="17"/>
    </row>
    <row r="438" spans="2:26" x14ac:dyDescent="0.3">
      <c r="B438" s="4"/>
      <c r="C438" s="4"/>
      <c r="D438" s="2"/>
      <c r="E438" s="2"/>
      <c r="F438" s="2"/>
      <c r="M438" s="2"/>
      <c r="P438" s="6"/>
      <c r="Q438" s="4"/>
      <c r="R438" s="6"/>
      <c r="T438" s="16"/>
      <c r="U438" s="6"/>
      <c r="Y438" s="4"/>
      <c r="Z438" s="17"/>
    </row>
    <row r="439" spans="2:26" x14ac:dyDescent="0.3">
      <c r="B439" s="4"/>
      <c r="C439" s="4"/>
      <c r="D439" s="2"/>
      <c r="E439" s="2"/>
      <c r="F439" s="2"/>
      <c r="M439" s="2"/>
      <c r="P439" s="6"/>
      <c r="Q439" s="4"/>
      <c r="R439" s="6"/>
      <c r="T439" s="16"/>
      <c r="U439" s="6"/>
      <c r="Y439" s="4"/>
      <c r="Z439" s="17"/>
    </row>
    <row r="440" spans="2:26" x14ac:dyDescent="0.3">
      <c r="B440" s="4"/>
      <c r="C440" s="4"/>
      <c r="D440" s="2"/>
      <c r="E440" s="2"/>
      <c r="F440" s="2"/>
      <c r="M440" s="2"/>
      <c r="P440" s="6"/>
      <c r="Q440" s="4"/>
      <c r="R440" s="6"/>
      <c r="T440" s="16"/>
      <c r="U440" s="6"/>
      <c r="Y440" s="4"/>
      <c r="Z440" s="17"/>
    </row>
    <row r="441" spans="2:26" x14ac:dyDescent="0.3">
      <c r="B441" s="4"/>
      <c r="C441" s="4"/>
      <c r="D441" s="2"/>
      <c r="E441" s="2"/>
      <c r="F441" s="2"/>
      <c r="M441" s="2"/>
      <c r="P441" s="6"/>
      <c r="Q441" s="4"/>
      <c r="R441" s="6"/>
      <c r="T441" s="16"/>
      <c r="U441" s="6"/>
      <c r="Y441" s="4"/>
      <c r="Z441" s="17"/>
    </row>
    <row r="442" spans="2:26" x14ac:dyDescent="0.3">
      <c r="B442" s="4"/>
      <c r="C442" s="4"/>
      <c r="D442" s="2"/>
      <c r="E442" s="2"/>
      <c r="F442" s="2"/>
      <c r="M442" s="2"/>
      <c r="P442" s="6"/>
      <c r="Q442" s="4"/>
      <c r="R442" s="6"/>
      <c r="T442" s="16"/>
      <c r="U442" s="6"/>
      <c r="Y442" s="4"/>
      <c r="Z442" s="17"/>
    </row>
    <row r="443" spans="2:26" x14ac:dyDescent="0.3">
      <c r="B443" s="4"/>
      <c r="C443" s="4"/>
      <c r="D443" s="2"/>
      <c r="E443" s="2"/>
      <c r="F443" s="2"/>
      <c r="M443" s="2"/>
      <c r="P443" s="6"/>
      <c r="Q443" s="4"/>
      <c r="R443" s="6"/>
      <c r="T443" s="16"/>
      <c r="U443" s="6"/>
      <c r="Y443" s="4"/>
      <c r="Z443" s="17"/>
    </row>
    <row r="444" spans="2:26" x14ac:dyDescent="0.3">
      <c r="B444" s="4"/>
      <c r="C444" s="4"/>
      <c r="D444" s="2"/>
      <c r="E444" s="2"/>
      <c r="F444" s="2"/>
      <c r="M444" s="2"/>
      <c r="P444" s="6"/>
      <c r="Q444" s="4"/>
      <c r="R444" s="6"/>
      <c r="T444" s="16"/>
      <c r="U444" s="6"/>
      <c r="Y444" s="4"/>
      <c r="Z444" s="17"/>
    </row>
    <row r="445" spans="2:26" x14ac:dyDescent="0.3">
      <c r="B445" s="4"/>
      <c r="C445" s="4"/>
      <c r="D445" s="2"/>
      <c r="E445" s="2"/>
      <c r="F445" s="2"/>
      <c r="M445" s="2"/>
      <c r="P445" s="6"/>
      <c r="Q445" s="4"/>
      <c r="R445" s="6"/>
      <c r="T445" s="16"/>
      <c r="U445" s="6"/>
      <c r="Y445" s="4"/>
      <c r="Z445" s="17"/>
    </row>
    <row r="446" spans="2:26" x14ac:dyDescent="0.3">
      <c r="B446" s="4"/>
      <c r="C446" s="4"/>
      <c r="D446" s="2"/>
      <c r="E446" s="2"/>
      <c r="F446" s="2"/>
      <c r="M446" s="2"/>
      <c r="P446" s="6"/>
      <c r="Q446" s="4"/>
      <c r="R446" s="6"/>
      <c r="T446" s="16"/>
      <c r="U446" s="6"/>
      <c r="Y446" s="4"/>
      <c r="Z446" s="17"/>
    </row>
    <row r="447" spans="2:26" x14ac:dyDescent="0.3">
      <c r="B447" s="4"/>
      <c r="C447" s="4"/>
      <c r="D447" s="2"/>
      <c r="E447" s="2"/>
      <c r="F447" s="2"/>
      <c r="M447" s="2"/>
      <c r="P447" s="6"/>
      <c r="Q447" s="4"/>
      <c r="R447" s="6"/>
      <c r="T447" s="16"/>
      <c r="U447" s="6"/>
      <c r="Y447" s="4"/>
      <c r="Z447" s="17"/>
    </row>
    <row r="448" spans="2:26" x14ac:dyDescent="0.3">
      <c r="B448" s="4"/>
      <c r="C448" s="4"/>
      <c r="D448" s="2"/>
      <c r="E448" s="2"/>
      <c r="F448" s="2"/>
      <c r="M448" s="2"/>
      <c r="P448" s="6"/>
      <c r="Q448" s="4"/>
      <c r="R448" s="6"/>
      <c r="T448" s="16"/>
      <c r="U448" s="6"/>
      <c r="Y448" s="4"/>
      <c r="Z448" s="17"/>
    </row>
    <row r="449" spans="2:26" x14ac:dyDescent="0.3">
      <c r="B449" s="4"/>
      <c r="C449" s="4"/>
      <c r="D449" s="2"/>
      <c r="E449" s="2"/>
      <c r="F449" s="2"/>
      <c r="M449" s="2"/>
      <c r="P449" s="6"/>
      <c r="Q449" s="4"/>
      <c r="R449" s="6"/>
      <c r="T449" s="16"/>
      <c r="U449" s="6"/>
      <c r="Y449" s="4"/>
      <c r="Z449" s="17"/>
    </row>
    <row r="450" spans="2:26" x14ac:dyDescent="0.3">
      <c r="B450" s="4"/>
      <c r="C450" s="4"/>
      <c r="D450" s="2"/>
      <c r="E450" s="2"/>
      <c r="F450" s="2"/>
      <c r="M450" s="2"/>
      <c r="P450" s="6"/>
      <c r="Q450" s="4"/>
      <c r="R450" s="6"/>
      <c r="T450" s="16"/>
      <c r="U450" s="6"/>
      <c r="Y450" s="4"/>
      <c r="Z450" s="17"/>
    </row>
    <row r="451" spans="2:26" x14ac:dyDescent="0.3">
      <c r="B451" s="4"/>
      <c r="C451" s="4"/>
      <c r="D451" s="2"/>
      <c r="E451" s="2"/>
      <c r="F451" s="2"/>
      <c r="M451" s="2"/>
      <c r="P451" s="6"/>
      <c r="Q451" s="4"/>
      <c r="R451" s="6"/>
      <c r="T451" s="16"/>
      <c r="U451" s="6"/>
      <c r="Y451" s="4"/>
      <c r="Z451" s="17"/>
    </row>
    <row r="452" spans="2:26" x14ac:dyDescent="0.3">
      <c r="B452" s="4"/>
      <c r="C452" s="4"/>
      <c r="D452" s="2"/>
      <c r="E452" s="2"/>
      <c r="F452" s="2"/>
      <c r="M452" s="2"/>
      <c r="P452" s="6"/>
      <c r="Q452" s="4"/>
      <c r="R452" s="6"/>
      <c r="T452" s="16"/>
      <c r="U452" s="6"/>
      <c r="Y452" s="4"/>
      <c r="Z452" s="17"/>
    </row>
    <row r="453" spans="2:26" x14ac:dyDescent="0.3">
      <c r="B453" s="4"/>
      <c r="C453" s="4"/>
      <c r="D453" s="2"/>
      <c r="E453" s="2"/>
      <c r="F453" s="2"/>
      <c r="M453" s="2"/>
      <c r="P453" s="6"/>
      <c r="Q453" s="4"/>
      <c r="R453" s="6"/>
      <c r="T453" s="16"/>
      <c r="U453" s="6"/>
      <c r="Y453" s="4"/>
      <c r="Z453" s="17"/>
    </row>
    <row r="454" spans="2:26" x14ac:dyDescent="0.3">
      <c r="B454" s="4"/>
      <c r="C454" s="4"/>
      <c r="D454" s="2"/>
      <c r="E454" s="2"/>
      <c r="F454" s="2"/>
      <c r="M454" s="2"/>
      <c r="P454" s="6"/>
      <c r="Q454" s="4"/>
      <c r="R454" s="6"/>
      <c r="T454" s="16"/>
      <c r="U454" s="6"/>
      <c r="Y454" s="4"/>
      <c r="Z454" s="17"/>
    </row>
    <row r="455" spans="2:26" x14ac:dyDescent="0.3">
      <c r="B455" s="4"/>
      <c r="C455" s="4"/>
      <c r="D455" s="2"/>
      <c r="E455" s="2"/>
      <c r="F455" s="2"/>
      <c r="M455" s="2"/>
      <c r="P455" s="6"/>
      <c r="Q455" s="4"/>
      <c r="R455" s="6"/>
      <c r="T455" s="16"/>
      <c r="U455" s="6"/>
      <c r="Y455" s="4"/>
      <c r="Z455" s="17"/>
    </row>
    <row r="456" spans="2:26" x14ac:dyDescent="0.3">
      <c r="B456" s="4"/>
      <c r="C456" s="4"/>
      <c r="D456" s="2"/>
      <c r="E456" s="2"/>
      <c r="F456" s="2"/>
      <c r="M456" s="2"/>
      <c r="P456" s="6"/>
      <c r="Q456" s="4"/>
      <c r="R456" s="6"/>
      <c r="T456" s="16"/>
      <c r="U456" s="6"/>
      <c r="Y456" s="4"/>
      <c r="Z456" s="17"/>
    </row>
    <row r="457" spans="2:26" x14ac:dyDescent="0.3">
      <c r="B457" s="4"/>
      <c r="C457" s="4"/>
      <c r="D457" s="2"/>
      <c r="E457" s="2"/>
      <c r="F457" s="2"/>
      <c r="M457" s="2"/>
      <c r="P457" s="6"/>
      <c r="Q457" s="4"/>
      <c r="R457" s="6"/>
      <c r="T457" s="16"/>
      <c r="U457" s="6"/>
      <c r="Y457" s="4"/>
      <c r="Z457" s="17"/>
    </row>
    <row r="458" spans="2:26" x14ac:dyDescent="0.3">
      <c r="B458" s="4"/>
      <c r="C458" s="4"/>
      <c r="D458" s="2"/>
      <c r="E458" s="2"/>
      <c r="F458" s="2"/>
      <c r="M458" s="2"/>
      <c r="P458" s="6"/>
      <c r="Q458" s="4"/>
      <c r="R458" s="6"/>
      <c r="T458" s="16"/>
      <c r="U458" s="6"/>
      <c r="Y458" s="4"/>
      <c r="Z458" s="17"/>
    </row>
    <row r="459" spans="2:26" x14ac:dyDescent="0.3">
      <c r="B459" s="4"/>
      <c r="C459" s="4"/>
      <c r="D459" s="2"/>
      <c r="E459" s="2"/>
      <c r="F459" s="2"/>
      <c r="M459" s="2"/>
      <c r="P459" s="6"/>
      <c r="Q459" s="4"/>
      <c r="R459" s="6"/>
      <c r="T459" s="16"/>
      <c r="U459" s="6"/>
      <c r="Y459" s="4"/>
      <c r="Z459" s="17"/>
    </row>
    <row r="460" spans="2:26" x14ac:dyDescent="0.3">
      <c r="B460" s="4"/>
      <c r="C460" s="4"/>
      <c r="D460" s="2"/>
      <c r="E460" s="2"/>
      <c r="F460" s="2"/>
      <c r="M460" s="2"/>
      <c r="P460" s="6"/>
      <c r="Q460" s="4"/>
      <c r="R460" s="6"/>
      <c r="T460" s="16"/>
      <c r="U460" s="6"/>
      <c r="Y460" s="4"/>
      <c r="Z460" s="17"/>
    </row>
    <row r="461" spans="2:26" x14ac:dyDescent="0.3">
      <c r="B461" s="4"/>
      <c r="C461" s="4"/>
      <c r="D461" s="2"/>
      <c r="E461" s="2"/>
      <c r="F461" s="2"/>
      <c r="M461" s="2"/>
      <c r="P461" s="6"/>
      <c r="Q461" s="4"/>
      <c r="R461" s="6"/>
      <c r="T461" s="16"/>
      <c r="U461" s="6"/>
      <c r="Y461" s="4"/>
      <c r="Z461" s="17"/>
    </row>
    <row r="462" spans="2:26" x14ac:dyDescent="0.3">
      <c r="B462" s="4"/>
      <c r="C462" s="4"/>
      <c r="D462" s="2"/>
      <c r="E462" s="2"/>
      <c r="F462" s="2"/>
      <c r="M462" s="2"/>
      <c r="P462" s="6"/>
      <c r="Q462" s="4"/>
      <c r="R462" s="6"/>
      <c r="T462" s="16"/>
      <c r="U462" s="6"/>
      <c r="Y462" s="4"/>
      <c r="Z462" s="17"/>
    </row>
    <row r="463" spans="2:26" x14ac:dyDescent="0.3">
      <c r="B463" s="4"/>
      <c r="C463" s="4"/>
      <c r="D463" s="2"/>
      <c r="E463" s="2"/>
      <c r="F463" s="2"/>
      <c r="M463" s="2"/>
      <c r="P463" s="6"/>
      <c r="Q463" s="4"/>
      <c r="R463" s="6"/>
      <c r="T463" s="16"/>
      <c r="U463" s="6"/>
      <c r="Y463" s="4"/>
      <c r="Z463" s="17"/>
    </row>
    <row r="464" spans="2:26" x14ac:dyDescent="0.3">
      <c r="B464" s="4"/>
      <c r="C464" s="4"/>
      <c r="D464" s="2"/>
      <c r="E464" s="2"/>
      <c r="F464" s="2"/>
      <c r="M464" s="2"/>
      <c r="P464" s="6"/>
      <c r="Q464" s="4"/>
      <c r="R464" s="6"/>
      <c r="T464" s="16"/>
      <c r="U464" s="6"/>
      <c r="Y464" s="4"/>
      <c r="Z464" s="17"/>
    </row>
    <row r="465" spans="2:26" x14ac:dyDescent="0.3">
      <c r="B465" s="4"/>
      <c r="C465" s="4"/>
      <c r="D465" s="2"/>
      <c r="E465" s="2"/>
      <c r="F465" s="2"/>
      <c r="M465" s="2"/>
      <c r="P465" s="6"/>
      <c r="Q465" s="4"/>
      <c r="R465" s="6"/>
      <c r="T465" s="16"/>
      <c r="U465" s="6"/>
      <c r="Y465" s="4"/>
      <c r="Z465" s="17"/>
    </row>
    <row r="466" spans="2:26" x14ac:dyDescent="0.3">
      <c r="B466" s="4"/>
      <c r="C466" s="4"/>
      <c r="D466" s="2"/>
      <c r="E466" s="2"/>
      <c r="F466" s="2"/>
      <c r="M466" s="2"/>
      <c r="P466" s="6"/>
      <c r="Q466" s="4"/>
      <c r="R466" s="6"/>
      <c r="T466" s="16"/>
      <c r="U466" s="6"/>
      <c r="Y466" s="4"/>
      <c r="Z466" s="17"/>
    </row>
    <row r="467" spans="2:26" x14ac:dyDescent="0.3">
      <c r="B467" s="4"/>
      <c r="C467" s="4"/>
      <c r="D467" s="2"/>
      <c r="E467" s="2"/>
      <c r="F467" s="2"/>
      <c r="M467" s="2"/>
      <c r="P467" s="6"/>
      <c r="Q467" s="4"/>
      <c r="R467" s="6"/>
      <c r="T467" s="16"/>
      <c r="U467" s="6"/>
      <c r="Y467" s="4"/>
      <c r="Z467" s="17"/>
    </row>
    <row r="468" spans="2:26" x14ac:dyDescent="0.3">
      <c r="B468" s="4"/>
      <c r="C468" s="4"/>
      <c r="D468" s="2"/>
      <c r="E468" s="2"/>
      <c r="F468" s="2"/>
      <c r="M468" s="2"/>
      <c r="P468" s="6"/>
      <c r="Q468" s="4"/>
      <c r="R468" s="6"/>
      <c r="T468" s="16"/>
      <c r="U468" s="6"/>
      <c r="Y468" s="4"/>
      <c r="Z468" s="17"/>
    </row>
    <row r="469" spans="2:26" x14ac:dyDescent="0.3">
      <c r="B469" s="4"/>
      <c r="C469" s="4"/>
      <c r="D469" s="2"/>
      <c r="E469" s="2"/>
      <c r="F469" s="2"/>
      <c r="M469" s="2"/>
      <c r="P469" s="6"/>
      <c r="Q469" s="4"/>
      <c r="R469" s="6"/>
      <c r="T469" s="16"/>
      <c r="U469" s="6"/>
      <c r="Y469" s="4"/>
      <c r="Z469" s="17"/>
    </row>
    <row r="470" spans="2:26" x14ac:dyDescent="0.3">
      <c r="B470" s="4"/>
      <c r="C470" s="4"/>
      <c r="D470" s="2"/>
      <c r="E470" s="2"/>
      <c r="F470" s="2"/>
      <c r="M470" s="2"/>
      <c r="P470" s="6"/>
      <c r="Q470" s="4"/>
      <c r="R470" s="6"/>
      <c r="T470" s="16"/>
      <c r="U470" s="6"/>
      <c r="Y470" s="4"/>
      <c r="Z470" s="17"/>
    </row>
    <row r="471" spans="2:26" x14ac:dyDescent="0.3">
      <c r="B471" s="4"/>
      <c r="C471" s="4"/>
      <c r="D471" s="2"/>
      <c r="E471" s="2"/>
      <c r="F471" s="2"/>
      <c r="M471" s="2"/>
      <c r="P471" s="6"/>
      <c r="Q471" s="4"/>
      <c r="R471" s="6"/>
      <c r="T471" s="16"/>
      <c r="U471" s="6"/>
      <c r="Y471" s="4"/>
      <c r="Z471" s="17"/>
    </row>
    <row r="472" spans="2:26" x14ac:dyDescent="0.3">
      <c r="B472" s="4"/>
      <c r="C472" s="4"/>
      <c r="D472" s="2"/>
      <c r="E472" s="2"/>
      <c r="F472" s="2"/>
      <c r="M472" s="2"/>
      <c r="P472" s="6"/>
      <c r="Q472" s="4"/>
      <c r="R472" s="6"/>
      <c r="T472" s="16"/>
      <c r="U472" s="6"/>
      <c r="Y472" s="4"/>
      <c r="Z472" s="17"/>
    </row>
    <row r="473" spans="2:26" x14ac:dyDescent="0.3">
      <c r="B473" s="4"/>
      <c r="C473" s="4"/>
      <c r="D473" s="2"/>
      <c r="E473" s="2"/>
      <c r="F473" s="2"/>
      <c r="M473" s="2"/>
      <c r="P473" s="6"/>
      <c r="Q473" s="4"/>
      <c r="R473" s="6"/>
      <c r="T473" s="16"/>
      <c r="U473" s="6"/>
      <c r="Y473" s="4"/>
      <c r="Z473" s="17"/>
    </row>
    <row r="474" spans="2:26" x14ac:dyDescent="0.3">
      <c r="B474" s="4"/>
      <c r="C474" s="4"/>
      <c r="D474" s="2"/>
      <c r="E474" s="2"/>
      <c r="F474" s="2"/>
      <c r="M474" s="2"/>
      <c r="P474" s="6"/>
      <c r="Q474" s="4"/>
      <c r="R474" s="6"/>
      <c r="T474" s="16"/>
      <c r="U474" s="6"/>
      <c r="Y474" s="4"/>
      <c r="Z474" s="17"/>
    </row>
    <row r="475" spans="2:26" x14ac:dyDescent="0.3">
      <c r="B475" s="4"/>
      <c r="C475" s="4"/>
      <c r="D475" s="2"/>
      <c r="E475" s="2"/>
      <c r="F475" s="2"/>
      <c r="M475" s="2"/>
      <c r="P475" s="6"/>
      <c r="Q475" s="4"/>
      <c r="R475" s="6"/>
      <c r="T475" s="16"/>
      <c r="U475" s="6"/>
      <c r="Y475" s="4"/>
      <c r="Z475" s="17"/>
    </row>
    <row r="476" spans="2:26" x14ac:dyDescent="0.3">
      <c r="B476" s="4"/>
      <c r="C476" s="4"/>
      <c r="D476" s="2"/>
      <c r="E476" s="2"/>
      <c r="F476" s="2"/>
      <c r="M476" s="2"/>
      <c r="P476" s="6"/>
      <c r="Q476" s="4"/>
      <c r="R476" s="6"/>
      <c r="T476" s="16"/>
      <c r="U476" s="6"/>
      <c r="Y476" s="4"/>
      <c r="Z476" s="17"/>
    </row>
    <row r="477" spans="2:26" x14ac:dyDescent="0.3">
      <c r="B477" s="4"/>
      <c r="C477" s="4"/>
      <c r="D477" s="2"/>
      <c r="E477" s="2"/>
      <c r="F477" s="2"/>
      <c r="M477" s="2"/>
      <c r="P477" s="6"/>
      <c r="Q477" s="4"/>
      <c r="R477" s="6"/>
      <c r="T477" s="16"/>
      <c r="U477" s="6"/>
      <c r="Y477" s="4"/>
      <c r="Z477" s="17"/>
    </row>
    <row r="478" spans="2:26" x14ac:dyDescent="0.3">
      <c r="B478" s="4"/>
      <c r="C478" s="4"/>
      <c r="D478" s="2"/>
      <c r="E478" s="2"/>
      <c r="F478" s="2"/>
      <c r="M478" s="2"/>
      <c r="P478" s="6"/>
      <c r="Q478" s="4"/>
      <c r="R478" s="6"/>
      <c r="T478" s="16"/>
      <c r="U478" s="6"/>
      <c r="Y478" s="4"/>
      <c r="Z478" s="17"/>
    </row>
    <row r="479" spans="2:26" x14ac:dyDescent="0.3">
      <c r="B479" s="4"/>
      <c r="C479" s="4"/>
      <c r="D479" s="2"/>
      <c r="E479" s="2"/>
      <c r="F479" s="2"/>
      <c r="M479" s="2"/>
      <c r="P479" s="6"/>
      <c r="Q479" s="4"/>
      <c r="R479" s="6"/>
      <c r="T479" s="16"/>
      <c r="U479" s="6"/>
      <c r="Y479" s="4"/>
      <c r="Z479" s="17"/>
    </row>
    <row r="480" spans="2:26" x14ac:dyDescent="0.3">
      <c r="B480" s="4"/>
      <c r="C480" s="4"/>
      <c r="D480" s="2"/>
      <c r="E480" s="2"/>
      <c r="F480" s="2"/>
      <c r="M480" s="2"/>
      <c r="P480" s="6"/>
      <c r="Q480" s="4"/>
      <c r="R480" s="6"/>
      <c r="T480" s="16"/>
      <c r="U480" s="6"/>
      <c r="Y480" s="4"/>
      <c r="Z480" s="17"/>
    </row>
    <row r="481" spans="2:26" x14ac:dyDescent="0.3">
      <c r="B481" s="4"/>
      <c r="C481" s="4"/>
      <c r="D481" s="2"/>
      <c r="E481" s="2"/>
      <c r="F481" s="2"/>
      <c r="M481" s="2"/>
      <c r="P481" s="6"/>
      <c r="Q481" s="4"/>
      <c r="R481" s="6"/>
      <c r="T481" s="16"/>
      <c r="U481" s="6"/>
      <c r="Y481" s="4"/>
      <c r="Z481" s="17"/>
    </row>
    <row r="482" spans="2:26" x14ac:dyDescent="0.3">
      <c r="B482" s="4"/>
      <c r="C482" s="4"/>
      <c r="D482" s="2"/>
      <c r="E482" s="2"/>
      <c r="F482" s="2"/>
      <c r="M482" s="2"/>
      <c r="P482" s="6"/>
      <c r="Q482" s="4"/>
      <c r="R482" s="6"/>
      <c r="T482" s="16"/>
      <c r="U482" s="6"/>
      <c r="Y482" s="4"/>
      <c r="Z482" s="17"/>
    </row>
    <row r="483" spans="2:26" x14ac:dyDescent="0.3">
      <c r="B483" s="4"/>
      <c r="C483" s="4"/>
      <c r="D483" s="2"/>
      <c r="E483" s="2"/>
      <c r="F483" s="2"/>
      <c r="M483" s="2"/>
      <c r="P483" s="6"/>
      <c r="Q483" s="4"/>
      <c r="R483" s="6"/>
      <c r="T483" s="16"/>
      <c r="U483" s="6"/>
      <c r="Y483" s="4"/>
      <c r="Z483" s="17"/>
    </row>
    <row r="484" spans="2:26" x14ac:dyDescent="0.3">
      <c r="B484" s="4"/>
      <c r="C484" s="4"/>
      <c r="D484" s="2"/>
      <c r="E484" s="2"/>
      <c r="F484" s="2"/>
      <c r="M484" s="2"/>
      <c r="P484" s="6"/>
      <c r="Q484" s="4"/>
      <c r="R484" s="6"/>
      <c r="T484" s="16"/>
      <c r="U484" s="6"/>
      <c r="Y484" s="4"/>
      <c r="Z484" s="17"/>
    </row>
    <row r="485" spans="2:26" x14ac:dyDescent="0.3">
      <c r="B485" s="4"/>
      <c r="C485" s="4"/>
      <c r="D485" s="2"/>
      <c r="E485" s="2"/>
      <c r="F485" s="2"/>
      <c r="M485" s="2"/>
      <c r="P485" s="6"/>
      <c r="Q485" s="4"/>
      <c r="R485" s="6"/>
      <c r="T485" s="16"/>
      <c r="U485" s="6"/>
      <c r="Y485" s="4"/>
      <c r="Z485" s="17"/>
    </row>
    <row r="486" spans="2:26" x14ac:dyDescent="0.3">
      <c r="B486" s="4"/>
      <c r="C486" s="4"/>
      <c r="D486" s="2"/>
      <c r="E486" s="2"/>
      <c r="F486" s="2"/>
      <c r="M486" s="2"/>
      <c r="P486" s="6"/>
      <c r="Q486" s="4"/>
      <c r="R486" s="6"/>
      <c r="T486" s="16"/>
      <c r="U486" s="6"/>
      <c r="Y486" s="4"/>
      <c r="Z486" s="17"/>
    </row>
    <row r="487" spans="2:26" x14ac:dyDescent="0.3">
      <c r="B487" s="4"/>
      <c r="C487" s="4"/>
      <c r="D487" s="2"/>
      <c r="E487" s="2"/>
      <c r="F487" s="2"/>
      <c r="M487" s="2"/>
      <c r="P487" s="6"/>
      <c r="Q487" s="4"/>
      <c r="R487" s="6"/>
      <c r="T487" s="16"/>
      <c r="U487" s="6"/>
      <c r="Y487" s="4"/>
      <c r="Z487" s="17"/>
    </row>
    <row r="488" spans="2:26" x14ac:dyDescent="0.3">
      <c r="B488" s="4"/>
      <c r="C488" s="4"/>
      <c r="D488" s="2"/>
      <c r="E488" s="2"/>
      <c r="F488" s="2"/>
      <c r="M488" s="2"/>
      <c r="P488" s="6"/>
      <c r="Q488" s="4"/>
      <c r="R488" s="6"/>
      <c r="T488" s="16"/>
      <c r="U488" s="6"/>
      <c r="Y488" s="4"/>
      <c r="Z488" s="17"/>
    </row>
    <row r="489" spans="2:26" x14ac:dyDescent="0.3">
      <c r="B489" s="4"/>
      <c r="C489" s="4"/>
      <c r="D489" s="2"/>
      <c r="E489" s="2"/>
      <c r="F489" s="2"/>
      <c r="M489" s="2"/>
      <c r="P489" s="6"/>
      <c r="Q489" s="4"/>
      <c r="R489" s="6"/>
      <c r="T489" s="16"/>
      <c r="U489" s="6"/>
      <c r="Y489" s="4"/>
      <c r="Z489" s="17"/>
    </row>
    <row r="490" spans="2:26" x14ac:dyDescent="0.3">
      <c r="B490" s="4"/>
      <c r="C490" s="4"/>
      <c r="D490" s="2"/>
      <c r="E490" s="2"/>
      <c r="F490" s="2"/>
      <c r="M490" s="2"/>
      <c r="P490" s="6"/>
      <c r="Q490" s="4"/>
      <c r="R490" s="6"/>
      <c r="T490" s="16"/>
      <c r="U490" s="6"/>
      <c r="Y490" s="4"/>
      <c r="Z490" s="17"/>
    </row>
    <row r="491" spans="2:26" x14ac:dyDescent="0.3">
      <c r="B491" s="4"/>
      <c r="C491" s="4"/>
      <c r="D491" s="2"/>
      <c r="E491" s="2"/>
      <c r="F491" s="2"/>
      <c r="M491" s="2"/>
      <c r="P491" s="6"/>
      <c r="Q491" s="4"/>
      <c r="R491" s="6"/>
      <c r="T491" s="16"/>
      <c r="U491" s="6"/>
      <c r="Y491" s="4"/>
      <c r="Z491" s="17"/>
    </row>
    <row r="492" spans="2:26" x14ac:dyDescent="0.3">
      <c r="B492" s="4"/>
      <c r="C492" s="4"/>
      <c r="D492" s="2"/>
      <c r="E492" s="2"/>
      <c r="F492" s="2"/>
      <c r="M492" s="2"/>
      <c r="P492" s="6"/>
      <c r="Q492" s="4"/>
      <c r="R492" s="6"/>
      <c r="T492" s="16"/>
      <c r="U492" s="6"/>
      <c r="Y492" s="4"/>
      <c r="Z492" s="17"/>
    </row>
    <row r="493" spans="2:26" x14ac:dyDescent="0.3">
      <c r="B493" s="4"/>
      <c r="C493" s="4"/>
      <c r="D493" s="2"/>
      <c r="E493" s="2"/>
      <c r="F493" s="2"/>
      <c r="M493" s="2"/>
      <c r="P493" s="6"/>
      <c r="Q493" s="4"/>
      <c r="R493" s="6"/>
      <c r="T493" s="16"/>
      <c r="U493" s="6"/>
      <c r="Y493" s="4"/>
      <c r="Z493" s="17"/>
    </row>
    <row r="494" spans="2:26" x14ac:dyDescent="0.3">
      <c r="B494" s="4"/>
      <c r="C494" s="4"/>
      <c r="D494" s="2"/>
      <c r="E494" s="2"/>
      <c r="F494" s="2"/>
      <c r="M494" s="2"/>
      <c r="P494" s="6"/>
      <c r="Q494" s="4"/>
      <c r="R494" s="6"/>
      <c r="T494" s="16"/>
      <c r="U494" s="6"/>
      <c r="Y494" s="4"/>
      <c r="Z494" s="17"/>
    </row>
    <row r="495" spans="2:26" x14ac:dyDescent="0.3">
      <c r="B495" s="4"/>
      <c r="C495" s="4"/>
      <c r="D495" s="2"/>
      <c r="E495" s="2"/>
      <c r="F495" s="2"/>
      <c r="M495" s="2"/>
      <c r="P495" s="6"/>
      <c r="Q495" s="4"/>
      <c r="R495" s="6"/>
      <c r="T495" s="16"/>
      <c r="U495" s="6"/>
      <c r="Y495" s="4"/>
      <c r="Z495" s="17"/>
    </row>
    <row r="496" spans="2:26" x14ac:dyDescent="0.3">
      <c r="B496" s="4"/>
      <c r="C496" s="4"/>
      <c r="D496" s="2"/>
      <c r="E496" s="2"/>
      <c r="F496" s="2"/>
      <c r="M496" s="2"/>
      <c r="P496" s="6"/>
      <c r="Q496" s="4"/>
      <c r="R496" s="6"/>
      <c r="T496" s="16"/>
      <c r="U496" s="6"/>
      <c r="Y496" s="4"/>
      <c r="Z496" s="17"/>
    </row>
    <row r="497" spans="2:26" x14ac:dyDescent="0.3">
      <c r="B497" s="4"/>
      <c r="C497" s="4"/>
      <c r="D497" s="2"/>
      <c r="E497" s="2"/>
      <c r="F497" s="2"/>
      <c r="M497" s="2"/>
      <c r="P497" s="6"/>
      <c r="Q497" s="4"/>
      <c r="R497" s="6"/>
      <c r="T497" s="16"/>
      <c r="U497" s="6"/>
      <c r="Y497" s="4"/>
      <c r="Z497" s="17"/>
    </row>
    <row r="498" spans="2:26" x14ac:dyDescent="0.3">
      <c r="B498" s="4"/>
      <c r="C498" s="4"/>
      <c r="D498" s="2"/>
      <c r="E498" s="2"/>
      <c r="F498" s="2"/>
      <c r="M498" s="2"/>
      <c r="P498" s="6"/>
      <c r="Q498" s="4"/>
      <c r="R498" s="6"/>
      <c r="T498" s="16"/>
      <c r="U498" s="6"/>
      <c r="Y498" s="4"/>
      <c r="Z498" s="17"/>
    </row>
    <row r="499" spans="2:26" x14ac:dyDescent="0.3">
      <c r="B499" s="4"/>
      <c r="C499" s="4"/>
      <c r="D499" s="2"/>
      <c r="E499" s="2"/>
      <c r="F499" s="2"/>
      <c r="M499" s="2"/>
      <c r="P499" s="6"/>
      <c r="Q499" s="4"/>
      <c r="R499" s="6"/>
      <c r="T499" s="16"/>
      <c r="U499" s="6"/>
      <c r="Y499" s="4"/>
      <c r="Z499" s="17"/>
    </row>
    <row r="500" spans="2:26" x14ac:dyDescent="0.3">
      <c r="B500" s="4"/>
      <c r="C500" s="4"/>
      <c r="D500" s="2"/>
      <c r="E500" s="2"/>
      <c r="F500" s="2"/>
      <c r="M500" s="2"/>
      <c r="P500" s="6"/>
      <c r="Q500" s="4"/>
      <c r="R500" s="6"/>
      <c r="T500" s="16"/>
      <c r="U500" s="6"/>
      <c r="Y500" s="4"/>
      <c r="Z500" s="17"/>
    </row>
    <row r="501" spans="2:26" x14ac:dyDescent="0.3">
      <c r="B501" s="4"/>
      <c r="C501" s="4"/>
      <c r="D501" s="2"/>
      <c r="E501" s="2"/>
      <c r="F501" s="2"/>
      <c r="M501" s="2"/>
      <c r="P501" s="6"/>
      <c r="Q501" s="4"/>
      <c r="R501" s="6"/>
      <c r="T501" s="16"/>
      <c r="U501" s="6"/>
      <c r="Y501" s="4"/>
      <c r="Z501" s="17"/>
    </row>
    <row r="502" spans="2:26" x14ac:dyDescent="0.3">
      <c r="B502" s="4"/>
      <c r="C502" s="4"/>
      <c r="D502" s="2"/>
      <c r="E502" s="2"/>
      <c r="F502" s="2"/>
      <c r="M502" s="2"/>
      <c r="P502" s="6"/>
      <c r="Q502" s="4"/>
      <c r="R502" s="6"/>
      <c r="T502" s="16"/>
      <c r="U502" s="6"/>
      <c r="Y502" s="4"/>
      <c r="Z502" s="17"/>
    </row>
    <row r="503" spans="2:26" x14ac:dyDescent="0.3">
      <c r="B503" s="4"/>
      <c r="C503" s="4"/>
      <c r="D503" s="2"/>
      <c r="E503" s="2"/>
      <c r="F503" s="2"/>
      <c r="M503" s="2"/>
      <c r="P503" s="6"/>
      <c r="Q503" s="4"/>
      <c r="R503" s="6"/>
      <c r="T503" s="16"/>
      <c r="U503" s="6"/>
      <c r="Y503" s="4"/>
      <c r="Z503" s="17"/>
    </row>
    <row r="504" spans="2:26" x14ac:dyDescent="0.3">
      <c r="B504" s="4"/>
      <c r="C504" s="4"/>
      <c r="D504" s="2"/>
      <c r="E504" s="2"/>
      <c r="F504" s="2"/>
      <c r="M504" s="2"/>
      <c r="P504" s="6"/>
      <c r="Q504" s="4"/>
      <c r="R504" s="6"/>
      <c r="T504" s="16"/>
      <c r="U504" s="6"/>
      <c r="Y504" s="4"/>
      <c r="Z504" s="17"/>
    </row>
    <row r="505" spans="2:26" x14ac:dyDescent="0.3">
      <c r="B505" s="4"/>
      <c r="C505" s="4"/>
      <c r="D505" s="2"/>
      <c r="E505" s="2"/>
      <c r="F505" s="2"/>
      <c r="M505" s="2"/>
      <c r="P505" s="6"/>
      <c r="Q505" s="4"/>
      <c r="R505" s="6"/>
      <c r="T505" s="16"/>
      <c r="U505" s="6"/>
      <c r="Y505" s="4"/>
      <c r="Z505" s="17"/>
    </row>
    <row r="506" spans="2:26" x14ac:dyDescent="0.3">
      <c r="B506" s="4"/>
      <c r="C506" s="4"/>
      <c r="D506" s="2"/>
      <c r="E506" s="2"/>
      <c r="F506" s="2"/>
      <c r="M506" s="2"/>
      <c r="P506" s="6"/>
      <c r="Q506" s="4"/>
      <c r="R506" s="6"/>
      <c r="T506" s="16"/>
      <c r="U506" s="6"/>
      <c r="Y506" s="4"/>
      <c r="Z506" s="17"/>
    </row>
    <row r="507" spans="2:26" x14ac:dyDescent="0.3">
      <c r="B507" s="4"/>
      <c r="C507" s="4"/>
      <c r="D507" s="2"/>
      <c r="E507" s="2"/>
      <c r="F507" s="2"/>
      <c r="M507" s="2"/>
      <c r="P507" s="6"/>
      <c r="Q507" s="4"/>
      <c r="R507" s="6"/>
      <c r="T507" s="16"/>
      <c r="U507" s="6"/>
      <c r="Y507" s="4"/>
      <c r="Z507" s="17"/>
    </row>
    <row r="508" spans="2:26" x14ac:dyDescent="0.3">
      <c r="B508" s="4"/>
      <c r="C508" s="4"/>
      <c r="D508" s="2"/>
      <c r="E508" s="2"/>
      <c r="F508" s="2"/>
      <c r="M508" s="2"/>
      <c r="P508" s="6"/>
      <c r="Q508" s="4"/>
      <c r="R508" s="6"/>
      <c r="T508" s="16"/>
      <c r="U508" s="6"/>
      <c r="Y508" s="4"/>
      <c r="Z508" s="17"/>
    </row>
    <row r="509" spans="2:26" x14ac:dyDescent="0.3">
      <c r="B509" s="4"/>
      <c r="C509" s="4"/>
      <c r="D509" s="2"/>
      <c r="E509" s="2"/>
      <c r="F509" s="2"/>
      <c r="M509" s="2"/>
      <c r="P509" s="6"/>
      <c r="Q509" s="4"/>
      <c r="R509" s="6"/>
      <c r="T509" s="16"/>
      <c r="U509" s="6"/>
      <c r="Y509" s="4"/>
      <c r="Z509" s="17"/>
    </row>
    <row r="510" spans="2:26" x14ac:dyDescent="0.3">
      <c r="B510" s="4"/>
      <c r="C510" s="4"/>
      <c r="D510" s="2"/>
      <c r="E510" s="2"/>
      <c r="F510" s="2"/>
      <c r="M510" s="2"/>
      <c r="P510" s="6"/>
      <c r="Q510" s="4"/>
      <c r="R510" s="6"/>
      <c r="T510" s="16"/>
      <c r="U510" s="6"/>
      <c r="Y510" s="4"/>
      <c r="Z510" s="17"/>
    </row>
    <row r="511" spans="2:26" x14ac:dyDescent="0.3">
      <c r="B511" s="4"/>
      <c r="C511" s="4"/>
      <c r="D511" s="2"/>
      <c r="E511" s="2"/>
      <c r="F511" s="2"/>
      <c r="M511" s="2"/>
      <c r="P511" s="6"/>
      <c r="Q511" s="4"/>
      <c r="R511" s="6"/>
      <c r="T511" s="16"/>
      <c r="U511" s="6"/>
      <c r="Y511" s="4"/>
      <c r="Z511" s="17"/>
    </row>
    <row r="512" spans="2:26" x14ac:dyDescent="0.3">
      <c r="B512" s="4"/>
      <c r="C512" s="4"/>
      <c r="D512" s="2"/>
      <c r="E512" s="2"/>
      <c r="F512" s="2"/>
      <c r="M512" s="2"/>
      <c r="P512" s="6"/>
      <c r="Q512" s="4"/>
      <c r="R512" s="6"/>
      <c r="T512" s="16"/>
      <c r="U512" s="6"/>
      <c r="Y512" s="4"/>
      <c r="Z512" s="17"/>
    </row>
    <row r="513" spans="2:26" x14ac:dyDescent="0.3">
      <c r="B513" s="4"/>
      <c r="C513" s="4"/>
      <c r="D513" s="2"/>
      <c r="E513" s="2"/>
      <c r="F513" s="2"/>
      <c r="M513" s="2"/>
      <c r="P513" s="6"/>
      <c r="Q513" s="4"/>
      <c r="R513" s="6"/>
      <c r="T513" s="16"/>
      <c r="U513" s="6"/>
      <c r="Y513" s="4"/>
      <c r="Z513" s="17"/>
    </row>
    <row r="514" spans="2:26" x14ac:dyDescent="0.3">
      <c r="B514" s="4"/>
      <c r="C514" s="4"/>
      <c r="D514" s="2"/>
      <c r="E514" s="2"/>
      <c r="F514" s="2"/>
      <c r="M514" s="2"/>
      <c r="P514" s="6"/>
      <c r="Q514" s="4"/>
      <c r="R514" s="6"/>
      <c r="T514" s="16"/>
      <c r="U514" s="6"/>
      <c r="Y514" s="4"/>
      <c r="Z514" s="17"/>
    </row>
    <row r="515" spans="2:26" x14ac:dyDescent="0.3">
      <c r="B515" s="4"/>
      <c r="C515" s="4"/>
      <c r="D515" s="2"/>
      <c r="E515" s="2"/>
      <c r="F515" s="2"/>
      <c r="M515" s="2"/>
      <c r="P515" s="6"/>
      <c r="Q515" s="4"/>
      <c r="R515" s="6"/>
      <c r="T515" s="16"/>
      <c r="U515" s="6"/>
      <c r="Y515" s="4"/>
      <c r="Z515" s="17"/>
    </row>
    <row r="516" spans="2:26" x14ac:dyDescent="0.3">
      <c r="B516" s="4"/>
      <c r="C516" s="4"/>
      <c r="D516" s="2"/>
      <c r="E516" s="2"/>
      <c r="F516" s="2"/>
      <c r="M516" s="2"/>
      <c r="P516" s="6"/>
      <c r="Q516" s="4"/>
      <c r="R516" s="6"/>
      <c r="T516" s="16"/>
      <c r="U516" s="6"/>
      <c r="Y516" s="4"/>
      <c r="Z516" s="17"/>
    </row>
    <row r="517" spans="2:26" x14ac:dyDescent="0.3">
      <c r="B517" s="4"/>
      <c r="C517" s="4"/>
      <c r="D517" s="9" t="str">
        <f>UPPER(Table132[[#This Row],[SIGNAL]])</f>
        <v/>
      </c>
      <c r="E517" s="9" t="str">
        <f>IF(Table132[[#This Row],[template]]="","","0x"&amp;Table132[[#This Row],[IP_Index]]&amp;DEC2HEX(Table132[[#This Row],[Addr_Dec]]*4,7))</f>
        <v/>
      </c>
      <c r="F517" s="9" t="str">
        <f>IF(Table132[[#This Row],[template]]="","",VLOOKUP(Table132[[#This Row],[template]],Table29153[],2,FALSE))</f>
        <v/>
      </c>
      <c r="G517" s="18" t="str">
        <f>IF(Table132[[#This Row],[template]]="","","1")</f>
        <v/>
      </c>
      <c r="H517" s="10" t="s">
        <v>267</v>
      </c>
      <c r="I517" s="13" t="str">
        <f>IF(Table132[[#This Row],[template]]="","","0x"&amp;Table132[[#This Row],[D_Index]]&amp;"000")</f>
        <v/>
      </c>
      <c r="J517" s="18" t="s">
        <v>342</v>
      </c>
      <c r="K517" s="10">
        <v>0</v>
      </c>
      <c r="L517" s="11"/>
      <c r="M517" s="9" t="str">
        <f>IF(Table132[[#This Row],[template]]="","",Table132[[#This Row],[IP_NAME]]&amp;"_"&amp;Table132[[#This Row],[PARAM_NAME]]&amp;IF(Table132[[#This Row],[PARAM_SUB]]="","","_"&amp;Table132[[#This Row],[PARAM_SUB]]))</f>
        <v/>
      </c>
      <c r="N517" s="1" t="s">
        <v>251</v>
      </c>
      <c r="O517" s="1" t="s">
        <v>268</v>
      </c>
      <c r="P517" s="6"/>
      <c r="Q517" s="4">
        <v>0</v>
      </c>
      <c r="R517" s="6" t="s">
        <v>317</v>
      </c>
      <c r="S517" s="1" t="s">
        <v>295</v>
      </c>
      <c r="T517" s="12">
        <v>0</v>
      </c>
      <c r="U517" s="6" t="s">
        <v>316</v>
      </c>
      <c r="X517" s="11" t="str">
        <f>IF(Table132[[#This Row],[template]]="","",VLOOKUP(Table132[[#This Row],[IP_NAME]],Table511175[],2,FALSE))</f>
        <v/>
      </c>
      <c r="Y517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/>
      </c>
      <c r="Z517" s="14" t="str">
        <f>IF(Table132[[#This Row],[template]]="","",HEX2DEC(Table132[[#This Row],[Addr_Hex]]))</f>
        <v/>
      </c>
    </row>
    <row r="518" spans="2:26" x14ac:dyDescent="0.3">
      <c r="B518" s="4"/>
      <c r="C518" s="4"/>
      <c r="D518" s="9" t="str">
        <f>UPPER(Table132[[#This Row],[SIGNAL]])</f>
        <v/>
      </c>
      <c r="E518" s="9" t="str">
        <f>IF(Table132[[#This Row],[template]]="","","0x"&amp;Table132[[#This Row],[IP_Index]]&amp;DEC2HEX(Table132[[#This Row],[Addr_Dec]]*4,7))</f>
        <v/>
      </c>
      <c r="F518" s="9" t="str">
        <f>IF(Table132[[#This Row],[template]]="","",VLOOKUP(Table132[[#This Row],[template]],Table29153[],2,FALSE))</f>
        <v/>
      </c>
      <c r="G518" s="18" t="str">
        <f>IF(Table132[[#This Row],[template]]="","","1")</f>
        <v/>
      </c>
      <c r="H518" s="10" t="s">
        <v>267</v>
      </c>
      <c r="I518" s="13" t="str">
        <f>IF(Table132[[#This Row],[template]]="","","0x"&amp;Table132[[#This Row],[D_Index]]&amp;"000")</f>
        <v/>
      </c>
      <c r="J518" s="18" t="s">
        <v>342</v>
      </c>
      <c r="K518" s="10">
        <v>0</v>
      </c>
      <c r="L518" s="11"/>
      <c r="M518" s="9" t="str">
        <f>IF(Table132[[#This Row],[template]]="","",Table132[[#This Row],[IP_NAME]]&amp;"_"&amp;Table132[[#This Row],[PARAM_NAME]]&amp;IF(Table132[[#This Row],[PARAM_SUB]]="","","_"&amp;Table132[[#This Row],[PARAM_SUB]]))</f>
        <v/>
      </c>
      <c r="N518" s="1" t="s">
        <v>251</v>
      </c>
      <c r="O518" s="1" t="s">
        <v>268</v>
      </c>
      <c r="P518" s="6"/>
      <c r="Q518" s="4">
        <v>0</v>
      </c>
      <c r="R518" s="6" t="s">
        <v>317</v>
      </c>
      <c r="S518" s="1" t="s">
        <v>295</v>
      </c>
      <c r="T518" s="12">
        <v>0</v>
      </c>
      <c r="U518" s="6" t="s">
        <v>316</v>
      </c>
      <c r="X518" s="11" t="str">
        <f>IF(Table132[[#This Row],[template]]="","",VLOOKUP(Table132[[#This Row],[IP_NAME]],Table511175[],2,FALSE))</f>
        <v/>
      </c>
      <c r="Y518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/>
      </c>
      <c r="Z518" s="14" t="str">
        <f>IF(Table132[[#This Row],[template]]="","",HEX2DEC(Table132[[#This Row],[Addr_Hex]]))</f>
        <v/>
      </c>
    </row>
    <row r="519" spans="2:26" x14ac:dyDescent="0.3">
      <c r="B519" s="4"/>
      <c r="C519" s="4"/>
      <c r="D519" s="9" t="str">
        <f>UPPER(Table132[[#This Row],[SIGNAL]])</f>
        <v/>
      </c>
      <c r="E519" s="9" t="str">
        <f>IF(Table132[[#This Row],[template]]="","","0x"&amp;Table132[[#This Row],[IP_Index]]&amp;DEC2HEX(Table132[[#This Row],[Addr_Dec]]*4,7))</f>
        <v/>
      </c>
      <c r="F519" s="9" t="str">
        <f>IF(Table132[[#This Row],[template]]="","",VLOOKUP(Table132[[#This Row],[template]],Table29153[],2,FALSE))</f>
        <v/>
      </c>
      <c r="G519" s="18" t="str">
        <f>IF(Table132[[#This Row],[template]]="","","1")</f>
        <v/>
      </c>
      <c r="H519" s="10" t="s">
        <v>267</v>
      </c>
      <c r="I519" s="13" t="str">
        <f>IF(Table132[[#This Row],[template]]="","","0x"&amp;Table132[[#This Row],[D_Index]]&amp;"000")</f>
        <v/>
      </c>
      <c r="J519" s="18" t="s">
        <v>342</v>
      </c>
      <c r="K519" s="10">
        <v>0</v>
      </c>
      <c r="L519" s="11"/>
      <c r="M519" s="9" t="str">
        <f>IF(Table132[[#This Row],[template]]="","",Table132[[#This Row],[IP_NAME]]&amp;"_"&amp;Table132[[#This Row],[PARAM_NAME]]&amp;IF(Table132[[#This Row],[PARAM_SUB]]="","","_"&amp;Table132[[#This Row],[PARAM_SUB]]))</f>
        <v/>
      </c>
      <c r="N519" s="1" t="s">
        <v>251</v>
      </c>
      <c r="O519" s="1" t="s">
        <v>268</v>
      </c>
      <c r="P519" s="6"/>
      <c r="Q519" s="4">
        <v>0</v>
      </c>
      <c r="R519" s="6" t="s">
        <v>317</v>
      </c>
      <c r="S519" s="1" t="s">
        <v>295</v>
      </c>
      <c r="T519" s="12">
        <v>0</v>
      </c>
      <c r="U519" s="6" t="s">
        <v>316</v>
      </c>
      <c r="X519" s="11" t="str">
        <f>IF(Table132[[#This Row],[template]]="","",VLOOKUP(Table132[[#This Row],[IP_NAME]],Table511175[],2,FALSE))</f>
        <v/>
      </c>
      <c r="Y519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/>
      </c>
      <c r="Z519" s="14" t="str">
        <f>IF(Table132[[#This Row],[template]]="","",HEX2DEC(Table132[[#This Row],[Addr_Hex]]))</f>
        <v/>
      </c>
    </row>
    <row r="520" spans="2:26" x14ac:dyDescent="0.3">
      <c r="B520" s="4"/>
      <c r="C520" s="4"/>
      <c r="D520" s="2"/>
      <c r="E520" s="2"/>
      <c r="F520" s="2"/>
      <c r="M520" s="2"/>
      <c r="P520" s="6"/>
      <c r="Q520" s="4"/>
      <c r="R520" s="6"/>
      <c r="T520" s="16"/>
      <c r="U520" s="6"/>
      <c r="Y520" s="4"/>
      <c r="Z520" s="17"/>
    </row>
    <row r="521" spans="2:26" x14ac:dyDescent="0.3">
      <c r="B521" s="4"/>
      <c r="C521" s="4"/>
      <c r="D521" s="2"/>
      <c r="E521" s="2"/>
      <c r="F521" s="2"/>
      <c r="M521" s="2"/>
      <c r="P521" s="6"/>
      <c r="Q521" s="4"/>
      <c r="R521" s="6"/>
      <c r="T521" s="16"/>
      <c r="U521" s="6"/>
      <c r="Y521" s="4"/>
      <c r="Z521" s="17"/>
    </row>
    <row r="522" spans="2:26" x14ac:dyDescent="0.3">
      <c r="B522" s="4"/>
      <c r="C522" s="4"/>
      <c r="D522" s="9" t="str">
        <f>UPPER(Table132[[#This Row],[SIGNAL]])</f>
        <v/>
      </c>
      <c r="E522" s="9" t="str">
        <f>IF(Table132[[#This Row],[template]]="","","0x"&amp;Table132[[#This Row],[IP_Index]]&amp;DEC2HEX(Table132[[#This Row],[Addr_Dec]]*4,7))</f>
        <v/>
      </c>
      <c r="F522" s="9" t="str">
        <f>IF(Table132[[#This Row],[template]]="","",VLOOKUP(Table132[[#This Row],[template]],Table29153[],2,FALSE))</f>
        <v/>
      </c>
      <c r="G522" s="18" t="str">
        <f>IF(Table132[[#This Row],[template]]="","","1")</f>
        <v/>
      </c>
      <c r="H522" s="10" t="s">
        <v>267</v>
      </c>
      <c r="I522" s="13" t="str">
        <f>IF(Table132[[#This Row],[template]]="","","0x"&amp;Table132[[#This Row],[D_Index]]&amp;"000")</f>
        <v/>
      </c>
      <c r="J522" s="18" t="s">
        <v>342</v>
      </c>
      <c r="K522" s="10">
        <v>0</v>
      </c>
      <c r="L522" s="11"/>
      <c r="M522" s="9" t="str">
        <f>IF(Table132[[#This Row],[template]]="","",Table132[[#This Row],[IP_NAME]]&amp;"_"&amp;Table132[[#This Row],[PARAM_NAME]]&amp;IF(Table132[[#This Row],[PARAM_SUB]]="","","_"&amp;Table132[[#This Row],[PARAM_SUB]]))</f>
        <v/>
      </c>
      <c r="N522" s="1" t="s">
        <v>251</v>
      </c>
      <c r="O522" s="1" t="s">
        <v>268</v>
      </c>
      <c r="P522" s="6"/>
      <c r="Q522" s="4">
        <v>0</v>
      </c>
      <c r="R522" s="6" t="s">
        <v>317</v>
      </c>
      <c r="S522" s="1" t="s">
        <v>295</v>
      </c>
      <c r="T522" s="12">
        <v>0</v>
      </c>
      <c r="U522" s="6" t="s">
        <v>316</v>
      </c>
      <c r="X522" s="11" t="str">
        <f>IF(Table132[[#This Row],[template]]="","",VLOOKUP(Table132[[#This Row],[IP_NAME]],Table511175[],2,FALSE))</f>
        <v/>
      </c>
      <c r="Y522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/>
      </c>
      <c r="Z522" s="14" t="str">
        <f>IF(Table132[[#This Row],[template]]="","",HEX2DEC(Table132[[#This Row],[Addr_Hex]]))</f>
        <v/>
      </c>
    </row>
    <row r="523" spans="2:26" x14ac:dyDescent="0.3">
      <c r="B523" s="4"/>
      <c r="C523" s="4"/>
      <c r="D523" s="9" t="str">
        <f>UPPER(Table132[[#This Row],[SIGNAL]])</f>
        <v/>
      </c>
      <c r="E523" s="9" t="str">
        <f>IF(Table132[[#This Row],[template]]="","","0x"&amp;Table132[[#This Row],[IP_Index]]&amp;DEC2HEX(Table132[[#This Row],[Addr_Dec]]*4,7))</f>
        <v/>
      </c>
      <c r="F523" s="9" t="str">
        <f>IF(Table132[[#This Row],[template]]="","",VLOOKUP(Table132[[#This Row],[template]],Table29153[],2,FALSE))</f>
        <v/>
      </c>
      <c r="G523" s="18" t="str">
        <f>IF(Table132[[#This Row],[template]]="","","1")</f>
        <v/>
      </c>
      <c r="H523" s="10" t="s">
        <v>267</v>
      </c>
      <c r="I523" s="13" t="str">
        <f>IF(Table132[[#This Row],[template]]="","","0x"&amp;Table132[[#This Row],[D_Index]]&amp;"000")</f>
        <v/>
      </c>
      <c r="J523" s="18" t="s">
        <v>342</v>
      </c>
      <c r="K523" s="10">
        <v>0</v>
      </c>
      <c r="L523" s="11"/>
      <c r="M523" s="9" t="str">
        <f>IF(Table132[[#This Row],[template]]="","",Table132[[#This Row],[IP_NAME]]&amp;"_"&amp;Table132[[#This Row],[PARAM_NAME]]&amp;IF(Table132[[#This Row],[PARAM_SUB]]="","","_"&amp;Table132[[#This Row],[PARAM_SUB]]))</f>
        <v/>
      </c>
      <c r="N523" s="1" t="s">
        <v>251</v>
      </c>
      <c r="O523" s="1" t="s">
        <v>268</v>
      </c>
      <c r="P523" s="6"/>
      <c r="Q523" s="4">
        <v>0</v>
      </c>
      <c r="R523" s="6" t="s">
        <v>317</v>
      </c>
      <c r="S523" s="1" t="s">
        <v>295</v>
      </c>
      <c r="T523" s="12">
        <v>0</v>
      </c>
      <c r="U523" s="6" t="s">
        <v>316</v>
      </c>
      <c r="X523" s="11" t="str">
        <f>IF(Table132[[#This Row],[template]]="","",VLOOKUP(Table132[[#This Row],[IP_NAME]],Table511175[],2,FALSE))</f>
        <v/>
      </c>
      <c r="Y523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/>
      </c>
      <c r="Z523" s="14" t="str">
        <f>IF(Table132[[#This Row],[template]]="","",HEX2DEC(Table132[[#This Row],[Addr_Hex]]))</f>
        <v/>
      </c>
    </row>
    <row r="524" spans="2:26" x14ac:dyDescent="0.3">
      <c r="B524" s="4"/>
      <c r="C524" s="4"/>
      <c r="D524" s="9" t="str">
        <f>UPPER(Table132[[#This Row],[SIGNAL]])</f>
        <v/>
      </c>
      <c r="E524" s="9" t="str">
        <f>IF(Table132[[#This Row],[template]]="","","0x"&amp;Table132[[#This Row],[IP_Index]]&amp;DEC2HEX(Table132[[#This Row],[Addr_Dec]]*4,7))</f>
        <v/>
      </c>
      <c r="F524" s="9" t="str">
        <f>IF(Table132[[#This Row],[template]]="","",VLOOKUP(Table132[[#This Row],[template]],Table29153[],2,FALSE))</f>
        <v/>
      </c>
      <c r="G524" s="18" t="str">
        <f>IF(Table132[[#This Row],[template]]="","","1")</f>
        <v/>
      </c>
      <c r="H524" s="10" t="s">
        <v>267</v>
      </c>
      <c r="I524" s="13" t="str">
        <f>IF(Table132[[#This Row],[template]]="","","0x"&amp;Table132[[#This Row],[D_Index]]&amp;"000")</f>
        <v/>
      </c>
      <c r="J524" s="18" t="s">
        <v>342</v>
      </c>
      <c r="K524" s="10">
        <v>0</v>
      </c>
      <c r="L524" s="11"/>
      <c r="M524" s="9" t="str">
        <f>IF(Table132[[#This Row],[template]]="","",Table132[[#This Row],[IP_NAME]]&amp;"_"&amp;Table132[[#This Row],[PARAM_NAME]]&amp;IF(Table132[[#This Row],[PARAM_SUB]]="","","_"&amp;Table132[[#This Row],[PARAM_SUB]]))</f>
        <v/>
      </c>
      <c r="N524" s="1" t="s">
        <v>251</v>
      </c>
      <c r="O524" s="1" t="s">
        <v>268</v>
      </c>
      <c r="P524" s="6"/>
      <c r="Q524" s="4">
        <v>0</v>
      </c>
      <c r="R524" s="6" t="s">
        <v>317</v>
      </c>
      <c r="S524" s="1" t="s">
        <v>295</v>
      </c>
      <c r="T524" s="12">
        <v>0</v>
      </c>
      <c r="U524" s="6" t="s">
        <v>316</v>
      </c>
      <c r="X524" s="11" t="str">
        <f>IF(Table132[[#This Row],[template]]="","",VLOOKUP(Table132[[#This Row],[IP_NAME]],Table511175[],2,FALSE))</f>
        <v/>
      </c>
      <c r="Y524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/>
      </c>
      <c r="Z524" s="14" t="str">
        <f>IF(Table132[[#This Row],[template]]="","",HEX2DEC(Table132[[#This Row],[Addr_Hex]]))</f>
        <v/>
      </c>
    </row>
    <row r="525" spans="2:26" x14ac:dyDescent="0.3">
      <c r="B525" s="4"/>
      <c r="C525" s="4"/>
      <c r="D525" s="9" t="str">
        <f>UPPER(Table132[[#This Row],[SIGNAL]])</f>
        <v/>
      </c>
      <c r="E525" s="9" t="str">
        <f>IF(Table132[[#This Row],[template]]="","","0x"&amp;Table132[[#This Row],[IP_Index]]&amp;DEC2HEX(Table132[[#This Row],[Addr_Dec]]*4,7))</f>
        <v/>
      </c>
      <c r="F525" s="9" t="str">
        <f>IF(Table132[[#This Row],[template]]="","",VLOOKUP(Table132[[#This Row],[template]],Table29153[],2,FALSE))</f>
        <v/>
      </c>
      <c r="G525" s="18" t="str">
        <f>IF(Table132[[#This Row],[template]]="","","1")</f>
        <v/>
      </c>
      <c r="H525" s="10" t="s">
        <v>267</v>
      </c>
      <c r="I525" s="13" t="str">
        <f>IF(Table132[[#This Row],[template]]="","","0x"&amp;Table132[[#This Row],[D_Index]]&amp;"000")</f>
        <v/>
      </c>
      <c r="J525" s="18" t="s">
        <v>342</v>
      </c>
      <c r="K525" s="10">
        <v>0</v>
      </c>
      <c r="L525" s="11"/>
      <c r="M525" s="9" t="str">
        <f>IF(Table132[[#This Row],[template]]="","",Table132[[#This Row],[IP_NAME]]&amp;"_"&amp;Table132[[#This Row],[PARAM_NAME]]&amp;IF(Table132[[#This Row],[PARAM_SUB]]="","","_"&amp;Table132[[#This Row],[PARAM_SUB]]))</f>
        <v/>
      </c>
      <c r="N525" s="1" t="s">
        <v>251</v>
      </c>
      <c r="O525" s="1" t="s">
        <v>268</v>
      </c>
      <c r="P525" s="6"/>
      <c r="Q525" s="4">
        <v>0</v>
      </c>
      <c r="R525" s="6" t="s">
        <v>317</v>
      </c>
      <c r="S525" s="1" t="s">
        <v>295</v>
      </c>
      <c r="T525" s="12">
        <v>0</v>
      </c>
      <c r="U525" s="6" t="s">
        <v>316</v>
      </c>
      <c r="X525" s="11" t="str">
        <f>IF(Table132[[#This Row],[template]]="","",VLOOKUP(Table132[[#This Row],[IP_NAME]],Table511175[],2,FALSE))</f>
        <v/>
      </c>
      <c r="Y525" s="13" t="str">
        <f>IF(Table132[[#This Row],[template]]="","",DEC2HEX(VLOOKUP(Table132[[#This Row],[D1-Type]],Table3512186[],2,FALSE),1)&amp;DEC2HEX(VLOOKUP(Table132[[#This Row],[D2-Type]],Table310164[],2,FALSE),1)&amp; DEC2HEX(Table132[[#This Row],[D2-Offset]],2)&amp;DEC2HEX(VLOOKUP(Table132[[#This Row],[D3-Type]],Table3713197[],2,FALSE),1))</f>
        <v/>
      </c>
      <c r="Z525" s="14" t="str">
        <f>IF(Table132[[#This Row],[template]]="","",HEX2DEC(Table132[[#This Row],[Addr_Hex]]))</f>
        <v/>
      </c>
    </row>
    <row r="527" spans="2:26" x14ac:dyDescent="0.3">
      <c r="C527" s="19" t="s">
        <v>361</v>
      </c>
    </row>
    <row r="535" spans="2:6" x14ac:dyDescent="0.3">
      <c r="B535" s="2" t="s">
        <v>257</v>
      </c>
      <c r="C535" s="2" t="s">
        <v>266</v>
      </c>
      <c r="E535" s="6"/>
    </row>
    <row r="536" spans="2:6" x14ac:dyDescent="0.3">
      <c r="B536" s="2" t="s">
        <v>263</v>
      </c>
      <c r="C536" s="2">
        <v>0</v>
      </c>
      <c r="E536" s="6"/>
    </row>
    <row r="537" spans="2:6" x14ac:dyDescent="0.3">
      <c r="B537" s="2" t="s">
        <v>262</v>
      </c>
      <c r="C537" s="2">
        <v>1</v>
      </c>
      <c r="E537" s="6"/>
    </row>
    <row r="538" spans="2:6" x14ac:dyDescent="0.3">
      <c r="B538" s="2" t="s">
        <v>261</v>
      </c>
      <c r="C538" s="2">
        <v>2</v>
      </c>
      <c r="E538" s="6"/>
    </row>
    <row r="539" spans="2:6" x14ac:dyDescent="0.3">
      <c r="B539" s="4"/>
      <c r="E539" s="6"/>
    </row>
    <row r="540" spans="2:6" x14ac:dyDescent="0.3">
      <c r="B540" s="1" t="s">
        <v>241</v>
      </c>
      <c r="C540" s="6" t="s">
        <v>242</v>
      </c>
      <c r="D540" s="6"/>
    </row>
    <row r="541" spans="2:6" x14ac:dyDescent="0.3">
      <c r="B541" s="4" t="s">
        <v>230</v>
      </c>
      <c r="C541" s="1" t="s">
        <v>252</v>
      </c>
      <c r="D541" s="6"/>
      <c r="F541" s="1" t="s">
        <v>253</v>
      </c>
    </row>
    <row r="542" spans="2:6" x14ac:dyDescent="0.3">
      <c r="B542" s="4" t="s">
        <v>231</v>
      </c>
      <c r="C542" s="1" t="s">
        <v>5</v>
      </c>
      <c r="D542" s="6"/>
      <c r="F542" s="1" t="s">
        <v>252</v>
      </c>
    </row>
    <row r="543" spans="2:6" x14ac:dyDescent="0.3">
      <c r="B543" s="4" t="s">
        <v>240</v>
      </c>
      <c r="C543" s="1" t="s">
        <v>7</v>
      </c>
      <c r="D543" s="6"/>
      <c r="F543" s="1" t="s">
        <v>222</v>
      </c>
    </row>
    <row r="544" spans="2:6" x14ac:dyDescent="0.3">
      <c r="B544" s="4" t="s">
        <v>233</v>
      </c>
      <c r="C544" s="1" t="s">
        <v>7</v>
      </c>
      <c r="D544" s="6"/>
      <c r="F544" s="1" t="s">
        <v>30</v>
      </c>
    </row>
    <row r="545" spans="2:6" x14ac:dyDescent="0.3">
      <c r="B545" s="4" t="s">
        <v>235</v>
      </c>
      <c r="C545" s="1" t="s">
        <v>5</v>
      </c>
      <c r="D545" s="6"/>
      <c r="F545" s="1" t="s">
        <v>5</v>
      </c>
    </row>
    <row r="546" spans="2:6" x14ac:dyDescent="0.3">
      <c r="B546" s="4" t="s">
        <v>232</v>
      </c>
      <c r="C546" s="1" t="s">
        <v>30</v>
      </c>
      <c r="D546" s="6"/>
      <c r="F546" s="1" t="s">
        <v>223</v>
      </c>
    </row>
    <row r="547" spans="2:6" x14ac:dyDescent="0.3">
      <c r="B547" s="4" t="s">
        <v>236</v>
      </c>
      <c r="C547" s="1" t="s">
        <v>30</v>
      </c>
      <c r="D547" s="6"/>
      <c r="F547" s="1" t="s">
        <v>224</v>
      </c>
    </row>
    <row r="548" spans="2:6" x14ac:dyDescent="0.3">
      <c r="B548" s="4" t="s">
        <v>237</v>
      </c>
      <c r="C548" s="1" t="s">
        <v>5</v>
      </c>
      <c r="D548" s="6"/>
      <c r="F548" s="1" t="s">
        <v>225</v>
      </c>
    </row>
    <row r="549" spans="2:6" x14ac:dyDescent="0.3">
      <c r="B549" s="4" t="s">
        <v>234</v>
      </c>
      <c r="C549" s="1" t="s">
        <v>5</v>
      </c>
      <c r="D549" s="6"/>
      <c r="F549" s="1" t="s">
        <v>226</v>
      </c>
    </row>
    <row r="550" spans="2:6" x14ac:dyDescent="0.3">
      <c r="B550" s="6" t="s">
        <v>458</v>
      </c>
      <c r="C550" s="6"/>
      <c r="D550" s="6"/>
    </row>
    <row r="551" spans="2:6" x14ac:dyDescent="0.3">
      <c r="B551" s="4"/>
      <c r="E551" s="6"/>
      <c r="F551" s="1" t="s">
        <v>227</v>
      </c>
    </row>
    <row r="552" spans="2:6" x14ac:dyDescent="0.3">
      <c r="B552" s="2" t="s">
        <v>318</v>
      </c>
      <c r="C552" s="2" t="s">
        <v>320</v>
      </c>
      <c r="E552" s="6"/>
    </row>
    <row r="553" spans="2:6" x14ac:dyDescent="0.3">
      <c r="B553" s="6" t="s">
        <v>316</v>
      </c>
      <c r="C553" s="1">
        <v>0</v>
      </c>
      <c r="E553" s="6"/>
    </row>
    <row r="554" spans="2:6" x14ac:dyDescent="0.3">
      <c r="B554" s="6" t="s">
        <v>317</v>
      </c>
      <c r="C554" s="1">
        <v>1</v>
      </c>
      <c r="E554" s="6"/>
    </row>
    <row r="555" spans="2:6" x14ac:dyDescent="0.3">
      <c r="B555" s="6"/>
      <c r="C555" s="1">
        <v>2</v>
      </c>
      <c r="E555" s="6"/>
    </row>
    <row r="556" spans="2:6" x14ac:dyDescent="0.3">
      <c r="B556" s="6"/>
      <c r="C556" s="1">
        <v>3</v>
      </c>
      <c r="E556" s="6"/>
    </row>
    <row r="557" spans="2:6" x14ac:dyDescent="0.3">
      <c r="B557" s="6"/>
      <c r="C557" s="1">
        <v>4</v>
      </c>
      <c r="E557" s="6"/>
    </row>
    <row r="558" spans="2:6" x14ac:dyDescent="0.3">
      <c r="B558" s="6"/>
      <c r="C558" s="1">
        <v>5</v>
      </c>
      <c r="E558" s="6"/>
    </row>
    <row r="559" spans="2:6" x14ac:dyDescent="0.3">
      <c r="B559" s="6"/>
      <c r="C559" s="1">
        <v>6</v>
      </c>
      <c r="E559" s="6"/>
    </row>
    <row r="560" spans="2:6" x14ac:dyDescent="0.3">
      <c r="B560" s="6"/>
      <c r="C560" s="1">
        <v>7</v>
      </c>
      <c r="E560" s="6"/>
    </row>
    <row r="561" spans="2:5" x14ac:dyDescent="0.3">
      <c r="B561" s="6"/>
      <c r="C561" s="1">
        <v>8</v>
      </c>
      <c r="E561" s="6"/>
    </row>
    <row r="562" spans="2:5" x14ac:dyDescent="0.3">
      <c r="B562" s="6"/>
      <c r="C562" s="1">
        <v>9</v>
      </c>
      <c r="E562" s="6"/>
    </row>
    <row r="563" spans="2:5" x14ac:dyDescent="0.3">
      <c r="B563" s="6"/>
      <c r="C563" s="1">
        <v>10</v>
      </c>
      <c r="E563" s="6"/>
    </row>
    <row r="564" spans="2:5" x14ac:dyDescent="0.3">
      <c r="B564" s="6"/>
      <c r="C564" s="1">
        <v>11</v>
      </c>
      <c r="E564" s="6"/>
    </row>
    <row r="565" spans="2:5" x14ac:dyDescent="0.3">
      <c r="B565" s="15"/>
      <c r="C565" s="1">
        <v>12</v>
      </c>
      <c r="E565" s="6"/>
    </row>
    <row r="566" spans="2:5" x14ac:dyDescent="0.3">
      <c r="B566" s="15"/>
      <c r="C566" s="1">
        <v>13</v>
      </c>
      <c r="E566" s="6"/>
    </row>
    <row r="567" spans="2:5" x14ac:dyDescent="0.3">
      <c r="B567" s="15"/>
      <c r="C567" s="1">
        <v>14</v>
      </c>
      <c r="E567" s="6"/>
    </row>
    <row r="568" spans="2:5" x14ac:dyDescent="0.3">
      <c r="B568" s="15"/>
      <c r="C568" s="1">
        <v>15</v>
      </c>
      <c r="E568" s="6"/>
    </row>
    <row r="569" spans="2:5" x14ac:dyDescent="0.3">
      <c r="B569" s="4"/>
      <c r="E569" s="6"/>
    </row>
    <row r="570" spans="2:5" x14ac:dyDescent="0.3">
      <c r="B570" s="2" t="s">
        <v>319</v>
      </c>
      <c r="C570" s="2" t="s">
        <v>320</v>
      </c>
      <c r="E570" s="6"/>
    </row>
    <row r="571" spans="2:5" x14ac:dyDescent="0.3">
      <c r="B571" s="6" t="s">
        <v>310</v>
      </c>
      <c r="C571" s="1">
        <v>0</v>
      </c>
      <c r="E571" s="6"/>
    </row>
    <row r="572" spans="2:5" x14ac:dyDescent="0.3">
      <c r="B572" s="6" t="s">
        <v>254</v>
      </c>
      <c r="C572" s="1">
        <v>1</v>
      </c>
      <c r="E572" s="6"/>
    </row>
    <row r="573" spans="2:5" x14ac:dyDescent="0.3">
      <c r="B573" s="6" t="s">
        <v>311</v>
      </c>
      <c r="C573" s="1">
        <v>2</v>
      </c>
      <c r="E573" s="6"/>
    </row>
    <row r="574" spans="2:5" x14ac:dyDescent="0.3">
      <c r="B574" s="6" t="s">
        <v>312</v>
      </c>
      <c r="C574" s="1">
        <v>3</v>
      </c>
      <c r="E574" s="6"/>
    </row>
    <row r="575" spans="2:5" x14ac:dyDescent="0.3">
      <c r="B575" s="6" t="s">
        <v>313</v>
      </c>
      <c r="C575" s="1">
        <v>4</v>
      </c>
      <c r="E575" s="6"/>
    </row>
    <row r="576" spans="2:5" x14ac:dyDescent="0.3">
      <c r="B576" s="6" t="s">
        <v>314</v>
      </c>
      <c r="C576" s="1">
        <v>5</v>
      </c>
      <c r="E576" s="6"/>
    </row>
    <row r="577" spans="2:5" x14ac:dyDescent="0.3">
      <c r="B577" s="6" t="s">
        <v>315</v>
      </c>
      <c r="C577" s="1">
        <v>6</v>
      </c>
      <c r="E577" s="6"/>
    </row>
    <row r="578" spans="2:5" x14ac:dyDescent="0.3">
      <c r="B578" s="6"/>
      <c r="C578" s="1">
        <v>7</v>
      </c>
      <c r="E578" s="6"/>
    </row>
    <row r="579" spans="2:5" x14ac:dyDescent="0.3">
      <c r="B579" s="6"/>
      <c r="C579" s="1">
        <v>8</v>
      </c>
      <c r="E579" s="6"/>
    </row>
    <row r="580" spans="2:5" x14ac:dyDescent="0.3">
      <c r="B580" s="6"/>
      <c r="C580" s="1">
        <v>9</v>
      </c>
      <c r="E580" s="6"/>
    </row>
    <row r="581" spans="2:5" x14ac:dyDescent="0.3">
      <c r="B581" s="6"/>
      <c r="C581" s="1">
        <v>10</v>
      </c>
      <c r="E581" s="6"/>
    </row>
    <row r="582" spans="2:5" x14ac:dyDescent="0.3">
      <c r="B582" s="6"/>
      <c r="C582" s="1">
        <v>11</v>
      </c>
      <c r="E582" s="6"/>
    </row>
    <row r="583" spans="2:5" x14ac:dyDescent="0.3">
      <c r="B583" s="15"/>
      <c r="C583" s="1">
        <v>12</v>
      </c>
      <c r="E583" s="6"/>
    </row>
    <row r="584" spans="2:5" x14ac:dyDescent="0.3">
      <c r="B584" s="15"/>
      <c r="C584" s="1">
        <v>13</v>
      </c>
      <c r="E584" s="6"/>
    </row>
    <row r="585" spans="2:5" x14ac:dyDescent="0.3">
      <c r="B585" s="15"/>
      <c r="C585" s="1">
        <v>14</v>
      </c>
      <c r="E585" s="6"/>
    </row>
    <row r="586" spans="2:5" x14ac:dyDescent="0.3">
      <c r="B586" s="15"/>
      <c r="C586" s="1">
        <v>15</v>
      </c>
      <c r="E586" s="6"/>
    </row>
    <row r="587" spans="2:5" x14ac:dyDescent="0.3">
      <c r="B587" s="2" t="s">
        <v>255</v>
      </c>
      <c r="C587" s="15" t="s">
        <v>256</v>
      </c>
      <c r="E587" s="6"/>
    </row>
    <row r="588" spans="2:5" x14ac:dyDescent="0.3">
      <c r="B588" s="4"/>
      <c r="E588" s="6"/>
    </row>
    <row r="589" spans="2:5" x14ac:dyDescent="0.3">
      <c r="B589" s="2" t="s">
        <v>324</v>
      </c>
      <c r="C589" s="2" t="s">
        <v>320</v>
      </c>
      <c r="E589" s="6"/>
    </row>
    <row r="590" spans="2:5" x14ac:dyDescent="0.3">
      <c r="B590" s="6" t="s">
        <v>316</v>
      </c>
      <c r="C590" s="1">
        <v>0</v>
      </c>
      <c r="E590" s="6"/>
    </row>
    <row r="591" spans="2:5" x14ac:dyDescent="0.3">
      <c r="B591" s="6" t="s">
        <v>325</v>
      </c>
      <c r="C591" s="1">
        <v>1</v>
      </c>
      <c r="E591" s="6"/>
    </row>
    <row r="592" spans="2:5" x14ac:dyDescent="0.3">
      <c r="B592" s="6" t="s">
        <v>353</v>
      </c>
      <c r="C592" s="1">
        <v>2</v>
      </c>
      <c r="E592" s="6"/>
    </row>
    <row r="593" spans="2:5" x14ac:dyDescent="0.3">
      <c r="B593" s="6" t="s">
        <v>355</v>
      </c>
      <c r="C593" s="1">
        <v>3</v>
      </c>
      <c r="E593" s="6"/>
    </row>
    <row r="594" spans="2:5" x14ac:dyDescent="0.3">
      <c r="B594" s="6" t="s">
        <v>357</v>
      </c>
      <c r="C594" s="1">
        <v>4</v>
      </c>
      <c r="E594" s="6"/>
    </row>
    <row r="595" spans="2:5" x14ac:dyDescent="0.3">
      <c r="B595" s="6" t="s">
        <v>359</v>
      </c>
      <c r="C595" s="1">
        <v>5</v>
      </c>
      <c r="E595" s="6"/>
    </row>
    <row r="596" spans="2:5" x14ac:dyDescent="0.3">
      <c r="B596" s="6"/>
      <c r="C596" s="1">
        <v>6</v>
      </c>
      <c r="E596" s="6"/>
    </row>
    <row r="597" spans="2:5" x14ac:dyDescent="0.3">
      <c r="B597" s="6"/>
      <c r="C597" s="1">
        <v>7</v>
      </c>
      <c r="E597" s="6"/>
    </row>
    <row r="598" spans="2:5" x14ac:dyDescent="0.3">
      <c r="B598" s="6"/>
      <c r="C598" s="1">
        <v>8</v>
      </c>
      <c r="E598" s="6"/>
    </row>
    <row r="599" spans="2:5" x14ac:dyDescent="0.3">
      <c r="B599" s="6"/>
      <c r="C599" s="1">
        <v>9</v>
      </c>
      <c r="E599" s="6"/>
    </row>
    <row r="600" spans="2:5" x14ac:dyDescent="0.3">
      <c r="B600" s="6"/>
      <c r="C600" s="1">
        <v>10</v>
      </c>
      <c r="E600" s="6"/>
    </row>
    <row r="601" spans="2:5" x14ac:dyDescent="0.3">
      <c r="B601" s="6"/>
      <c r="C601" s="1">
        <v>11</v>
      </c>
      <c r="E601" s="6"/>
    </row>
    <row r="602" spans="2:5" x14ac:dyDescent="0.3">
      <c r="B602" s="15"/>
      <c r="C602" s="1">
        <v>12</v>
      </c>
      <c r="E602" s="6"/>
    </row>
    <row r="603" spans="2:5" x14ac:dyDescent="0.3">
      <c r="B603" s="15"/>
      <c r="C603" s="1">
        <v>13</v>
      </c>
      <c r="E603" s="6"/>
    </row>
    <row r="604" spans="2:5" x14ac:dyDescent="0.3">
      <c r="B604" s="15"/>
      <c r="C604" s="1">
        <v>14</v>
      </c>
      <c r="E604" s="6"/>
    </row>
    <row r="605" spans="2:5" x14ac:dyDescent="0.3">
      <c r="B605" s="15"/>
      <c r="C605" s="1">
        <v>15</v>
      </c>
      <c r="E605" s="6"/>
    </row>
  </sheetData>
  <mergeCells count="36">
    <mergeCell ref="A37:E37"/>
    <mergeCell ref="A26:E26"/>
    <mergeCell ref="A27:E27"/>
    <mergeCell ref="A28:E28"/>
    <mergeCell ref="A29:E29"/>
    <mergeCell ref="A30:E30"/>
    <mergeCell ref="A31:E31"/>
    <mergeCell ref="A32:E32"/>
    <mergeCell ref="A33:E33"/>
    <mergeCell ref="A34:E34"/>
    <mergeCell ref="A35:E35"/>
    <mergeCell ref="A36:E36"/>
    <mergeCell ref="A25:E25"/>
    <mergeCell ref="A14:E14"/>
    <mergeCell ref="A15:E15"/>
    <mergeCell ref="A16:E16"/>
    <mergeCell ref="A17:E17"/>
    <mergeCell ref="A18:E18"/>
    <mergeCell ref="A19:E19"/>
    <mergeCell ref="A20:E20"/>
    <mergeCell ref="A21:E21"/>
    <mergeCell ref="A22:E22"/>
    <mergeCell ref="A23:E23"/>
    <mergeCell ref="A24:E24"/>
    <mergeCell ref="A13:E13"/>
    <mergeCell ref="A2:E2"/>
    <mergeCell ref="A3:E3"/>
    <mergeCell ref="A4:E4"/>
    <mergeCell ref="A5:E5"/>
    <mergeCell ref="A6:E6"/>
    <mergeCell ref="A7:E7"/>
    <mergeCell ref="A8:E8"/>
    <mergeCell ref="A9:E9"/>
    <mergeCell ref="A10:E10"/>
    <mergeCell ref="A11:E11"/>
    <mergeCell ref="A12:E12"/>
  </mergeCells>
  <phoneticPr fontId="1" type="noConversion"/>
  <dataValidations count="5">
    <dataValidation type="list" allowBlank="1" showInputMessage="1" showErrorMessage="1" sqref="N41:N525">
      <formula1>$B$536:$B$538</formula1>
    </dataValidation>
    <dataValidation type="list" allowBlank="1" showInputMessage="1" showErrorMessage="1" sqref="R41:R525">
      <formula1>$B$553:$B$568</formula1>
    </dataValidation>
    <dataValidation type="list" allowBlank="1" showInputMessage="1" showErrorMessage="1" sqref="S41:S525">
      <formula1>$B$571:$B$586</formula1>
    </dataValidation>
    <dataValidation type="list" allowBlank="1" showInputMessage="1" showErrorMessage="1" sqref="C41:C525">
      <formula1>$B$541:$B$550</formula1>
    </dataValidation>
    <dataValidation type="list" allowBlank="1" showInputMessage="1" showErrorMessage="1" sqref="U41:U525">
      <formula1>$B$590:$B$605</formula1>
    </dataValidation>
  </dataValidations>
  <pageMargins left="0.7" right="0.7" top="0.75" bottom="0.75" header="0.3" footer="0.3"/>
  <pageSetup paperSize="9" orientation="portrait" verticalDpi="0" r:id="rId1"/>
  <drawing r:id="rId2"/>
  <tableParts count="6">
    <tablePart r:id="rId3"/>
    <tablePart r:id="rId4"/>
    <tablePart r:id="rId5"/>
    <tablePart r:id="rId6"/>
    <tablePart r:id="rId7"/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org</vt:lpstr>
      <vt:lpstr>edit</vt:lpstr>
      <vt:lpstr>Sheet1</vt:lpstr>
      <vt:lpstr>edit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lay kim</dc:creator>
  <cp:lastModifiedBy>lay kim</cp:lastModifiedBy>
  <dcterms:created xsi:type="dcterms:W3CDTF">2018-10-04T08:55:09Z</dcterms:created>
  <dcterms:modified xsi:type="dcterms:W3CDTF">2018-10-25T17:33:33Z</dcterms:modified>
</cp:coreProperties>
</file>